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Nithin\Dashboard cumulative\"/>
    </mc:Choice>
  </mc:AlternateContent>
  <xr:revisionPtr revIDLastSave="0" documentId="13_ncr:1_{E8689AE8-9C17-43E3-B347-01C9EF2DB020}" xr6:coauthVersionLast="47" xr6:coauthVersionMax="47" xr10:uidLastSave="{00000000-0000-0000-0000-000000000000}"/>
  <bookViews>
    <workbookView xWindow="-110" yWindow="-110" windowWidth="19420" windowHeight="10300" tabRatio="602" xr2:uid="{00000000-000D-0000-FFFF-FFFF00000000}"/>
  </bookViews>
  <sheets>
    <sheet name="Dashboard" sheetId="1" r:id="rId1"/>
    <sheet name="MSI Report" sheetId="2" r:id="rId2"/>
    <sheet name="Daily Report Dec-25" sheetId="3" r:id="rId3"/>
    <sheet name="Monthly Report Dec-25" sheetId="4" r:id="rId4"/>
    <sheet name="Sheet1" sheetId="5" state="hidden" r:id="rId5"/>
    <sheet name="Sheet6" sheetId="6" state="hidden" r:id="rId6"/>
  </sheets>
  <definedNames>
    <definedName name="_xlnm._FilterDatabase" localSheetId="3" hidden="1">'Monthly Report Dec-25'!$A$1:$AB$417</definedName>
    <definedName name="_xlnm._FilterDatabase" localSheetId="4" hidden="1">Sheet1!$C$1:$D$67</definedName>
  </definedNames>
  <calcPr calcId="191029"/>
  <pivotCaches>
    <pivotCache cacheId="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 a="1"/>
  <c r="H13" i="6" s="1"/>
  <c r="G67" i="5"/>
  <c r="D67" i="5"/>
  <c r="G66" i="5"/>
  <c r="D66" i="5"/>
  <c r="G65" i="5"/>
  <c r="D65" i="5"/>
  <c r="G64" i="5"/>
  <c r="D64" i="5"/>
  <c r="G63" i="5"/>
  <c r="D63" i="5"/>
  <c r="G62" i="5"/>
  <c r="D62" i="5"/>
  <c r="G61" i="5"/>
  <c r="D61" i="5"/>
  <c r="G60" i="5"/>
  <c r="D60" i="5"/>
  <c r="G59" i="5"/>
  <c r="D59" i="5"/>
  <c r="G58" i="5"/>
  <c r="D58" i="5"/>
  <c r="G57" i="5"/>
  <c r="D57" i="5"/>
  <c r="G56" i="5"/>
  <c r="D56" i="5"/>
  <c r="G55" i="5"/>
  <c r="D55" i="5"/>
  <c r="G54" i="5"/>
  <c r="D54" i="5"/>
  <c r="G53" i="5"/>
  <c r="D53" i="5"/>
  <c r="G52" i="5"/>
  <c r="D52" i="5"/>
  <c r="G51" i="5"/>
  <c r="D51" i="5"/>
  <c r="G50" i="5"/>
  <c r="D50" i="5"/>
  <c r="G49" i="5"/>
  <c r="D49" i="5"/>
  <c r="G48" i="5"/>
  <c r="D48" i="5"/>
  <c r="G47" i="5"/>
  <c r="D47" i="5"/>
  <c r="G46" i="5"/>
  <c r="D46" i="5"/>
  <c r="G45" i="5"/>
  <c r="D45" i="5"/>
  <c r="G44" i="5"/>
  <c r="D44" i="5"/>
  <c r="G43" i="5"/>
  <c r="D43" i="5"/>
  <c r="G42" i="5"/>
  <c r="D42" i="5"/>
  <c r="G41" i="5"/>
  <c r="D41" i="5"/>
  <c r="G40" i="5"/>
  <c r="D40" i="5"/>
  <c r="G39" i="5"/>
  <c r="D39" i="5"/>
  <c r="G38" i="5"/>
  <c r="D38" i="5"/>
  <c r="G37" i="5"/>
  <c r="D37" i="5"/>
  <c r="G36" i="5"/>
  <c r="D36" i="5"/>
  <c r="G35" i="5"/>
  <c r="D35" i="5"/>
  <c r="G34" i="5"/>
  <c r="D34" i="5"/>
  <c r="G33" i="5"/>
  <c r="D33" i="5"/>
  <c r="G32" i="5"/>
  <c r="D32" i="5"/>
  <c r="G31" i="5"/>
  <c r="D31" i="5"/>
  <c r="G30" i="5"/>
  <c r="D30" i="5"/>
  <c r="G29" i="5"/>
  <c r="D29" i="5"/>
  <c r="G28" i="5"/>
  <c r="D28" i="5"/>
  <c r="G27" i="5"/>
  <c r="D27" i="5"/>
  <c r="G26" i="5"/>
  <c r="D26" i="5"/>
  <c r="G25" i="5"/>
  <c r="D25" i="5"/>
  <c r="G24" i="5"/>
  <c r="D24" i="5"/>
  <c r="G23" i="5"/>
  <c r="D23" i="5"/>
  <c r="G22" i="5"/>
  <c r="D22" i="5"/>
  <c r="G21" i="5"/>
  <c r="D21" i="5"/>
  <c r="G20" i="5"/>
  <c r="D20" i="5"/>
  <c r="G19" i="5"/>
  <c r="D19" i="5"/>
  <c r="G18" i="5"/>
  <c r="D18" i="5"/>
  <c r="G17" i="5"/>
  <c r="D17" i="5"/>
  <c r="G16" i="5"/>
  <c r="D16" i="5"/>
  <c r="G15" i="5"/>
  <c r="D15" i="5"/>
  <c r="G14" i="5"/>
  <c r="D14" i="5"/>
  <c r="G13" i="5"/>
  <c r="D13" i="5"/>
  <c r="G12" i="5"/>
  <c r="D12" i="5"/>
  <c r="G11" i="5"/>
  <c r="D11" i="5"/>
  <c r="G10" i="5"/>
  <c r="D10" i="5"/>
  <c r="G9" i="5"/>
  <c r="D9" i="5"/>
  <c r="G8" i="5"/>
  <c r="D8" i="5"/>
  <c r="G7" i="5"/>
  <c r="D7" i="5"/>
  <c r="G6" i="5"/>
  <c r="D6" i="5"/>
  <c r="G5" i="5"/>
  <c r="D5" i="5"/>
  <c r="G4" i="5"/>
  <c r="D4" i="5"/>
  <c r="G3" i="5"/>
  <c r="D3" i="5"/>
  <c r="G2" i="5"/>
  <c r="D2" i="5"/>
  <c r="AB417" i="4"/>
  <c r="X417" i="4"/>
  <c r="Q417" i="4"/>
  <c r="P417" i="4"/>
  <c r="AB416" i="4"/>
  <c r="X416" i="4"/>
  <c r="Q416" i="4"/>
  <c r="P416" i="4"/>
  <c r="AB415" i="4"/>
  <c r="X415" i="4"/>
  <c r="Q415" i="4"/>
  <c r="P415" i="4"/>
  <c r="AB414" i="4"/>
  <c r="X414" i="4"/>
  <c r="Q414" i="4"/>
  <c r="P414" i="4"/>
  <c r="AB413" i="4"/>
  <c r="X413" i="4"/>
  <c r="Q413" i="4"/>
  <c r="P413" i="4"/>
  <c r="AB412" i="4"/>
  <c r="X412" i="4"/>
  <c r="Q412" i="4"/>
  <c r="P412" i="4"/>
  <c r="AB411" i="4"/>
  <c r="X411" i="4"/>
  <c r="Q411" i="4"/>
  <c r="P411" i="4"/>
  <c r="AB410" i="4"/>
  <c r="X410" i="4"/>
  <c r="Q410" i="4"/>
  <c r="P410" i="4"/>
  <c r="AB409" i="4"/>
  <c r="X409" i="4"/>
  <c r="Q409" i="4"/>
  <c r="P409" i="4"/>
  <c r="AB408" i="4"/>
  <c r="X408" i="4"/>
  <c r="Q408" i="4"/>
  <c r="P408" i="4"/>
  <c r="AB407" i="4"/>
  <c r="X407" i="4"/>
  <c r="Q407" i="4"/>
  <c r="P407" i="4"/>
  <c r="AB406" i="4"/>
  <c r="X406" i="4"/>
  <c r="Q406" i="4"/>
  <c r="P406" i="4"/>
  <c r="AB405" i="4"/>
  <c r="X405" i="4"/>
  <c r="Q405" i="4"/>
  <c r="P405" i="4"/>
  <c r="AB404" i="4"/>
  <c r="X404" i="4"/>
  <c r="Q404" i="4"/>
  <c r="P404" i="4"/>
  <c r="AB403" i="4"/>
  <c r="X403" i="4"/>
  <c r="Q403" i="4"/>
  <c r="P403" i="4"/>
  <c r="AB402" i="4"/>
  <c r="X402" i="4"/>
  <c r="Q402" i="4"/>
  <c r="P402" i="4"/>
  <c r="AB401" i="4"/>
  <c r="X401" i="4"/>
  <c r="Q401" i="4"/>
  <c r="P401" i="4"/>
  <c r="AB400" i="4"/>
  <c r="X400" i="4"/>
  <c r="Q400" i="4"/>
  <c r="P400" i="4"/>
  <c r="AB399" i="4"/>
  <c r="X399" i="4"/>
  <c r="Q399" i="4"/>
  <c r="P399" i="4"/>
  <c r="AB398" i="4"/>
  <c r="X398" i="4"/>
  <c r="Q398" i="4"/>
  <c r="P398" i="4"/>
  <c r="AB397" i="4"/>
  <c r="X397" i="4"/>
  <c r="Q397" i="4"/>
  <c r="P397" i="4"/>
  <c r="AB396" i="4"/>
  <c r="X396" i="4"/>
  <c r="Q396" i="4"/>
  <c r="P396" i="4"/>
  <c r="AB395" i="4"/>
  <c r="X395" i="4"/>
  <c r="Q395" i="4"/>
  <c r="P395" i="4"/>
  <c r="AB394" i="4"/>
  <c r="X394" i="4"/>
  <c r="Q394" i="4"/>
  <c r="P394" i="4"/>
  <c r="AB393" i="4"/>
  <c r="X393" i="4"/>
  <c r="Q393" i="4"/>
  <c r="P393" i="4"/>
  <c r="AB392" i="4"/>
  <c r="X392" i="4"/>
  <c r="Q392" i="4"/>
  <c r="P392" i="4"/>
  <c r="AB391" i="4"/>
  <c r="X391" i="4"/>
  <c r="Q391" i="4"/>
  <c r="P391" i="4"/>
  <c r="AB390" i="4"/>
  <c r="X390" i="4"/>
  <c r="Q390" i="4"/>
  <c r="P390" i="4"/>
  <c r="AB389" i="4"/>
  <c r="X389" i="4"/>
  <c r="Q389" i="4"/>
  <c r="P389" i="4"/>
  <c r="AB388" i="4"/>
  <c r="X388" i="4"/>
  <c r="Q388" i="4"/>
  <c r="P388" i="4"/>
  <c r="AB387" i="4"/>
  <c r="X387" i="4"/>
  <c r="Q387" i="4"/>
  <c r="P387" i="4"/>
  <c r="AB386" i="4"/>
  <c r="X386" i="4"/>
  <c r="Q386" i="4"/>
  <c r="P386" i="4"/>
  <c r="AB385" i="4"/>
  <c r="X385" i="4"/>
  <c r="Q385" i="4"/>
  <c r="P385" i="4"/>
  <c r="AB384" i="4"/>
  <c r="X384" i="4"/>
  <c r="Q384" i="4"/>
  <c r="P384" i="4"/>
  <c r="AB383" i="4"/>
  <c r="X383" i="4"/>
  <c r="Q383" i="4"/>
  <c r="P383" i="4"/>
  <c r="AB382" i="4"/>
  <c r="X382" i="4"/>
  <c r="Q382" i="4"/>
  <c r="P382" i="4"/>
  <c r="AB381" i="4"/>
  <c r="X381" i="4"/>
  <c r="Q381" i="4"/>
  <c r="P381" i="4"/>
  <c r="AB380" i="4"/>
  <c r="X380" i="4"/>
  <c r="Q380" i="4"/>
  <c r="P380" i="4"/>
  <c r="AB379" i="4"/>
  <c r="X379" i="4"/>
  <c r="Q379" i="4"/>
  <c r="P379" i="4"/>
  <c r="AB378" i="4"/>
  <c r="X378" i="4"/>
  <c r="Q378" i="4"/>
  <c r="P378" i="4"/>
  <c r="AB377" i="4"/>
  <c r="X377" i="4"/>
  <c r="Q377" i="4"/>
  <c r="P377" i="4"/>
  <c r="AB376" i="4"/>
  <c r="X376" i="4"/>
  <c r="Q376" i="4"/>
  <c r="P376" i="4"/>
  <c r="AB375" i="4"/>
  <c r="X375" i="4"/>
  <c r="Q375" i="4"/>
  <c r="P375" i="4"/>
  <c r="AB374" i="4"/>
  <c r="X374" i="4"/>
  <c r="Q374" i="4"/>
  <c r="P374" i="4"/>
  <c r="AB373" i="4"/>
  <c r="X373" i="4"/>
  <c r="Q373" i="4"/>
  <c r="P373" i="4"/>
  <c r="AB372" i="4"/>
  <c r="X372" i="4"/>
  <c r="Q372" i="4"/>
  <c r="P372" i="4"/>
  <c r="AB371" i="4"/>
  <c r="X371" i="4"/>
  <c r="Q371" i="4"/>
  <c r="P371" i="4"/>
  <c r="AB370" i="4"/>
  <c r="X370" i="4"/>
  <c r="Q370" i="4"/>
  <c r="P370" i="4"/>
  <c r="AB369" i="4"/>
  <c r="X369" i="4"/>
  <c r="Q369" i="4"/>
  <c r="P369" i="4"/>
  <c r="AB368" i="4"/>
  <c r="X368" i="4"/>
  <c r="Q368" i="4"/>
  <c r="P368" i="4"/>
  <c r="AB367" i="4"/>
  <c r="X367" i="4"/>
  <c r="Q367" i="4"/>
  <c r="P367" i="4"/>
  <c r="AB366" i="4"/>
  <c r="X366" i="4"/>
  <c r="Q366" i="4"/>
  <c r="P366" i="4"/>
  <c r="AB365" i="4"/>
  <c r="X365" i="4"/>
  <c r="Q365" i="4"/>
  <c r="P365" i="4"/>
  <c r="AB364" i="4"/>
  <c r="X364" i="4"/>
  <c r="Q364" i="4"/>
  <c r="P364" i="4"/>
  <c r="AB363" i="4"/>
  <c r="X363" i="4"/>
  <c r="Q363" i="4"/>
  <c r="P363" i="4"/>
  <c r="AB362" i="4"/>
  <c r="X362" i="4"/>
  <c r="Q362" i="4"/>
  <c r="P362" i="4"/>
  <c r="AB361" i="4"/>
  <c r="X361" i="4"/>
  <c r="Q361" i="4"/>
  <c r="P361" i="4"/>
  <c r="AB360" i="4"/>
  <c r="X360" i="4"/>
  <c r="Q360" i="4"/>
  <c r="P360" i="4"/>
  <c r="AB359" i="4"/>
  <c r="X359" i="4"/>
  <c r="Q359" i="4"/>
  <c r="P359" i="4"/>
  <c r="AB358" i="4"/>
  <c r="X358" i="4"/>
  <c r="Q358" i="4"/>
  <c r="P358" i="4"/>
  <c r="AB357" i="4"/>
  <c r="X357" i="4"/>
  <c r="Q357" i="4"/>
  <c r="P357" i="4"/>
  <c r="AB356" i="4"/>
  <c r="X356" i="4"/>
  <c r="Q356" i="4"/>
  <c r="P356" i="4"/>
  <c r="AB355" i="4"/>
  <c r="X355" i="4"/>
  <c r="Q355" i="4"/>
  <c r="P355" i="4"/>
  <c r="AB354" i="4"/>
  <c r="X354" i="4"/>
  <c r="Q354" i="4"/>
  <c r="P354" i="4"/>
  <c r="AB353" i="4"/>
  <c r="X353" i="4"/>
  <c r="Q353" i="4"/>
  <c r="P353" i="4"/>
  <c r="AB352" i="4"/>
  <c r="X352" i="4"/>
  <c r="Q352" i="4"/>
  <c r="P352" i="4"/>
  <c r="AB351" i="4"/>
  <c r="X351" i="4"/>
  <c r="Q351" i="4"/>
  <c r="P351" i="4"/>
  <c r="AB350" i="4"/>
  <c r="X350" i="4"/>
  <c r="Q350" i="4"/>
  <c r="P350" i="4"/>
  <c r="AB349" i="4"/>
  <c r="X349" i="4"/>
  <c r="Q349" i="4"/>
  <c r="P349" i="4"/>
  <c r="AB348" i="4"/>
  <c r="X348" i="4"/>
  <c r="Q348" i="4"/>
  <c r="P348" i="4"/>
  <c r="AB347" i="4"/>
  <c r="X347" i="4"/>
  <c r="Q347" i="4"/>
  <c r="P347" i="4"/>
  <c r="AB346" i="4"/>
  <c r="X346" i="4"/>
  <c r="Q346" i="4"/>
  <c r="P346" i="4"/>
  <c r="AB345" i="4"/>
  <c r="X345" i="4"/>
  <c r="Q345" i="4"/>
  <c r="P345" i="4"/>
  <c r="AB344" i="4"/>
  <c r="X344" i="4"/>
  <c r="Q344" i="4"/>
  <c r="P344" i="4"/>
  <c r="AB343" i="4"/>
  <c r="X343" i="4"/>
  <c r="Q343" i="4"/>
  <c r="P343" i="4"/>
  <c r="AB342" i="4"/>
  <c r="X342" i="4"/>
  <c r="Q342" i="4"/>
  <c r="P342" i="4"/>
  <c r="AB341" i="4"/>
  <c r="X341" i="4"/>
  <c r="Q341" i="4"/>
  <c r="P341" i="4"/>
  <c r="AB340" i="4"/>
  <c r="X340" i="4"/>
  <c r="Q340" i="4"/>
  <c r="P340" i="4"/>
  <c r="AB339" i="4"/>
  <c r="X339" i="4"/>
  <c r="Q339" i="4"/>
  <c r="P339" i="4"/>
  <c r="AB338" i="4"/>
  <c r="X338" i="4"/>
  <c r="Q338" i="4"/>
  <c r="P338" i="4"/>
  <c r="AB337" i="4"/>
  <c r="X337" i="4"/>
  <c r="Q337" i="4"/>
  <c r="P337" i="4"/>
  <c r="AB336" i="4"/>
  <c r="X336" i="4"/>
  <c r="Q336" i="4"/>
  <c r="P336" i="4"/>
  <c r="AB335" i="4"/>
  <c r="X335" i="4"/>
  <c r="Q335" i="4"/>
  <c r="P335" i="4"/>
  <c r="AB334" i="4"/>
  <c r="X334" i="4"/>
  <c r="Q334" i="4"/>
  <c r="P334" i="4"/>
  <c r="AB333" i="4"/>
  <c r="X333" i="4"/>
  <c r="Q333" i="4"/>
  <c r="P333" i="4"/>
  <c r="AB332" i="4"/>
  <c r="X332" i="4"/>
  <c r="Q332" i="4"/>
  <c r="P332" i="4"/>
  <c r="AB331" i="4"/>
  <c r="X331" i="4"/>
  <c r="Q331" i="4"/>
  <c r="P331" i="4"/>
  <c r="AB330" i="4"/>
  <c r="X330" i="4"/>
  <c r="Q330" i="4"/>
  <c r="P330" i="4"/>
  <c r="AB329" i="4"/>
  <c r="X329" i="4"/>
  <c r="Q329" i="4"/>
  <c r="P329" i="4"/>
  <c r="AB328" i="4"/>
  <c r="X328" i="4"/>
  <c r="Q328" i="4"/>
  <c r="P328" i="4"/>
  <c r="AB327" i="4"/>
  <c r="X327" i="4"/>
  <c r="Q327" i="4"/>
  <c r="P327" i="4"/>
  <c r="AB326" i="4"/>
  <c r="X326" i="4"/>
  <c r="Q326" i="4"/>
  <c r="P326" i="4"/>
  <c r="AB325" i="4"/>
  <c r="X325" i="4"/>
  <c r="Q325" i="4"/>
  <c r="P325" i="4"/>
  <c r="AB324" i="4"/>
  <c r="X324" i="4"/>
  <c r="Q324" i="4"/>
  <c r="P324" i="4"/>
  <c r="AB323" i="4"/>
  <c r="X323" i="4"/>
  <c r="Q323" i="4"/>
  <c r="P323" i="4"/>
  <c r="AB322" i="4"/>
  <c r="X322" i="4"/>
  <c r="Q322" i="4"/>
  <c r="P322" i="4"/>
  <c r="AB321" i="4"/>
  <c r="X321" i="4"/>
  <c r="Q321" i="4"/>
  <c r="P321" i="4"/>
  <c r="AB320" i="4"/>
  <c r="X320" i="4"/>
  <c r="Q320" i="4"/>
  <c r="P320" i="4"/>
  <c r="AB319" i="4"/>
  <c r="X319" i="4"/>
  <c r="Q319" i="4"/>
  <c r="P319" i="4"/>
  <c r="AB318" i="4"/>
  <c r="X318" i="4"/>
  <c r="Q318" i="4"/>
  <c r="P318" i="4"/>
  <c r="AB317" i="4"/>
  <c r="X317" i="4"/>
  <c r="Q317" i="4"/>
  <c r="P317" i="4"/>
  <c r="AB316" i="4"/>
  <c r="X316" i="4"/>
  <c r="Q316" i="4"/>
  <c r="P316" i="4"/>
  <c r="AB315" i="4"/>
  <c r="X315" i="4"/>
  <c r="Q315" i="4"/>
  <c r="P315" i="4"/>
  <c r="AB314" i="4"/>
  <c r="X314" i="4"/>
  <c r="Q314" i="4"/>
  <c r="P314" i="4"/>
  <c r="AB313" i="4"/>
  <c r="X313" i="4"/>
  <c r="Q313" i="4"/>
  <c r="P313" i="4"/>
  <c r="AB312" i="4"/>
  <c r="X312" i="4"/>
  <c r="Q312" i="4"/>
  <c r="P312" i="4"/>
  <c r="AB311" i="4"/>
  <c r="X311" i="4"/>
  <c r="Q311" i="4"/>
  <c r="P311" i="4"/>
  <c r="AB310" i="4"/>
  <c r="X310" i="4"/>
  <c r="Q310" i="4"/>
  <c r="P310" i="4"/>
  <c r="AB309" i="4"/>
  <c r="X309" i="4"/>
  <c r="Q309" i="4"/>
  <c r="P309" i="4"/>
  <c r="AB308" i="4"/>
  <c r="X308" i="4"/>
  <c r="Q308" i="4"/>
  <c r="P308" i="4"/>
  <c r="AB307" i="4"/>
  <c r="X307" i="4"/>
  <c r="Q307" i="4"/>
  <c r="P307" i="4"/>
  <c r="AB306" i="4"/>
  <c r="X306" i="4"/>
  <c r="Q306" i="4"/>
  <c r="P306" i="4"/>
  <c r="AB305" i="4"/>
  <c r="X305" i="4"/>
  <c r="Q305" i="4"/>
  <c r="P305" i="4"/>
  <c r="AB304" i="4"/>
  <c r="X304" i="4"/>
  <c r="Q304" i="4"/>
  <c r="P304" i="4"/>
  <c r="AB303" i="4"/>
  <c r="X303" i="4"/>
  <c r="Q303" i="4"/>
  <c r="P303" i="4"/>
  <c r="AB302" i="4"/>
  <c r="X302" i="4"/>
  <c r="Q302" i="4"/>
  <c r="P302" i="4"/>
  <c r="AB301" i="4"/>
  <c r="X301" i="4"/>
  <c r="Q301" i="4"/>
  <c r="P301" i="4"/>
  <c r="AB300" i="4"/>
  <c r="X300" i="4"/>
  <c r="AB299" i="4"/>
  <c r="X299" i="4"/>
  <c r="AB298" i="4"/>
  <c r="X298" i="4"/>
  <c r="AB297" i="4"/>
  <c r="X297" i="4"/>
  <c r="AB296" i="4"/>
  <c r="X296" i="4"/>
  <c r="AB295" i="4"/>
  <c r="X295" i="4"/>
  <c r="AB294" i="4"/>
  <c r="X294" i="4"/>
  <c r="AB293" i="4"/>
  <c r="X293" i="4"/>
  <c r="AB292" i="4"/>
  <c r="X292" i="4"/>
  <c r="AB291" i="4"/>
  <c r="X291" i="4"/>
  <c r="AB290" i="4"/>
  <c r="X290" i="4"/>
  <c r="AB289" i="4"/>
  <c r="X289" i="4"/>
  <c r="AB288" i="4"/>
  <c r="X288" i="4"/>
  <c r="AB287" i="4"/>
  <c r="X287" i="4"/>
  <c r="AB286" i="4"/>
  <c r="X286" i="4"/>
  <c r="AB285" i="4"/>
  <c r="X285" i="4"/>
  <c r="AB284" i="4"/>
  <c r="X284" i="4"/>
  <c r="AB283" i="4"/>
  <c r="X283" i="4"/>
  <c r="AB282" i="4"/>
  <c r="X282" i="4"/>
  <c r="AB281" i="4"/>
  <c r="X281" i="4"/>
  <c r="Q281" i="4"/>
  <c r="P281" i="4"/>
  <c r="AB280" i="4"/>
  <c r="C81" i="2" s="1"/>
  <c r="X280" i="4"/>
  <c r="Q280" i="4"/>
  <c r="P280" i="4"/>
  <c r="AB279" i="4"/>
  <c r="X279" i="4"/>
  <c r="Q279" i="4"/>
  <c r="P279" i="4"/>
  <c r="AB278" i="4"/>
  <c r="X278" i="4"/>
  <c r="Q278" i="4"/>
  <c r="P278" i="4"/>
  <c r="AB277" i="4"/>
  <c r="X277" i="4"/>
  <c r="Q277" i="4"/>
  <c r="P277" i="4"/>
  <c r="AB276" i="4"/>
  <c r="X276" i="4"/>
  <c r="Q276" i="4"/>
  <c r="P276" i="4"/>
  <c r="AB275" i="4"/>
  <c r="X275" i="4"/>
  <c r="Q275" i="4"/>
  <c r="P275" i="4"/>
  <c r="AB274" i="4"/>
  <c r="X274" i="4"/>
  <c r="Q274" i="4"/>
  <c r="P274" i="4"/>
  <c r="AB273" i="4"/>
  <c r="X273" i="4"/>
  <c r="Q273" i="4"/>
  <c r="P273" i="4"/>
  <c r="AB272" i="4"/>
  <c r="X272" i="4"/>
  <c r="Q272" i="4"/>
  <c r="P272" i="4"/>
  <c r="AB271" i="4"/>
  <c r="X271" i="4"/>
  <c r="Q271" i="4"/>
  <c r="P271" i="4"/>
  <c r="AB270" i="4"/>
  <c r="X270" i="4"/>
  <c r="Q270" i="4"/>
  <c r="P270" i="4"/>
  <c r="AB269" i="4"/>
  <c r="X269" i="4"/>
  <c r="Q269" i="4"/>
  <c r="P269" i="4"/>
  <c r="AB268" i="4"/>
  <c r="X268" i="4"/>
  <c r="Q268" i="4"/>
  <c r="P268" i="4"/>
  <c r="AB267" i="4"/>
  <c r="X267" i="4"/>
  <c r="Q267" i="4"/>
  <c r="P267" i="4"/>
  <c r="AB266" i="4"/>
  <c r="X266" i="4"/>
  <c r="Q266" i="4"/>
  <c r="P266" i="4"/>
  <c r="AB265" i="4"/>
  <c r="X265" i="4"/>
  <c r="Q265" i="4"/>
  <c r="P265" i="4"/>
  <c r="AB264" i="4"/>
  <c r="X264" i="4"/>
  <c r="Q264" i="4"/>
  <c r="P264" i="4"/>
  <c r="AB263" i="4"/>
  <c r="X263" i="4"/>
  <c r="Q263" i="4"/>
  <c r="P263" i="4"/>
  <c r="AB262" i="4"/>
  <c r="X262" i="4"/>
  <c r="Q262" i="4"/>
  <c r="P262" i="4"/>
  <c r="AB261" i="4"/>
  <c r="X261" i="4"/>
  <c r="Q261" i="4"/>
  <c r="P261" i="4"/>
  <c r="AB260" i="4"/>
  <c r="X260" i="4"/>
  <c r="Q260" i="4"/>
  <c r="P260" i="4"/>
  <c r="AB259" i="4"/>
  <c r="X259" i="4"/>
  <c r="Q259" i="4"/>
  <c r="P259" i="4"/>
  <c r="AB258" i="4"/>
  <c r="X258" i="4"/>
  <c r="Q258" i="4"/>
  <c r="P258" i="4"/>
  <c r="AB257" i="4"/>
  <c r="X257" i="4"/>
  <c r="Q257" i="4"/>
  <c r="P257" i="4"/>
  <c r="AB256" i="4"/>
  <c r="X256" i="4"/>
  <c r="Q256" i="4"/>
  <c r="P256" i="4"/>
  <c r="AB255" i="4"/>
  <c r="X255" i="4"/>
  <c r="Q255" i="4"/>
  <c r="P255" i="4"/>
  <c r="AB254" i="4"/>
  <c r="X254" i="4"/>
  <c r="Q254" i="4"/>
  <c r="P254" i="4"/>
  <c r="AB253" i="4"/>
  <c r="X253" i="4"/>
  <c r="Q253" i="4"/>
  <c r="P253" i="4"/>
  <c r="AB252" i="4"/>
  <c r="X252" i="4"/>
  <c r="Q252" i="4"/>
  <c r="P252" i="4"/>
  <c r="AB251" i="4"/>
  <c r="X251" i="4"/>
  <c r="Q251" i="4"/>
  <c r="P251" i="4"/>
  <c r="AB250" i="4"/>
  <c r="X250" i="4"/>
  <c r="Q250" i="4"/>
  <c r="P250" i="4"/>
  <c r="AB249" i="4"/>
  <c r="X249" i="4"/>
  <c r="Q249" i="4"/>
  <c r="P249" i="4"/>
  <c r="AB248" i="4"/>
  <c r="X248" i="4"/>
  <c r="Q248" i="4"/>
  <c r="P248" i="4"/>
  <c r="AB247" i="4"/>
  <c r="X247" i="4"/>
  <c r="Q247" i="4"/>
  <c r="P247" i="4"/>
  <c r="AB246" i="4"/>
  <c r="X246" i="4"/>
  <c r="Q246" i="4"/>
  <c r="P246" i="4"/>
  <c r="AB245" i="4"/>
  <c r="X245" i="4"/>
  <c r="Q245" i="4"/>
  <c r="P245" i="4"/>
  <c r="AB244" i="4"/>
  <c r="X244" i="4"/>
  <c r="Q244" i="4"/>
  <c r="P244" i="4"/>
  <c r="AB243" i="4"/>
  <c r="X243" i="4"/>
  <c r="Q243" i="4"/>
  <c r="P243" i="4"/>
  <c r="AB242" i="4"/>
  <c r="X242" i="4"/>
  <c r="Q242" i="4"/>
  <c r="P242" i="4"/>
  <c r="AB241" i="4"/>
  <c r="X241" i="4"/>
  <c r="Q241" i="4"/>
  <c r="P241" i="4"/>
  <c r="AB240" i="4"/>
  <c r="X240" i="4"/>
  <c r="Q240" i="4"/>
  <c r="P240" i="4"/>
  <c r="AB239" i="4"/>
  <c r="X239" i="4"/>
  <c r="Q239" i="4"/>
  <c r="P239" i="4"/>
  <c r="AB238" i="4"/>
  <c r="X238" i="4"/>
  <c r="Q238" i="4"/>
  <c r="P238" i="4"/>
  <c r="AB237" i="4"/>
  <c r="X237" i="4"/>
  <c r="Q237" i="4"/>
  <c r="P237" i="4"/>
  <c r="AB236" i="4"/>
  <c r="X236" i="4"/>
  <c r="Q236" i="4"/>
  <c r="P236" i="4"/>
  <c r="AB235" i="4"/>
  <c r="X235" i="4"/>
  <c r="Q235" i="4"/>
  <c r="P235" i="4"/>
  <c r="AB234" i="4"/>
  <c r="X234" i="4"/>
  <c r="Q234" i="4"/>
  <c r="P234" i="4"/>
  <c r="AB233" i="4"/>
  <c r="X233" i="4"/>
  <c r="Q233" i="4"/>
  <c r="P233" i="4"/>
  <c r="AB232" i="4"/>
  <c r="X232" i="4"/>
  <c r="Q232" i="4"/>
  <c r="P232" i="4"/>
  <c r="AB231" i="4"/>
  <c r="X231" i="4"/>
  <c r="Q231" i="4"/>
  <c r="P231" i="4"/>
  <c r="AB230" i="4"/>
  <c r="X230" i="4"/>
  <c r="Q230" i="4"/>
  <c r="P230" i="4"/>
  <c r="AB229" i="4"/>
  <c r="X229" i="4"/>
  <c r="Q229" i="4"/>
  <c r="P229" i="4"/>
  <c r="AB228" i="4"/>
  <c r="X228" i="4"/>
  <c r="Q228" i="4"/>
  <c r="P228" i="4"/>
  <c r="AB227" i="4"/>
  <c r="X227" i="4"/>
  <c r="Q227" i="4"/>
  <c r="P227" i="4"/>
  <c r="AB226" i="4"/>
  <c r="X226" i="4"/>
  <c r="Q226" i="4"/>
  <c r="P226" i="4"/>
  <c r="AB225" i="4"/>
  <c r="X225" i="4"/>
  <c r="Q225" i="4"/>
  <c r="P225" i="4"/>
  <c r="AB224" i="4"/>
  <c r="X224" i="4"/>
  <c r="Q224" i="4"/>
  <c r="P224" i="4"/>
  <c r="AB223" i="4"/>
  <c r="X223" i="4"/>
  <c r="Q223" i="4"/>
  <c r="P223" i="4"/>
  <c r="AB222" i="4"/>
  <c r="X222" i="4"/>
  <c r="Q222" i="4"/>
  <c r="P222" i="4"/>
  <c r="AB221" i="4"/>
  <c r="X221" i="4"/>
  <c r="Q221" i="4"/>
  <c r="P221" i="4"/>
  <c r="AB220" i="4"/>
  <c r="X220" i="4"/>
  <c r="Q220" i="4"/>
  <c r="P220" i="4"/>
  <c r="AB219" i="4"/>
  <c r="X219" i="4"/>
  <c r="Q219" i="4"/>
  <c r="P219" i="4"/>
  <c r="AB218" i="4"/>
  <c r="X218" i="4"/>
  <c r="Q218" i="4"/>
  <c r="P218" i="4"/>
  <c r="AB217" i="4"/>
  <c r="X217" i="4"/>
  <c r="Q217" i="4"/>
  <c r="P217" i="4"/>
  <c r="AB216" i="4"/>
  <c r="X216" i="4"/>
  <c r="Q216" i="4"/>
  <c r="P216" i="4"/>
  <c r="AB215" i="4"/>
  <c r="X215" i="4"/>
  <c r="Q215" i="4"/>
  <c r="P215" i="4"/>
  <c r="AB214" i="4"/>
  <c r="X214" i="4"/>
  <c r="Q214" i="4"/>
  <c r="P214" i="4"/>
  <c r="AB213" i="4"/>
  <c r="X213" i="4"/>
  <c r="Q213" i="4"/>
  <c r="P213" i="4"/>
  <c r="AB212" i="4"/>
  <c r="X212" i="4"/>
  <c r="Q212" i="4"/>
  <c r="P212" i="4"/>
  <c r="AB211" i="4"/>
  <c r="X211" i="4"/>
  <c r="Q211" i="4"/>
  <c r="P211" i="4"/>
  <c r="AB210" i="4"/>
  <c r="X210" i="4"/>
  <c r="Q210" i="4"/>
  <c r="P210" i="4"/>
  <c r="AB209" i="4"/>
  <c r="X209" i="4"/>
  <c r="Q209" i="4"/>
  <c r="P209" i="4"/>
  <c r="AB208" i="4"/>
  <c r="X208" i="4"/>
  <c r="Q208" i="4"/>
  <c r="P208" i="4"/>
  <c r="AB207" i="4"/>
  <c r="X207" i="4"/>
  <c r="Q207" i="4"/>
  <c r="P207" i="4"/>
  <c r="AB206" i="4"/>
  <c r="X206" i="4"/>
  <c r="Q206" i="4"/>
  <c r="P206" i="4"/>
  <c r="AB205" i="4"/>
  <c r="X205" i="4"/>
  <c r="Q205" i="4"/>
  <c r="P205" i="4"/>
  <c r="AB204" i="4"/>
  <c r="X204" i="4"/>
  <c r="Q204" i="4"/>
  <c r="P204" i="4"/>
  <c r="AB203" i="4"/>
  <c r="X203" i="4"/>
  <c r="Q203" i="4"/>
  <c r="P203" i="4"/>
  <c r="AB202" i="4"/>
  <c r="X202" i="4"/>
  <c r="Q202" i="4"/>
  <c r="P202" i="4"/>
  <c r="AB201" i="4"/>
  <c r="X201" i="4"/>
  <c r="Q201" i="4"/>
  <c r="P201" i="4"/>
  <c r="AB200" i="4"/>
  <c r="X200" i="4"/>
  <c r="Q200" i="4"/>
  <c r="P200" i="4"/>
  <c r="AB199" i="4"/>
  <c r="X199" i="4"/>
  <c r="Q199" i="4"/>
  <c r="P199" i="4"/>
  <c r="AB198" i="4"/>
  <c r="X198" i="4"/>
  <c r="Q198" i="4"/>
  <c r="P198" i="4"/>
  <c r="AB197" i="4"/>
  <c r="X197" i="4"/>
  <c r="Q197" i="4"/>
  <c r="P197" i="4"/>
  <c r="AB196" i="4"/>
  <c r="X196" i="4"/>
  <c r="Q196" i="4"/>
  <c r="P196" i="4"/>
  <c r="AB195" i="4"/>
  <c r="X195" i="4"/>
  <c r="Q195" i="4"/>
  <c r="P195" i="4"/>
  <c r="AB194" i="4"/>
  <c r="X194" i="4"/>
  <c r="Q194" i="4"/>
  <c r="P194" i="4"/>
  <c r="AB193" i="4"/>
  <c r="X193" i="4"/>
  <c r="Q193" i="4"/>
  <c r="P193" i="4"/>
  <c r="AB192" i="4"/>
  <c r="B80" i="2" s="1"/>
  <c r="X192" i="4"/>
  <c r="Q192" i="4"/>
  <c r="P192" i="4"/>
  <c r="AB191" i="4"/>
  <c r="X191" i="4"/>
  <c r="Q191" i="4"/>
  <c r="P191" i="4"/>
  <c r="AB190" i="4"/>
  <c r="X190" i="4"/>
  <c r="Q190" i="4"/>
  <c r="P190" i="4"/>
  <c r="AB189" i="4"/>
  <c r="X189" i="4"/>
  <c r="Q189" i="4"/>
  <c r="P189" i="4"/>
  <c r="AB188" i="4"/>
  <c r="X188" i="4"/>
  <c r="Q188" i="4"/>
  <c r="P188" i="4"/>
  <c r="AB187" i="4"/>
  <c r="X187" i="4"/>
  <c r="Q187" i="4"/>
  <c r="P187" i="4"/>
  <c r="AB186" i="4"/>
  <c r="X186" i="4"/>
  <c r="Q186" i="4"/>
  <c r="P186" i="4"/>
  <c r="AB185" i="4"/>
  <c r="X185" i="4"/>
  <c r="Q185" i="4"/>
  <c r="P185" i="4"/>
  <c r="AB184" i="4"/>
  <c r="X184" i="4"/>
  <c r="Q184" i="4"/>
  <c r="P184" i="4"/>
  <c r="AB183" i="4"/>
  <c r="X183" i="4"/>
  <c r="Q183" i="4"/>
  <c r="P183" i="4"/>
  <c r="AB182" i="4"/>
  <c r="X182" i="4"/>
  <c r="Q182" i="4"/>
  <c r="P182" i="4"/>
  <c r="AB181" i="4"/>
  <c r="X181" i="4"/>
  <c r="Q181" i="4"/>
  <c r="P181" i="4"/>
  <c r="AB180" i="4"/>
  <c r="X180" i="4"/>
  <c r="Q180" i="4"/>
  <c r="P180" i="4"/>
  <c r="AB179" i="4"/>
  <c r="X179" i="4"/>
  <c r="Q179" i="4"/>
  <c r="P179" i="4"/>
  <c r="AB178" i="4"/>
  <c r="X178" i="4"/>
  <c r="Q178" i="4"/>
  <c r="P178" i="4"/>
  <c r="AB177" i="4"/>
  <c r="X177" i="4"/>
  <c r="Q177" i="4"/>
  <c r="P177" i="4"/>
  <c r="AB176" i="4"/>
  <c r="X176" i="4"/>
  <c r="Q176" i="4"/>
  <c r="P176" i="4"/>
  <c r="AB175" i="4"/>
  <c r="X175" i="4"/>
  <c r="Q175" i="4"/>
  <c r="P175" i="4"/>
  <c r="AB174" i="4"/>
  <c r="X174" i="4"/>
  <c r="Q174" i="4"/>
  <c r="P174" i="4"/>
  <c r="AB173" i="4"/>
  <c r="X173" i="4"/>
  <c r="Q173" i="4"/>
  <c r="P173" i="4"/>
  <c r="AB172" i="4"/>
  <c r="X172" i="4"/>
  <c r="Q172" i="4"/>
  <c r="P172" i="4"/>
  <c r="AB171" i="4"/>
  <c r="X171" i="4"/>
  <c r="Q171" i="4"/>
  <c r="P171" i="4"/>
  <c r="AB170" i="4"/>
  <c r="X170" i="4"/>
  <c r="Q170" i="4"/>
  <c r="P170" i="4"/>
  <c r="AB169" i="4"/>
  <c r="X169" i="4"/>
  <c r="Q169" i="4"/>
  <c r="P169" i="4"/>
  <c r="AB168" i="4"/>
  <c r="X168" i="4"/>
  <c r="Q168" i="4"/>
  <c r="P168" i="4"/>
  <c r="AB167" i="4"/>
  <c r="X167" i="4"/>
  <c r="Q167" i="4"/>
  <c r="P167" i="4"/>
  <c r="AB166" i="4"/>
  <c r="X166" i="4"/>
  <c r="Q166" i="4"/>
  <c r="P166" i="4"/>
  <c r="AB165" i="4"/>
  <c r="X165" i="4"/>
  <c r="Q165" i="4"/>
  <c r="P165" i="4"/>
  <c r="AB164" i="4"/>
  <c r="X164" i="4"/>
  <c r="Q164" i="4"/>
  <c r="P164" i="4"/>
  <c r="AB163" i="4"/>
  <c r="X163" i="4"/>
  <c r="Q163" i="4"/>
  <c r="P163" i="4"/>
  <c r="AB162" i="4"/>
  <c r="X162" i="4"/>
  <c r="Q162" i="4"/>
  <c r="P162" i="4"/>
  <c r="AB161" i="4"/>
  <c r="X161" i="4"/>
  <c r="Q161" i="4"/>
  <c r="P161" i="4"/>
  <c r="AB160" i="4"/>
  <c r="X160" i="4"/>
  <c r="Q160" i="4"/>
  <c r="P160" i="4"/>
  <c r="AB159" i="4"/>
  <c r="X159" i="4"/>
  <c r="Q159" i="4"/>
  <c r="P159" i="4"/>
  <c r="AB158" i="4"/>
  <c r="X158" i="4"/>
  <c r="Q158" i="4"/>
  <c r="P158" i="4"/>
  <c r="AB157" i="4"/>
  <c r="X157" i="4"/>
  <c r="Q157" i="4"/>
  <c r="P157" i="4"/>
  <c r="AB156" i="4"/>
  <c r="X156" i="4"/>
  <c r="Q156" i="4"/>
  <c r="P156" i="4"/>
  <c r="AB155" i="4"/>
  <c r="X155" i="4"/>
  <c r="Q155" i="4"/>
  <c r="P155" i="4"/>
  <c r="AB154" i="4"/>
  <c r="X154" i="4"/>
  <c r="Q154" i="4"/>
  <c r="P154" i="4"/>
  <c r="AB153" i="4"/>
  <c r="X153" i="4"/>
  <c r="Q153" i="4"/>
  <c r="P153" i="4"/>
  <c r="AB152" i="4"/>
  <c r="X152" i="4"/>
  <c r="Q152" i="4"/>
  <c r="P152" i="4"/>
  <c r="AB151" i="4"/>
  <c r="X151" i="4"/>
  <c r="Q151" i="4"/>
  <c r="P151" i="4"/>
  <c r="AB150" i="4"/>
  <c r="X150" i="4"/>
  <c r="Q150" i="4"/>
  <c r="P150" i="4"/>
  <c r="AB149" i="4"/>
  <c r="X149" i="4"/>
  <c r="Q149" i="4"/>
  <c r="P149" i="4"/>
  <c r="AB148" i="4"/>
  <c r="X148" i="4"/>
  <c r="Q148" i="4"/>
  <c r="P148" i="4"/>
  <c r="AB147" i="4"/>
  <c r="X147" i="4"/>
  <c r="Q147" i="4"/>
  <c r="P147" i="4"/>
  <c r="AB146" i="4"/>
  <c r="X146" i="4"/>
  <c r="Q146" i="4"/>
  <c r="P146" i="4"/>
  <c r="AB145" i="4"/>
  <c r="X145" i="4"/>
  <c r="Q145" i="4"/>
  <c r="P145" i="4"/>
  <c r="AB144" i="4"/>
  <c r="X144" i="4"/>
  <c r="Q144" i="4"/>
  <c r="P144" i="4"/>
  <c r="AB143" i="4"/>
  <c r="X143" i="4"/>
  <c r="Q143" i="4"/>
  <c r="P143" i="4"/>
  <c r="AB142" i="4"/>
  <c r="X142" i="4"/>
  <c r="Q142" i="4"/>
  <c r="P142" i="4"/>
  <c r="AB141" i="4"/>
  <c r="X141" i="4"/>
  <c r="Q141" i="4"/>
  <c r="P141" i="4"/>
  <c r="AB140" i="4"/>
  <c r="X140" i="4"/>
  <c r="Q140" i="4"/>
  <c r="P140" i="4"/>
  <c r="AB139" i="4"/>
  <c r="X139" i="4"/>
  <c r="Q139" i="4"/>
  <c r="P139" i="4"/>
  <c r="AB138" i="4"/>
  <c r="X138" i="4"/>
  <c r="Q138" i="4"/>
  <c r="P138" i="4"/>
  <c r="AB137" i="4"/>
  <c r="X137" i="4"/>
  <c r="Q137" i="4"/>
  <c r="P137" i="4"/>
  <c r="AB136" i="4"/>
  <c r="X136" i="4"/>
  <c r="Q136" i="4"/>
  <c r="P136" i="4"/>
  <c r="AB135" i="4"/>
  <c r="X135" i="4"/>
  <c r="Q135" i="4"/>
  <c r="P135" i="4"/>
  <c r="AB134" i="4"/>
  <c r="X134" i="4"/>
  <c r="Q134" i="4"/>
  <c r="P134" i="4"/>
  <c r="AB133" i="4"/>
  <c r="X133" i="4"/>
  <c r="Q133" i="4"/>
  <c r="P133" i="4"/>
  <c r="AB132" i="4"/>
  <c r="X132" i="4"/>
  <c r="Q132" i="4"/>
  <c r="P132" i="4"/>
  <c r="AB131" i="4"/>
  <c r="X131" i="4"/>
  <c r="Q131" i="4"/>
  <c r="P131" i="4"/>
  <c r="AB130" i="4"/>
  <c r="X130" i="4"/>
  <c r="Q130" i="4"/>
  <c r="P130" i="4"/>
  <c r="AB129" i="4"/>
  <c r="X129" i="4"/>
  <c r="Q129" i="4"/>
  <c r="P129" i="4"/>
  <c r="AB128" i="4"/>
  <c r="X128" i="4"/>
  <c r="Q128" i="4"/>
  <c r="P128" i="4"/>
  <c r="AB127" i="4"/>
  <c r="X127" i="4"/>
  <c r="Q127" i="4"/>
  <c r="P127" i="4"/>
  <c r="AB126" i="4"/>
  <c r="X126" i="4"/>
  <c r="Q126" i="4"/>
  <c r="P126" i="4"/>
  <c r="AB125" i="4"/>
  <c r="X125" i="4"/>
  <c r="Q125" i="4"/>
  <c r="P125" i="4"/>
  <c r="AB124" i="4"/>
  <c r="X124" i="4"/>
  <c r="Q124" i="4"/>
  <c r="P124" i="4"/>
  <c r="AB123" i="4"/>
  <c r="X123" i="4"/>
  <c r="Q123" i="4"/>
  <c r="P123" i="4"/>
  <c r="AB122" i="4"/>
  <c r="X122" i="4"/>
  <c r="Q122" i="4"/>
  <c r="P122" i="4"/>
  <c r="AB121" i="4"/>
  <c r="X121" i="4"/>
  <c r="Q121" i="4"/>
  <c r="P121" i="4"/>
  <c r="AB120" i="4"/>
  <c r="X120" i="4"/>
  <c r="Q120" i="4"/>
  <c r="P120" i="4"/>
  <c r="AB119" i="4"/>
  <c r="X119" i="4"/>
  <c r="Q119" i="4"/>
  <c r="P119" i="4"/>
  <c r="AB118" i="4"/>
  <c r="X118" i="4"/>
  <c r="Q118" i="4"/>
  <c r="P118" i="4"/>
  <c r="AB117" i="4"/>
  <c r="X117" i="4"/>
  <c r="Q117" i="4"/>
  <c r="P117" i="4"/>
  <c r="AB116" i="4"/>
  <c r="X116" i="4"/>
  <c r="Q116" i="4"/>
  <c r="P116" i="4"/>
  <c r="AB115" i="4"/>
  <c r="X115" i="4"/>
  <c r="Q115" i="4"/>
  <c r="P115" i="4"/>
  <c r="AB114" i="4"/>
  <c r="X114" i="4"/>
  <c r="Q114" i="4"/>
  <c r="P114" i="4"/>
  <c r="AB113" i="4"/>
  <c r="X113" i="4"/>
  <c r="Q113" i="4"/>
  <c r="P113" i="4"/>
  <c r="AB112" i="4"/>
  <c r="X112" i="4"/>
  <c r="Q112" i="4"/>
  <c r="P112" i="4"/>
  <c r="AB111" i="4"/>
  <c r="X111" i="4"/>
  <c r="Q111" i="4"/>
  <c r="P111" i="4"/>
  <c r="AB110" i="4"/>
  <c r="X110" i="4"/>
  <c r="Q110" i="4"/>
  <c r="P110" i="4"/>
  <c r="AB109" i="4"/>
  <c r="X109" i="4"/>
  <c r="Q109" i="4"/>
  <c r="P109" i="4"/>
  <c r="AB108" i="4"/>
  <c r="X108" i="4"/>
  <c r="Q108" i="4"/>
  <c r="P108" i="4"/>
  <c r="AB107" i="4"/>
  <c r="X107" i="4"/>
  <c r="Q107" i="4"/>
  <c r="P107" i="4"/>
  <c r="AB106" i="4"/>
  <c r="X106" i="4"/>
  <c r="Q106" i="4"/>
  <c r="P106" i="4"/>
  <c r="AB105" i="4"/>
  <c r="X105" i="4"/>
  <c r="Q105" i="4"/>
  <c r="AB104" i="4"/>
  <c r="X104" i="4"/>
  <c r="Q104" i="4"/>
  <c r="P104" i="4"/>
  <c r="AB103" i="4"/>
  <c r="X103" i="4"/>
  <c r="Q103" i="4"/>
  <c r="P103" i="4"/>
  <c r="AB102" i="4"/>
  <c r="X102" i="4"/>
  <c r="Q102" i="4"/>
  <c r="P102" i="4"/>
  <c r="AB101" i="4"/>
  <c r="X101" i="4"/>
  <c r="Q101" i="4"/>
  <c r="P101" i="4"/>
  <c r="AB100" i="4"/>
  <c r="X100" i="4"/>
  <c r="AB99" i="4"/>
  <c r="X99" i="4"/>
  <c r="Q99" i="4"/>
  <c r="P99" i="4"/>
  <c r="AB98" i="4"/>
  <c r="X98" i="4"/>
  <c r="Q98" i="4"/>
  <c r="P98" i="4"/>
  <c r="AB97" i="4"/>
  <c r="X97" i="4"/>
  <c r="Q97" i="4"/>
  <c r="P97" i="4"/>
  <c r="AB96" i="4"/>
  <c r="X96" i="4"/>
  <c r="Q96" i="4"/>
  <c r="P96" i="4"/>
  <c r="AB95" i="4"/>
  <c r="X95" i="4"/>
  <c r="Q95" i="4"/>
  <c r="P95" i="4"/>
  <c r="AB94" i="4"/>
  <c r="X94" i="4"/>
  <c r="Q94" i="4"/>
  <c r="P94" i="4"/>
  <c r="AB93" i="4"/>
  <c r="X93" i="4"/>
  <c r="Q93" i="4"/>
  <c r="P93" i="4"/>
  <c r="AB92" i="4"/>
  <c r="X92" i="4"/>
  <c r="Q92" i="4"/>
  <c r="P92" i="4"/>
  <c r="AB91" i="4"/>
  <c r="X91" i="4"/>
  <c r="Q91" i="4"/>
  <c r="P91" i="4"/>
  <c r="AB90" i="4"/>
  <c r="X90" i="4"/>
  <c r="Q90" i="4"/>
  <c r="P90" i="4"/>
  <c r="AB89" i="4"/>
  <c r="X89" i="4"/>
  <c r="Q89" i="4"/>
  <c r="P89" i="4"/>
  <c r="AB88" i="4"/>
  <c r="X88" i="4"/>
  <c r="Q88" i="4"/>
  <c r="P88" i="4"/>
  <c r="AB87" i="4"/>
  <c r="X87" i="4"/>
  <c r="Q87" i="4"/>
  <c r="P87" i="4"/>
  <c r="AB86" i="4"/>
  <c r="X86" i="4"/>
  <c r="Q86" i="4"/>
  <c r="P86" i="4"/>
  <c r="AB85" i="4"/>
  <c r="X85" i="4"/>
  <c r="Q85" i="4"/>
  <c r="P85" i="4"/>
  <c r="AB84" i="4"/>
  <c r="X84" i="4"/>
  <c r="Q84" i="4"/>
  <c r="P84" i="4"/>
  <c r="AB83" i="4"/>
  <c r="X83" i="4"/>
  <c r="Q83" i="4"/>
  <c r="P83" i="4"/>
  <c r="AB82" i="4"/>
  <c r="X82" i="4"/>
  <c r="Q82" i="4"/>
  <c r="P82" i="4"/>
  <c r="AB81" i="4"/>
  <c r="X81" i="4"/>
  <c r="Q81" i="4"/>
  <c r="P81" i="4"/>
  <c r="AB80" i="4"/>
  <c r="X80" i="4"/>
  <c r="Q80" i="4"/>
  <c r="P80" i="4"/>
  <c r="AB79" i="4"/>
  <c r="X79" i="4"/>
  <c r="Q79" i="4"/>
  <c r="P79" i="4"/>
  <c r="AB78" i="4"/>
  <c r="X78" i="4"/>
  <c r="Q78" i="4"/>
  <c r="P78" i="4"/>
  <c r="AB77" i="4"/>
  <c r="X77" i="4"/>
  <c r="Q77" i="4"/>
  <c r="P77" i="4"/>
  <c r="AB76" i="4"/>
  <c r="X76" i="4"/>
  <c r="Q76" i="4"/>
  <c r="P76" i="4"/>
  <c r="AB75" i="4"/>
  <c r="X75" i="4"/>
  <c r="Q75" i="4"/>
  <c r="P75" i="4"/>
  <c r="AB74" i="4"/>
  <c r="X74" i="4"/>
  <c r="Q74" i="4"/>
  <c r="P74" i="4"/>
  <c r="AB73" i="4"/>
  <c r="X73" i="4"/>
  <c r="Q73" i="4"/>
  <c r="P73" i="4"/>
  <c r="AB72" i="4"/>
  <c r="X72" i="4"/>
  <c r="Q72" i="4"/>
  <c r="P72" i="4"/>
  <c r="AB71" i="4"/>
  <c r="X71" i="4"/>
  <c r="Q71" i="4"/>
  <c r="P71" i="4"/>
  <c r="AB70" i="4"/>
  <c r="X70" i="4"/>
  <c r="Q70" i="4"/>
  <c r="P70" i="4"/>
  <c r="AB69" i="4"/>
  <c r="X69" i="4"/>
  <c r="Q69" i="4"/>
  <c r="P69" i="4"/>
  <c r="AB68" i="4"/>
  <c r="X68" i="4"/>
  <c r="Q68" i="4"/>
  <c r="P68" i="4"/>
  <c r="AB67" i="4"/>
  <c r="X67" i="4"/>
  <c r="Q67" i="4"/>
  <c r="P67" i="4"/>
  <c r="AB66" i="4"/>
  <c r="X66" i="4"/>
  <c r="Q66" i="4"/>
  <c r="P66" i="4"/>
  <c r="AB65" i="4"/>
  <c r="X65" i="4"/>
  <c r="Q65" i="4"/>
  <c r="P65" i="4"/>
  <c r="AB64" i="4"/>
  <c r="X64" i="4"/>
  <c r="Q64" i="4"/>
  <c r="P64" i="4"/>
  <c r="AB63" i="4"/>
  <c r="X63" i="4"/>
  <c r="Q63" i="4"/>
  <c r="P63" i="4"/>
  <c r="AB62" i="4"/>
  <c r="X62" i="4"/>
  <c r="Q62" i="4"/>
  <c r="P62" i="4"/>
  <c r="AB61" i="4"/>
  <c r="X61" i="4"/>
  <c r="Q61" i="4"/>
  <c r="P61" i="4"/>
  <c r="AB60" i="4"/>
  <c r="X60" i="4"/>
  <c r="Q60" i="4"/>
  <c r="P60" i="4"/>
  <c r="AB59" i="4"/>
  <c r="X59" i="4"/>
  <c r="Q59" i="4"/>
  <c r="P59" i="4"/>
  <c r="AB58" i="4"/>
  <c r="X58" i="4"/>
  <c r="Q58" i="4"/>
  <c r="P58" i="4"/>
  <c r="AB57" i="4"/>
  <c r="X57" i="4"/>
  <c r="Q57" i="4"/>
  <c r="P57" i="4"/>
  <c r="AB56" i="4"/>
  <c r="X56" i="4"/>
  <c r="Q56" i="4"/>
  <c r="P56" i="4"/>
  <c r="AB55" i="4"/>
  <c r="X55" i="4"/>
  <c r="Q55" i="4"/>
  <c r="P55" i="4"/>
  <c r="AB54" i="4"/>
  <c r="X54" i="4"/>
  <c r="Q54" i="4"/>
  <c r="P54" i="4"/>
  <c r="AB53" i="4"/>
  <c r="X53" i="4"/>
  <c r="Q53" i="4"/>
  <c r="P53" i="4"/>
  <c r="AB52" i="4"/>
  <c r="X52" i="4"/>
  <c r="Q52" i="4"/>
  <c r="P52" i="4"/>
  <c r="AB51" i="4"/>
  <c r="X51" i="4"/>
  <c r="Q51" i="4"/>
  <c r="P51" i="4"/>
  <c r="AB50" i="4"/>
  <c r="X50" i="4"/>
  <c r="Q50" i="4"/>
  <c r="P50" i="4"/>
  <c r="AB49" i="4"/>
  <c r="X49" i="4"/>
  <c r="Q49" i="4"/>
  <c r="P49" i="4"/>
  <c r="AB48" i="4"/>
  <c r="X48" i="4"/>
  <c r="Q48" i="4"/>
  <c r="P48" i="4"/>
  <c r="AB47" i="4"/>
  <c r="X47" i="4"/>
  <c r="Q47" i="4"/>
  <c r="P47" i="4"/>
  <c r="AB46" i="4"/>
  <c r="X46" i="4"/>
  <c r="Q46" i="4"/>
  <c r="P46" i="4"/>
  <c r="AB45" i="4"/>
  <c r="X45" i="4"/>
  <c r="Q45" i="4"/>
  <c r="P45" i="4"/>
  <c r="AB44" i="4"/>
  <c r="X44" i="4"/>
  <c r="Q44" i="4"/>
  <c r="P44" i="4"/>
  <c r="AB43" i="4"/>
  <c r="X43" i="4"/>
  <c r="Q43" i="4"/>
  <c r="P43" i="4"/>
  <c r="AB42" i="4"/>
  <c r="X42" i="4"/>
  <c r="Q42" i="4"/>
  <c r="P42" i="4"/>
  <c r="AB41" i="4"/>
  <c r="X41" i="4"/>
  <c r="Q41" i="4"/>
  <c r="P41" i="4"/>
  <c r="AB40" i="4"/>
  <c r="X40" i="4"/>
  <c r="Q40" i="4"/>
  <c r="P40" i="4"/>
  <c r="AB39" i="4"/>
  <c r="X39" i="4"/>
  <c r="Q39" i="4"/>
  <c r="P39" i="4"/>
  <c r="AB38" i="4"/>
  <c r="X38" i="4"/>
  <c r="Q38" i="4"/>
  <c r="P38" i="4"/>
  <c r="AB37" i="4"/>
  <c r="X37" i="4"/>
  <c r="Q37" i="4"/>
  <c r="P37" i="4"/>
  <c r="AB36" i="4"/>
  <c r="X36" i="4"/>
  <c r="Q36" i="4"/>
  <c r="P36" i="4"/>
  <c r="AB35" i="4"/>
  <c r="X35" i="4"/>
  <c r="Q35" i="4"/>
  <c r="P35" i="4"/>
  <c r="AB34" i="4"/>
  <c r="X34" i="4"/>
  <c r="Q34" i="4"/>
  <c r="P34" i="4"/>
  <c r="AB33" i="4"/>
  <c r="X33" i="4"/>
  <c r="Q33" i="4"/>
  <c r="P33" i="4"/>
  <c r="AB32" i="4"/>
  <c r="X32" i="4"/>
  <c r="Q32" i="4"/>
  <c r="P32" i="4"/>
  <c r="AB31" i="4"/>
  <c r="X31" i="4"/>
  <c r="Q31" i="4"/>
  <c r="P31" i="4"/>
  <c r="AB30" i="4"/>
  <c r="X30" i="4"/>
  <c r="Q30" i="4"/>
  <c r="P30" i="4"/>
  <c r="AB29" i="4"/>
  <c r="B75" i="2" s="1"/>
  <c r="X29" i="4"/>
  <c r="Q29" i="4"/>
  <c r="P29" i="4"/>
  <c r="AB28" i="4"/>
  <c r="X28" i="4"/>
  <c r="Q28" i="4"/>
  <c r="P28" i="4"/>
  <c r="AB27" i="4"/>
  <c r="X27" i="4"/>
  <c r="Q27" i="4"/>
  <c r="P27" i="4"/>
  <c r="AB26" i="4"/>
  <c r="X26" i="4"/>
  <c r="Q26" i="4"/>
  <c r="P26" i="4"/>
  <c r="AB25" i="4"/>
  <c r="X25" i="4"/>
  <c r="Q25" i="4"/>
  <c r="P25" i="4"/>
  <c r="AB24" i="4"/>
  <c r="X24" i="4"/>
  <c r="Q24" i="4"/>
  <c r="P24" i="4"/>
  <c r="AB23" i="4"/>
  <c r="X23" i="4"/>
  <c r="Q23" i="4"/>
  <c r="P23" i="4"/>
  <c r="AB22" i="4"/>
  <c r="X22" i="4"/>
  <c r="Q22" i="4"/>
  <c r="P22" i="4"/>
  <c r="AB21" i="4"/>
  <c r="X21" i="4"/>
  <c r="Q21" i="4"/>
  <c r="P21" i="4"/>
  <c r="AB20" i="4"/>
  <c r="X20" i="4"/>
  <c r="Q20" i="4"/>
  <c r="P20" i="4"/>
  <c r="AB19" i="4"/>
  <c r="X19" i="4"/>
  <c r="Q19" i="4"/>
  <c r="P19" i="4"/>
  <c r="AB18" i="4"/>
  <c r="X18" i="4"/>
  <c r="Q18" i="4"/>
  <c r="P18" i="4"/>
  <c r="AB17" i="4"/>
  <c r="X17" i="4"/>
  <c r="Q17" i="4"/>
  <c r="P17" i="4"/>
  <c r="AB16" i="4"/>
  <c r="X16" i="4"/>
  <c r="Q16" i="4"/>
  <c r="P16" i="4"/>
  <c r="AB15" i="4"/>
  <c r="X15" i="4"/>
  <c r="Q15" i="4"/>
  <c r="P15" i="4"/>
  <c r="AB14" i="4"/>
  <c r="X14" i="4"/>
  <c r="Q14" i="4"/>
  <c r="P14" i="4"/>
  <c r="AB13" i="4"/>
  <c r="X13" i="4"/>
  <c r="Q13" i="4"/>
  <c r="P13" i="4"/>
  <c r="AB12" i="4"/>
  <c r="X12" i="4"/>
  <c r="Q12" i="4"/>
  <c r="P12" i="4"/>
  <c r="AB11" i="4"/>
  <c r="X11" i="4"/>
  <c r="Q11" i="4"/>
  <c r="P11" i="4"/>
  <c r="AB10" i="4"/>
  <c r="X10" i="4"/>
  <c r="Q10" i="4"/>
  <c r="P10" i="4"/>
  <c r="AB9" i="4"/>
  <c r="X9" i="4"/>
  <c r="Q9" i="4"/>
  <c r="P9" i="4"/>
  <c r="AB8" i="4"/>
  <c r="X8" i="4"/>
  <c r="Q8" i="4"/>
  <c r="P8" i="4"/>
  <c r="AB7" i="4"/>
  <c r="X7" i="4"/>
  <c r="Q7" i="4"/>
  <c r="P7" i="4"/>
  <c r="AB6" i="4"/>
  <c r="X6" i="4"/>
  <c r="Q6" i="4"/>
  <c r="P6" i="4"/>
  <c r="AB5" i="4"/>
  <c r="X5" i="4"/>
  <c r="Q5" i="4"/>
  <c r="P5" i="4"/>
  <c r="AB4" i="4"/>
  <c r="X4" i="4"/>
  <c r="Q4" i="4"/>
  <c r="P4" i="4"/>
  <c r="AB3" i="4"/>
  <c r="X3" i="4"/>
  <c r="Q3" i="4"/>
  <c r="P3" i="4"/>
  <c r="AB2" i="4"/>
  <c r="X2" i="4"/>
  <c r="Q2" i="4"/>
  <c r="P2" i="4"/>
  <c r="D89" i="2"/>
  <c r="C89" i="2"/>
  <c r="B89" i="2"/>
  <c r="D88" i="2"/>
  <c r="C88" i="2"/>
  <c r="B88" i="2"/>
  <c r="D87" i="2"/>
  <c r="C87" i="2"/>
  <c r="B87" i="2"/>
  <c r="D86" i="2"/>
  <c r="C86" i="2"/>
  <c r="B86" i="2"/>
  <c r="D85" i="2"/>
  <c r="C85" i="2"/>
  <c r="B85" i="2"/>
  <c r="D84" i="2"/>
  <c r="C84" i="2"/>
  <c r="B84" i="2"/>
  <c r="D83" i="2"/>
  <c r="C83" i="2"/>
  <c r="B83" i="2"/>
  <c r="D82" i="2"/>
  <c r="C82" i="2"/>
  <c r="B82" i="2"/>
  <c r="D81" i="2"/>
  <c r="B81" i="2"/>
  <c r="D80" i="2"/>
  <c r="C80" i="2"/>
  <c r="C79" i="2"/>
  <c r="B79" i="2"/>
  <c r="C78" i="2"/>
  <c r="B78" i="2"/>
  <c r="C77" i="2"/>
  <c r="C75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I49" i="2"/>
  <c r="B49" i="2"/>
  <c r="I48" i="2"/>
  <c r="B48" i="2"/>
  <c r="I47" i="2"/>
  <c r="B47" i="2"/>
  <c r="I46" i="2"/>
  <c r="B46" i="2"/>
  <c r="B45" i="2"/>
  <c r="B44" i="2"/>
  <c r="B43" i="2"/>
  <c r="B42" i="2"/>
  <c r="B41" i="2"/>
  <c r="I40" i="2"/>
  <c r="B40" i="2"/>
  <c r="I39" i="2"/>
  <c r="I38" i="2"/>
  <c r="I37" i="2"/>
  <c r="I36" i="2"/>
  <c r="C30" i="2"/>
  <c r="B30" i="2"/>
  <c r="D30" i="2" s="1"/>
  <c r="C29" i="2"/>
  <c r="B29" i="2"/>
  <c r="D29" i="2" s="1"/>
  <c r="C28" i="2"/>
  <c r="B28" i="2"/>
  <c r="D28" i="2" s="1"/>
  <c r="C27" i="2"/>
  <c r="B27" i="2"/>
  <c r="D27" i="2" s="1"/>
  <c r="I26" i="2"/>
  <c r="C26" i="2"/>
  <c r="B26" i="2"/>
  <c r="D26" i="2" s="1"/>
  <c r="I25" i="2"/>
  <c r="C25" i="2"/>
  <c r="B25" i="2"/>
  <c r="D25" i="2" s="1"/>
  <c r="I24" i="2"/>
  <c r="C24" i="2"/>
  <c r="B24" i="2"/>
  <c r="D24" i="2" s="1"/>
  <c r="I23" i="2"/>
  <c r="C23" i="2"/>
  <c r="B23" i="2"/>
  <c r="D23" i="2" s="1"/>
  <c r="I22" i="2"/>
  <c r="C22" i="2"/>
  <c r="B22" i="2"/>
  <c r="D22" i="2" s="1"/>
  <c r="I21" i="2"/>
  <c r="C21" i="2"/>
  <c r="B21" i="2"/>
  <c r="D21" i="2" s="1"/>
  <c r="I20" i="2"/>
  <c r="C20" i="2"/>
  <c r="B20" i="2"/>
  <c r="D20" i="2" s="1"/>
  <c r="I19" i="2"/>
  <c r="C19" i="2"/>
  <c r="B19" i="2"/>
  <c r="O18" i="2"/>
  <c r="B13" i="2"/>
  <c r="B12" i="2"/>
  <c r="B11" i="2"/>
  <c r="C6" i="2" s="1"/>
  <c r="E6" i="1" s="1"/>
  <c r="E6" i="2"/>
  <c r="I58" i="2" l="1"/>
  <c r="D78" i="2"/>
  <c r="E78" i="2" s="1"/>
  <c r="D79" i="2"/>
  <c r="E79" i="2" s="1"/>
  <c r="C74" i="2"/>
  <c r="C76" i="2"/>
  <c r="D77" i="2"/>
  <c r="B74" i="2"/>
  <c r="V41" i="1"/>
  <c r="E86" i="2"/>
  <c r="E83" i="2"/>
  <c r="D75" i="2"/>
  <c r="E75" i="2" s="1"/>
  <c r="V40" i="1"/>
  <c r="E80" i="2"/>
  <c r="E89" i="2"/>
  <c r="V42" i="1"/>
  <c r="B76" i="2"/>
  <c r="E85" i="2"/>
  <c r="D76" i="2"/>
  <c r="B77" i="2"/>
  <c r="E88" i="2"/>
  <c r="I61" i="2"/>
  <c r="E84" i="2"/>
  <c r="I27" i="2"/>
  <c r="J20" i="2" s="1"/>
  <c r="V39" i="1"/>
  <c r="E87" i="2"/>
  <c r="E81" i="2"/>
  <c r="D74" i="2"/>
  <c r="V38" i="1"/>
  <c r="E82" i="2"/>
  <c r="I59" i="2"/>
  <c r="H5" i="6"/>
  <c r="D6" i="2"/>
  <c r="H6" i="1" s="1"/>
  <c r="D19" i="2"/>
  <c r="H7" i="6"/>
  <c r="H3" i="6"/>
  <c r="I55" i="2"/>
  <c r="H8" i="6"/>
  <c r="H4" i="6"/>
  <c r="H6" i="6"/>
  <c r="I56" i="2"/>
  <c r="G6" i="2"/>
  <c r="N6" i="1" s="1"/>
  <c r="I50" i="2"/>
  <c r="J47" i="2" s="1"/>
  <c r="H9" i="6"/>
  <c r="B10" i="2"/>
  <c r="D11" i="2" s="1"/>
  <c r="I57" i="2"/>
  <c r="H10" i="6"/>
  <c r="I41" i="2"/>
  <c r="J39" i="2" s="1"/>
  <c r="H11" i="6"/>
  <c r="H12" i="6"/>
  <c r="H2" i="6"/>
  <c r="J19" i="2" l="1"/>
  <c r="E77" i="2"/>
  <c r="C90" i="2"/>
  <c r="J23" i="2"/>
  <c r="D90" i="2"/>
  <c r="B90" i="2"/>
  <c r="E76" i="2"/>
  <c r="E74" i="2"/>
  <c r="J26" i="2"/>
  <c r="J25" i="2"/>
  <c r="J49" i="2"/>
  <c r="J24" i="2"/>
  <c r="J40" i="2"/>
  <c r="J22" i="2"/>
  <c r="J48" i="2"/>
  <c r="J21" i="2"/>
  <c r="I60" i="2"/>
  <c r="J58" i="2" s="1"/>
  <c r="J38" i="2"/>
  <c r="D10" i="2"/>
  <c r="F6" i="2" s="1"/>
  <c r="K6" i="1" s="1"/>
  <c r="B6" i="2"/>
  <c r="B6" i="1" s="1"/>
  <c r="J37" i="2"/>
  <c r="J46" i="2"/>
  <c r="J36" i="2"/>
  <c r="J57" i="2" l="1"/>
  <c r="J27" i="2"/>
  <c r="E90" i="2"/>
  <c r="J41" i="2"/>
  <c r="J59" i="2"/>
  <c r="J50" i="2"/>
  <c r="J56" i="2"/>
  <c r="J55" i="2"/>
  <c r="J60" i="2" l="1"/>
  <c r="D31" i="2" l="1"/>
  <c r="B31" i="2"/>
  <c r="C3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Nithin Jinaga</author>
  </authors>
  <commentList>
    <comment ref="U2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Nithin Jinaga:
Cold Soldering</t>
        </r>
      </text>
    </comment>
  </commentList>
</comments>
</file>

<file path=xl/sharedStrings.xml><?xml version="1.0" encoding="utf-8"?>
<sst xmlns="http://schemas.openxmlformats.org/spreadsheetml/2006/main" count="6749" uniqueCount="712">
  <si>
    <t>CHART DATA (linked)</t>
  </si>
  <si>
    <t>FIELD SERVICE DASHBOARD</t>
  </si>
  <si>
    <t>Dec 2025  •  Solar Module Complaints &amp; Defect Analysis</t>
  </si>
  <si>
    <t>Site</t>
  </si>
  <si>
    <t>Modules</t>
  </si>
  <si>
    <t>Plant</t>
  </si>
  <si>
    <t>Blupine</t>
  </si>
  <si>
    <t>P1</t>
  </si>
  <si>
    <t>Total Complaints</t>
  </si>
  <si>
    <t>Closed Modules</t>
  </si>
  <si>
    <t>WIP / Open</t>
  </si>
  <si>
    <t>Closure Rate</t>
  </si>
  <si>
    <t>Avg Resolution</t>
  </si>
  <si>
    <t>First Energy</t>
  </si>
  <si>
    <t>P2</t>
  </si>
  <si>
    <t>Continuum</t>
  </si>
  <si>
    <t>P4</t>
  </si>
  <si>
    <t>Ayana</t>
  </si>
  <si>
    <t>Daily Complaints Trend  - December 2025</t>
  </si>
  <si>
    <t>NTPC Limited</t>
  </si>
  <si>
    <t>Asian Fab Tec Ltd</t>
  </si>
  <si>
    <t>Madhav Infra Projects Ltd.</t>
  </si>
  <si>
    <t>WBSEDCL</t>
  </si>
  <si>
    <t>State</t>
  </si>
  <si>
    <t>Defect Type</t>
  </si>
  <si>
    <t>G2B</t>
  </si>
  <si>
    <t>G2TB</t>
  </si>
  <si>
    <t>G2G</t>
  </si>
  <si>
    <t>Gujarat</t>
  </si>
  <si>
    <t>Cold Soldering</t>
  </si>
  <si>
    <t>Karnataka</t>
  </si>
  <si>
    <t>JB Issue</t>
  </si>
  <si>
    <t>MP</t>
  </si>
  <si>
    <t>No Issue</t>
  </si>
  <si>
    <t>J&amp;K</t>
  </si>
  <si>
    <t>Tab lead Burn</t>
  </si>
  <si>
    <t>West Bengal</t>
  </si>
  <si>
    <t>Low Generation</t>
  </si>
  <si>
    <t>Kerala</t>
  </si>
  <si>
    <t>Glass Breakage</t>
  </si>
  <si>
    <t>Maharashtra</t>
  </si>
  <si>
    <t>Bihar</t>
  </si>
  <si>
    <t>Count</t>
  </si>
  <si>
    <t>Complaints by Site</t>
  </si>
  <si>
    <t>Complaints by State</t>
  </si>
  <si>
    <t>Defect Type Mix</t>
  </si>
  <si>
    <t>Others</t>
  </si>
  <si>
    <t>TAT Range</t>
  </si>
  <si>
    <t>Week</t>
  </si>
  <si>
    <t>W1 (01-07 Dec)</t>
  </si>
  <si>
    <t>W2 (08-14 Dec)</t>
  </si>
  <si>
    <t>Resolution Time (TAT) Distribution</t>
  </si>
  <si>
    <t>Weekly Complaint Volume</t>
  </si>
  <si>
    <t>W3 (15-21 Dec)</t>
  </si>
  <si>
    <t>W4 (22-28 Dec)</t>
  </si>
  <si>
    <t>W5 (29-31 Dec)</t>
  </si>
  <si>
    <t>MANUFACTURING PLANT-WISE</t>
  </si>
  <si>
    <t>MODULE TYPE DEFECT ANALYSIS - JAN 2026</t>
  </si>
  <si>
    <t>Monthly MIS Report - Solar PV Warranty Claims</t>
  </si>
  <si>
    <t>KEY PERFORMANCE INDICATORS</t>
  </si>
  <si>
    <t>Closed</t>
  </si>
  <si>
    <t>Repairable Defects</t>
  </si>
  <si>
    <t>Avg Resolution Day</t>
  </si>
  <si>
    <t>1. COMPLAINT STATUS SUMMARY</t>
  </si>
  <si>
    <t>Metric</t>
  </si>
  <si>
    <t>Value</t>
  </si>
  <si>
    <t>Total Complaints (Dec)</t>
  </si>
  <si>
    <t>WIP Rate</t>
  </si>
  <si>
    <t>WIP Modules</t>
  </si>
  <si>
    <t>State covered</t>
  </si>
  <si>
    <t xml:space="preserve">By Customer </t>
  </si>
  <si>
    <t>By State</t>
  </si>
  <si>
    <t xml:space="preserve"> COMPLAINTS BY SITE</t>
  </si>
  <si>
    <t xml:space="preserve"> COMPLAINTS BY STATE</t>
  </si>
  <si>
    <t>WIP</t>
  </si>
  <si>
    <t>% Share</t>
  </si>
  <si>
    <t>TRUE SUN TRADING COMPANY</t>
  </si>
  <si>
    <t>Panasonic</t>
  </si>
  <si>
    <t>Telangana</t>
  </si>
  <si>
    <t>KVK ENGINEERING</t>
  </si>
  <si>
    <t>Chhattisgarh</t>
  </si>
  <si>
    <t>Blupine Jakson Green</t>
  </si>
  <si>
    <t>Uttar Pradesh</t>
  </si>
  <si>
    <t>Arsiga Solar</t>
  </si>
  <si>
    <t>Rajasthan</t>
  </si>
  <si>
    <t>Solar Square</t>
  </si>
  <si>
    <t>Shakti Pump</t>
  </si>
  <si>
    <t>TOTAL</t>
  </si>
  <si>
    <t>Blupine Energy</t>
  </si>
  <si>
    <t>Orb Energy</t>
  </si>
  <si>
    <t>Axitec Energy</t>
  </si>
  <si>
    <t xml:space="preserve"> RESOLUTION TYPE</t>
  </si>
  <si>
    <t>Resolution</t>
  </si>
  <si>
    <t>Repair</t>
  </si>
  <si>
    <t>Rejected</t>
  </si>
  <si>
    <t xml:space="preserve"> DAILY COMPLAINTS TREND - DEC 2025</t>
  </si>
  <si>
    <t>Replacement</t>
  </si>
  <si>
    <t>Date</t>
  </si>
  <si>
    <t>Inspection</t>
  </si>
  <si>
    <t>CN</t>
  </si>
  <si>
    <t>P4 - PEIPL</t>
  </si>
  <si>
    <t>P2 - PEPPL</t>
  </si>
  <si>
    <t>P5 - PEGPL</t>
  </si>
  <si>
    <t>Prime Pack</t>
  </si>
  <si>
    <t>TAT - COMPLAINT RAISED vs CLOSED</t>
  </si>
  <si>
    <t>TAT Bucket (Days)</t>
  </si>
  <si>
    <t>0 - 3 days</t>
  </si>
  <si>
    <t>4 - 7 days</t>
  </si>
  <si>
    <t>8 - 15 days</t>
  </si>
  <si>
    <t>16 - 30 days</t>
  </si>
  <si>
    <t>&gt; 30 days</t>
  </si>
  <si>
    <t>Avg TAT (days)</t>
  </si>
  <si>
    <t>MODULE TYPE DEFECT ANALYSIS - DEC 2025</t>
  </si>
  <si>
    <t>Defect Type (Our Evaluation)</t>
  </si>
  <si>
    <t>Grand Total</t>
  </si>
  <si>
    <t>Module Damaged</t>
  </si>
  <si>
    <t>JB Burn</t>
  </si>
  <si>
    <t>Burn Module</t>
  </si>
  <si>
    <t>Improper ribbon soldering</t>
  </si>
  <si>
    <t>Oil Marks on the module</t>
  </si>
  <si>
    <t>Not related to Premier Complaints</t>
  </si>
  <si>
    <t>JB tampered &amp; Glass Breakage</t>
  </si>
  <si>
    <t>Frame damage</t>
  </si>
  <si>
    <t>Module Breakage &amp; Burn</t>
  </si>
  <si>
    <t>JB &amp; Cable Damege</t>
  </si>
  <si>
    <t>Hotspot</t>
  </si>
  <si>
    <t>Broken Module</t>
  </si>
  <si>
    <t/>
  </si>
  <si>
    <t>Area</t>
  </si>
  <si>
    <t>No Of Complaints</t>
  </si>
  <si>
    <t>Visited by</t>
  </si>
  <si>
    <t>Complaint ID</t>
  </si>
  <si>
    <t>Remarks</t>
  </si>
  <si>
    <t>Lakadia,Bhachau,Kutchh</t>
  </si>
  <si>
    <t>Kunal &amp; Aniruddha</t>
  </si>
  <si>
    <t>N/A</t>
  </si>
  <si>
    <t>Retrofit</t>
  </si>
  <si>
    <t>Aluva</t>
  </si>
  <si>
    <t>Pavan</t>
  </si>
  <si>
    <t>Mahavishnu Nagar, Nagpur</t>
  </si>
  <si>
    <t>Chanchal</t>
  </si>
  <si>
    <t>Nagpur</t>
  </si>
  <si>
    <t xml:space="preserve">VELIYANOOR </t>
  </si>
  <si>
    <t>Complaints closed by True Sun team</t>
  </si>
  <si>
    <t>Bhopalgarh</t>
  </si>
  <si>
    <t>Kamal</t>
  </si>
  <si>
    <t>Kizhakenmuthoor</t>
  </si>
  <si>
    <t>w-122</t>
  </si>
  <si>
    <t xml:space="preserve"> Ernakulam</t>
  </si>
  <si>
    <t>By mail</t>
  </si>
  <si>
    <t>Rajagirivalley  Kakkanad</t>
  </si>
  <si>
    <t>Module Verification</t>
  </si>
  <si>
    <t>Continuum - JROPL</t>
  </si>
  <si>
    <t>Jamnagar</t>
  </si>
  <si>
    <t>Utpal</t>
  </si>
  <si>
    <t>Mungeli</t>
  </si>
  <si>
    <t>Chattisgarh</t>
  </si>
  <si>
    <t>Bhimsen</t>
  </si>
  <si>
    <t>Yeshawanthapura, Bengaluru</t>
  </si>
  <si>
    <t>Hyderabad</t>
  </si>
  <si>
    <t>Telengana</t>
  </si>
  <si>
    <t>Lucknow</t>
  </si>
  <si>
    <t>UP</t>
  </si>
  <si>
    <t>Kanpur</t>
  </si>
  <si>
    <t>Jaipur</t>
  </si>
  <si>
    <t>B</t>
  </si>
  <si>
    <t>Bhuj</t>
  </si>
  <si>
    <t>Bhimsen + 4</t>
  </si>
  <si>
    <t>Request Received Date</t>
  </si>
  <si>
    <t>Year</t>
  </si>
  <si>
    <t>Complaint Raised By</t>
  </si>
  <si>
    <t>Customer Type</t>
  </si>
  <si>
    <t>Project Name</t>
  </si>
  <si>
    <t>Current Status</t>
  </si>
  <si>
    <t>Claim Reported By</t>
  </si>
  <si>
    <t>Contact No.</t>
  </si>
  <si>
    <t>Contract / Complaint  / Invoice No.</t>
  </si>
  <si>
    <t>Customer Reported Problem</t>
  </si>
  <si>
    <t>Venue / Location</t>
  </si>
  <si>
    <t>Our Evaluation</t>
  </si>
  <si>
    <t>PV Panels Wp</t>
  </si>
  <si>
    <t>Module Serial Number</t>
  </si>
  <si>
    <t>Module Make Year</t>
  </si>
  <si>
    <t>Module Make Month</t>
  </si>
  <si>
    <t>Module Type</t>
  </si>
  <si>
    <t>Manufacturing Plant</t>
  </si>
  <si>
    <t>Remark</t>
  </si>
  <si>
    <t>Action Taken</t>
  </si>
  <si>
    <t>Resolution Type</t>
  </si>
  <si>
    <t>Date of Claim Settled</t>
  </si>
  <si>
    <t>Claim Settlement Duration</t>
  </si>
  <si>
    <t>Costing/Module</t>
  </si>
  <si>
    <t>Review Meeting Remarks -</t>
  </si>
  <si>
    <t>Todays review Minutes</t>
  </si>
  <si>
    <t>Channel Sales</t>
  </si>
  <si>
    <t>GIPCL,Vastan ,Surat</t>
  </si>
  <si>
    <t>Ritesh Jariwala</t>
  </si>
  <si>
    <t>Low VOC</t>
  </si>
  <si>
    <t>Vastan</t>
  </si>
  <si>
    <t>NSMI24120992977</t>
  </si>
  <si>
    <t>P JB Changed</t>
  </si>
  <si>
    <t>NSMI24120993021</t>
  </si>
  <si>
    <t>Sustained damage</t>
  </si>
  <si>
    <t>Lakadia</t>
  </si>
  <si>
    <t>NSMP2307404623</t>
  </si>
  <si>
    <t>All Jb Changed</t>
  </si>
  <si>
    <t>NSMP2307404631</t>
  </si>
  <si>
    <t>NSMP2307404571</t>
  </si>
  <si>
    <t>NSMP2307406784</t>
  </si>
  <si>
    <t>NSMP2307406768</t>
  </si>
  <si>
    <t>NSMP2307406744</t>
  </si>
  <si>
    <t>NSMP2307406753</t>
  </si>
  <si>
    <t>NSMP2307406719</t>
  </si>
  <si>
    <t>NSMP2307406752</t>
  </si>
  <si>
    <t>NSMP2307406504</t>
  </si>
  <si>
    <t>NSMP2307403267</t>
  </si>
  <si>
    <t>NSMP2307403320</t>
  </si>
  <si>
    <t>NSMP2307402503</t>
  </si>
  <si>
    <t>NSMP2307402518</t>
  </si>
  <si>
    <t>NSMP2307402127</t>
  </si>
  <si>
    <t>NSMP2307402519</t>
  </si>
  <si>
    <t>NSMP2307401267</t>
  </si>
  <si>
    <t>NSMP2307402624</t>
  </si>
  <si>
    <t>NSMP2307404619</t>
  </si>
  <si>
    <t>NSMP2307402480</t>
  </si>
  <si>
    <t>NSMP2307402975</t>
  </si>
  <si>
    <t>NSMP2307400729</t>
  </si>
  <si>
    <t>NSMP2312984224</t>
  </si>
  <si>
    <t>NSMP2307406618</t>
  </si>
  <si>
    <t>NSMP2307402466</t>
  </si>
  <si>
    <t>NSMP2307406734</t>
  </si>
  <si>
    <t>Module Damage</t>
  </si>
  <si>
    <t>NSMP2307402476</t>
  </si>
  <si>
    <t>NSMP2307402481</t>
  </si>
  <si>
    <t>NSMP2307402458</t>
  </si>
  <si>
    <t>NSMP2307402494</t>
  </si>
  <si>
    <t>NSMP2307402514</t>
  </si>
  <si>
    <t>NSMP2307402509</t>
  </si>
  <si>
    <t>NSMP2307402486</t>
  </si>
  <si>
    <t>NSMP2307399756</t>
  </si>
  <si>
    <t>NSMP2307399707</t>
  </si>
  <si>
    <t>NSMP2307399704</t>
  </si>
  <si>
    <t>NSMP2307399746</t>
  </si>
  <si>
    <t>NSMP2307403265</t>
  </si>
  <si>
    <t>NSMP2307399706</t>
  </si>
  <si>
    <t>NSMP2307403293</t>
  </si>
  <si>
    <t>NSMP2307400727</t>
  </si>
  <si>
    <t>NSMP2307400814</t>
  </si>
  <si>
    <t>NSMP2307400821</t>
  </si>
  <si>
    <t>NSMP2307403299</t>
  </si>
  <si>
    <t>NSMP2307400819</t>
  </si>
  <si>
    <t>NSMP2307406772</t>
  </si>
  <si>
    <t>NSMP2307406783</t>
  </si>
  <si>
    <t>NSMP2307403814</t>
  </si>
  <si>
    <t>NSMP2307403742</t>
  </si>
  <si>
    <t>NSMP2307402918</t>
  </si>
  <si>
    <t>NSMP2307403747</t>
  </si>
  <si>
    <t>NSMP2307403779</t>
  </si>
  <si>
    <t>NSMP2307403301</t>
  </si>
  <si>
    <t>NSMP2307403322</t>
  </si>
  <si>
    <t>NSMP2307403334</t>
  </si>
  <si>
    <t>NSMP2307401237</t>
  </si>
  <si>
    <t>NSMP2307402548</t>
  </si>
  <si>
    <t>NSMP2307401274</t>
  </si>
  <si>
    <t>NSMP2307402460</t>
  </si>
  <si>
    <t>NSMP2307401279</t>
  </si>
  <si>
    <t>NSMP2312984254</t>
  </si>
  <si>
    <t>NSMP2312984248</t>
  </si>
  <si>
    <t>NSMP2312984252</t>
  </si>
  <si>
    <t>NSMP2312984255</t>
  </si>
  <si>
    <t>NSMP2312984215</t>
  </si>
  <si>
    <t>NSMP2312984280</t>
  </si>
  <si>
    <t>NSMP2312984219</t>
  </si>
  <si>
    <t>NSMP2312984455</t>
  </si>
  <si>
    <t>NSMP2312984437</t>
  </si>
  <si>
    <t>NSMP2312984447</t>
  </si>
  <si>
    <t>NSMP2307401318</t>
  </si>
  <si>
    <t>NSMP2307403335</t>
  </si>
  <si>
    <t>NSMP2307403327</t>
  </si>
  <si>
    <t>NSMP2307403189</t>
  </si>
  <si>
    <t>NSMP2307403304</t>
  </si>
  <si>
    <t>NSMP2307406773</t>
  </si>
  <si>
    <t>NSMP2307406775</t>
  </si>
  <si>
    <t>NSMP2307406747</t>
  </si>
  <si>
    <t>NSMP2307402525</t>
  </si>
  <si>
    <t>NSMP2307402517</t>
  </si>
  <si>
    <t>NSMP2307403193</t>
  </si>
  <si>
    <t>NSMP2307402897</t>
  </si>
  <si>
    <t>NSMP2307402886</t>
  </si>
  <si>
    <t>NSMP2307402882</t>
  </si>
  <si>
    <t>NSMP2307402922</t>
  </si>
  <si>
    <t>NSMP2307402912</t>
  </si>
  <si>
    <t>NSMP2307402911</t>
  </si>
  <si>
    <t>NSMP2307402935</t>
  </si>
  <si>
    <t>NSMP2307402929</t>
  </si>
  <si>
    <t>NSMP2307402901</t>
  </si>
  <si>
    <t>NSMP2307402887</t>
  </si>
  <si>
    <t>NSMP2307402974</t>
  </si>
  <si>
    <t>NSMP2307404603</t>
  </si>
  <si>
    <t>NSMP2307404575</t>
  </si>
  <si>
    <t>NSMP2307403259</t>
  </si>
  <si>
    <t>NSMP2307402779</t>
  </si>
  <si>
    <t>True Sun Trading Company</t>
  </si>
  <si>
    <t>Joel Jacob</t>
  </si>
  <si>
    <t>Low Voc</t>
  </si>
  <si>
    <t>Wrong Srl. no.(w-94) updated in w-99</t>
  </si>
  <si>
    <t>Chirag Tare</t>
  </si>
  <si>
    <t>NSMP2203012985</t>
  </si>
  <si>
    <t>Found OK</t>
  </si>
  <si>
    <t>NSMP2211232416</t>
  </si>
  <si>
    <t>All JB Soldering</t>
  </si>
  <si>
    <t>NSMP2211232485</t>
  </si>
  <si>
    <t>NSMP2211232374</t>
  </si>
  <si>
    <t>ANCHOR2305114695</t>
  </si>
  <si>
    <t>N JB Soldering</t>
  </si>
  <si>
    <t>Utility and C&amp;I</t>
  </si>
  <si>
    <t>Sudarshan Bhosale</t>
  </si>
  <si>
    <t>Low Voc / Burn spot</t>
  </si>
  <si>
    <t>NSMI25040181104</t>
  </si>
  <si>
    <t>P &amp; N JB Changed</t>
  </si>
  <si>
    <t>NSMI25040181026</t>
  </si>
  <si>
    <t>NSMI25040181099</t>
  </si>
  <si>
    <t>NSMI25040181106</t>
  </si>
  <si>
    <t>NSMI25040181095</t>
  </si>
  <si>
    <t>NSMI25040181107</t>
  </si>
  <si>
    <t>JB Burnt</t>
  </si>
  <si>
    <t>NSMI25040181109</t>
  </si>
  <si>
    <t>NSMI25040181112</t>
  </si>
  <si>
    <t>N JB Changed</t>
  </si>
  <si>
    <t>NSMI25040181131</t>
  </si>
  <si>
    <t>NSMI25040181097</t>
  </si>
  <si>
    <t>NSMI25040181078</t>
  </si>
  <si>
    <t xml:space="preserve"> RAVIRAJ GOUD</t>
  </si>
  <si>
    <t>Kukatpally Y-Junction ,Blanagar ,Hyderabad</t>
  </si>
  <si>
    <t>NSMI25060004260</t>
  </si>
  <si>
    <t>Deepak Kumar Behera</t>
  </si>
  <si>
    <t>Low voc/Zero Amp/JB Damage module</t>
  </si>
  <si>
    <t>NSMI24090424381</t>
  </si>
  <si>
    <t>P JB Soldering</t>
  </si>
  <si>
    <t>NSMI24090424355</t>
  </si>
  <si>
    <t>NSMI24090424374</t>
  </si>
  <si>
    <t>NSMI24090424378</t>
  </si>
  <si>
    <t>NSMI24090424385</t>
  </si>
  <si>
    <t>NSMI24090424386</t>
  </si>
  <si>
    <t>NSMI24090395950</t>
  </si>
  <si>
    <t>NSMI24090424387</t>
  </si>
  <si>
    <t>NSMI24090409475</t>
  </si>
  <si>
    <t>NSMI24090508211</t>
  </si>
  <si>
    <t>NSMI24090424238</t>
  </si>
  <si>
    <t>NSMI24090402278</t>
  </si>
  <si>
    <t>NSMI24090393135</t>
  </si>
  <si>
    <t>NSMI24090384000</t>
  </si>
  <si>
    <t xml:space="preserve">Module Burn </t>
  </si>
  <si>
    <t>NSMI24090472348</t>
  </si>
  <si>
    <t>NSMI24090448584</t>
  </si>
  <si>
    <t>NSMI24090393147</t>
  </si>
  <si>
    <t>NSMI24090425802</t>
  </si>
  <si>
    <t>NSMI24090434718</t>
  </si>
  <si>
    <t>NSMI24090445414</t>
  </si>
  <si>
    <t>NSMI24090373885</t>
  </si>
  <si>
    <t>NSMI24090437152</t>
  </si>
  <si>
    <t>NSMI24090491805</t>
  </si>
  <si>
    <t>NSMI24090491090</t>
  </si>
  <si>
    <t>NSMI24090446960</t>
  </si>
  <si>
    <t>NSMI24090376430</t>
  </si>
  <si>
    <t>NSMI24090379079</t>
  </si>
  <si>
    <t>NSMI24090409229</t>
  </si>
  <si>
    <t>NSMI24090395838</t>
  </si>
  <si>
    <t>NSMI24090360039</t>
  </si>
  <si>
    <t>NSMI24090388280</t>
  </si>
  <si>
    <t>NSMI24090424400</t>
  </si>
  <si>
    <t>NSMI24090424399</t>
  </si>
  <si>
    <t>NSMI24090451044</t>
  </si>
  <si>
    <t>NSMI24090370415</t>
  </si>
  <si>
    <t>NSMI24050055792</t>
  </si>
  <si>
    <t>NSMI24090353570</t>
  </si>
  <si>
    <t>NSMI24090352030</t>
  </si>
  <si>
    <t>NSMI24090354134</t>
  </si>
  <si>
    <t>NSMI24090348959</t>
  </si>
  <si>
    <t>NSMI24090414458</t>
  </si>
  <si>
    <t>NSMI24090379988</t>
  </si>
  <si>
    <t>NSMI24090508850</t>
  </si>
  <si>
    <t>NSMI24090489266</t>
  </si>
  <si>
    <t>NSMI24090382977</t>
  </si>
  <si>
    <t>NSMI24090379574</t>
  </si>
  <si>
    <t>NSMI24090373572</t>
  </si>
  <si>
    <t>NSMI24090449455</t>
  </si>
  <si>
    <t>NSMI24090470593</t>
  </si>
  <si>
    <t>NSMI24090399389</t>
  </si>
  <si>
    <t>NSMI24090529411</t>
  </si>
  <si>
    <t>NSMI24090436607</t>
  </si>
  <si>
    <t>NSMI24090507784</t>
  </si>
  <si>
    <t>NSMI24090449814</t>
  </si>
  <si>
    <t>NSMI24090364165</t>
  </si>
  <si>
    <t>NSMI24090364150</t>
  </si>
  <si>
    <t>NSMI24090447422</t>
  </si>
  <si>
    <t>NSMI24090364339</t>
  </si>
  <si>
    <t>Arsiga Solar Pvt Ltd</t>
  </si>
  <si>
    <t>Rakhi</t>
  </si>
  <si>
    <t>NSMP24122333735</t>
  </si>
  <si>
    <t>NSMP25012397103</t>
  </si>
  <si>
    <t>NSMP24122229309</t>
  </si>
  <si>
    <t>NSMP24122229302</t>
  </si>
  <si>
    <t>NSMP24122229298</t>
  </si>
  <si>
    <t>NSMP25012397108</t>
  </si>
  <si>
    <t>NSMP25012397058</t>
  </si>
  <si>
    <t>NSMP24122288025</t>
  </si>
  <si>
    <t>NSMP24122288023</t>
  </si>
  <si>
    <t>Murali</t>
  </si>
  <si>
    <t>NSMP25060457632</t>
  </si>
  <si>
    <t>M JB Soldering</t>
  </si>
  <si>
    <t>NSMP25060457641</t>
  </si>
  <si>
    <t>NSMP25060457497</t>
  </si>
  <si>
    <t>P &amp; M JB Soldering</t>
  </si>
  <si>
    <t>NSMP25060457651</t>
  </si>
  <si>
    <t>NSMP25060457652</t>
  </si>
  <si>
    <t>NSMP25090818543</t>
  </si>
  <si>
    <t xml:space="preserve">NSMP2303564655 </t>
  </si>
  <si>
    <t>Solar Pump</t>
  </si>
  <si>
    <t>Rajasthan Service - Shakti Pump</t>
  </si>
  <si>
    <t xml:space="preserve">Panel burnt </t>
  </si>
  <si>
    <t>NSM221126972</t>
  </si>
  <si>
    <t>Improper ribbon/tab lead soldering </t>
  </si>
  <si>
    <t>Sharad Gangwar</t>
  </si>
  <si>
    <t>Diode Issue</t>
  </si>
  <si>
    <t>NSMG25050031516</t>
  </si>
  <si>
    <t>NSMG25050029645</t>
  </si>
  <si>
    <t>NSMG25050084260</t>
  </si>
  <si>
    <t>NSMG25060156054</t>
  </si>
  <si>
    <t>NSMG25060144470</t>
  </si>
  <si>
    <t>NSMG25060114742</t>
  </si>
  <si>
    <t>NSMG25050082830</t>
  </si>
  <si>
    <t>NSMG25080317225</t>
  </si>
  <si>
    <t>NSMG25070296461</t>
  </si>
  <si>
    <t>NSMG25070241875</t>
  </si>
  <si>
    <t>NSMG25070259243</t>
  </si>
  <si>
    <t>NSMG25070262754</t>
  </si>
  <si>
    <t>NSMG25070241969</t>
  </si>
  <si>
    <t>NSMG25070241841</t>
  </si>
  <si>
    <t>NSMG25070234790</t>
  </si>
  <si>
    <t>NSMG25070202149</t>
  </si>
  <si>
    <t>NSMG25070238648</t>
  </si>
  <si>
    <t>NSMG25070259645</t>
  </si>
  <si>
    <t>NSMG25070297243</t>
  </si>
  <si>
    <t>NSMG25070287031</t>
  </si>
  <si>
    <t>NSMG25070307842</t>
  </si>
  <si>
    <t>NSMG25070310851</t>
  </si>
  <si>
    <t>NSMG25070299509</t>
  </si>
  <si>
    <t>NSMG25070285408</t>
  </si>
  <si>
    <t>NSMG25070283077</t>
  </si>
  <si>
    <t>NSMG25070262213</t>
  </si>
  <si>
    <t>NSMG25070286478</t>
  </si>
  <si>
    <t>NSMG25070272407</t>
  </si>
  <si>
    <t>NSMG25070307947</t>
  </si>
  <si>
    <t>NSMG25070307911</t>
  </si>
  <si>
    <t>NSMG25070300953</t>
  </si>
  <si>
    <t>NSMG25070300925</t>
  </si>
  <si>
    <t>NSMG25070299425</t>
  </si>
  <si>
    <t>NSMG25070301204</t>
  </si>
  <si>
    <t>NSMG25070299437</t>
  </si>
  <si>
    <t>NSMG25070301390</t>
  </si>
  <si>
    <t>NSMG25070310906</t>
  </si>
  <si>
    <t>NSMG25080314851</t>
  </si>
  <si>
    <t>NSMG25070241666</t>
  </si>
  <si>
    <t>NSMG25070241624</t>
  </si>
  <si>
    <t>NSMG25040005035</t>
  </si>
  <si>
    <t>NSMG25060149119</t>
  </si>
  <si>
    <t>NSMG25060194674</t>
  </si>
  <si>
    <t>NSMG25050015299</t>
  </si>
  <si>
    <t>NSMG25070233048</t>
  </si>
  <si>
    <t>NSMG25060105916</t>
  </si>
  <si>
    <t>NSMG25070295684</t>
  </si>
  <si>
    <t>NSMG25070258524</t>
  </si>
  <si>
    <t>NSMG25070282121</t>
  </si>
  <si>
    <t>NSMG25070279490</t>
  </si>
  <si>
    <t>NSMG25070255501</t>
  </si>
  <si>
    <t>NSMG25070261043</t>
  </si>
  <si>
    <t>NSMG25070272598</t>
  </si>
  <si>
    <t>NSMG25070286392</t>
  </si>
  <si>
    <t>NSMG25070286343</t>
  </si>
  <si>
    <t>NSMG25070285165</t>
  </si>
  <si>
    <t>NSMG25070282851</t>
  </si>
  <si>
    <t>NSMG25070284594</t>
  </si>
  <si>
    <t>NSMG25060120930</t>
  </si>
  <si>
    <t>NSMG25060121219</t>
  </si>
  <si>
    <t>NSMG25060121252</t>
  </si>
  <si>
    <t>NSMG25060121259</t>
  </si>
  <si>
    <t>NSMG25060121317</t>
  </si>
  <si>
    <t>NSMG25060121043</t>
  </si>
  <si>
    <t>NSMG25060131146</t>
  </si>
  <si>
    <t>NSMG25060103991</t>
  </si>
  <si>
    <t>NSMG25060120726</t>
  </si>
  <si>
    <t>NSMG25060120748</t>
  </si>
  <si>
    <t>NSMG25060120802</t>
  </si>
  <si>
    <t>NSMG25060120815</t>
  </si>
  <si>
    <t>NSMG25060120807</t>
  </si>
  <si>
    <t>NSMG25060120821</t>
  </si>
  <si>
    <t>NSMG25060124106</t>
  </si>
  <si>
    <t>NSMG25060124078</t>
  </si>
  <si>
    <t>NSMG25060121557</t>
  </si>
  <si>
    <t>NSMG25060121545</t>
  </si>
  <si>
    <t>NSMG25060121571</t>
  </si>
  <si>
    <t>NSMG25060121016</t>
  </si>
  <si>
    <t>NSMG25060120556</t>
  </si>
  <si>
    <t>NSMG25060120286</t>
  </si>
  <si>
    <t>NSMG25060121146</t>
  </si>
  <si>
    <t>NSMG25050085597</t>
  </si>
  <si>
    <t>NSMG25050071537</t>
  </si>
  <si>
    <t>NSMG25060120985</t>
  </si>
  <si>
    <t>NSMG25050052771</t>
  </si>
  <si>
    <t>NSMG25050084677</t>
  </si>
  <si>
    <t>NSMG25050074514</t>
  </si>
  <si>
    <t>Madan Kumar</t>
  </si>
  <si>
    <t>Flux mark on the PV module</t>
  </si>
  <si>
    <t>NSMP25111101239</t>
  </si>
  <si>
    <t>These markings will not have any impact on generation or production.</t>
  </si>
  <si>
    <t>OEM</t>
  </si>
  <si>
    <t>Dushyant Kumar</t>
  </si>
  <si>
    <t>26230223C3032207</t>
  </si>
  <si>
    <t>Glass Discoloration</t>
  </si>
  <si>
    <t xml:space="preserve">During site visit the Glass Discoloration was not  visible </t>
  </si>
  <si>
    <t>Reported to Client</t>
  </si>
  <si>
    <t>NSMG25060120631</t>
  </si>
  <si>
    <t>NSMG25050091797</t>
  </si>
  <si>
    <t>NSMG25060193480</t>
  </si>
  <si>
    <t>NSMG25070228996</t>
  </si>
  <si>
    <t>NSMG25050035223</t>
  </si>
  <si>
    <t>NSMG25060159751</t>
  </si>
  <si>
    <t>NSMG25060159841</t>
  </si>
  <si>
    <t>NSMG25060148095</t>
  </si>
  <si>
    <t>NSMG25050072317</t>
  </si>
  <si>
    <t>NSMG25050074518</t>
  </si>
  <si>
    <t>NSMG25050081192</t>
  </si>
  <si>
    <t>NSMG25050088469</t>
  </si>
  <si>
    <t>NSMG25060178814</t>
  </si>
  <si>
    <t>NSMG25050022017</t>
  </si>
  <si>
    <t>NSMG25050071765</t>
  </si>
  <si>
    <t>NSMG25050081293</t>
  </si>
  <si>
    <t>NSMG25050052739</t>
  </si>
  <si>
    <t>NSMG25060163112</t>
  </si>
  <si>
    <t>NSMG25050074285</t>
  </si>
  <si>
    <t>NSMG25050047045</t>
  </si>
  <si>
    <t>NSMG25050012710</t>
  </si>
  <si>
    <t>NSMG25060121514</t>
  </si>
  <si>
    <t>NSMG25060121503</t>
  </si>
  <si>
    <t>NSMG25060121223</t>
  </si>
  <si>
    <t>NSMG25060127215</t>
  </si>
  <si>
    <t>NSMG25060106998</t>
  </si>
  <si>
    <t>NSMG25060105085</t>
  </si>
  <si>
    <t>NSMG25060106688</t>
  </si>
  <si>
    <t>NSMG25060120830</t>
  </si>
  <si>
    <t>NSMG25070273574</t>
  </si>
  <si>
    <t>Damage</t>
  </si>
  <si>
    <t>NSMG25070257056</t>
  </si>
  <si>
    <t>NSMG25070274817</t>
  </si>
  <si>
    <t>NSMG25070263035</t>
  </si>
  <si>
    <t>NSMG25070257689</t>
  </si>
  <si>
    <t>NSMG25050011131</t>
  </si>
  <si>
    <t>NSMG25050009410</t>
  </si>
  <si>
    <t>NSMG25070256484</t>
  </si>
  <si>
    <t>NSMG25060107920</t>
  </si>
  <si>
    <t>NSMG25060126165</t>
  </si>
  <si>
    <t>NSMG25050059300</t>
  </si>
  <si>
    <t>NSMG25070223649</t>
  </si>
  <si>
    <t>NSMG25050045748</t>
  </si>
  <si>
    <t>NSMG25060149304</t>
  </si>
  <si>
    <t>NSMG25050023176</t>
  </si>
  <si>
    <t>NSMG25050077160</t>
  </si>
  <si>
    <t>NSMG25060126160</t>
  </si>
  <si>
    <t>NSeG25060046109</t>
  </si>
  <si>
    <t>NSMG25060126168</t>
  </si>
  <si>
    <t>NSMG25050072676</t>
  </si>
  <si>
    <t>NSMG25070279601</t>
  </si>
  <si>
    <t>NSMG25050069033</t>
  </si>
  <si>
    <t>NSMG25050061511</t>
  </si>
  <si>
    <t>NSMG25050045755</t>
  </si>
  <si>
    <t>NSMG25050045746</t>
  </si>
  <si>
    <t>NSMG25060148134</t>
  </si>
  <si>
    <t>NSMG25060159275</t>
  </si>
  <si>
    <t>NSMG25060167025</t>
  </si>
  <si>
    <t>NSMG25060097844</t>
  </si>
  <si>
    <t>NSMG25060156225</t>
  </si>
  <si>
    <t>NSMG25060097817</t>
  </si>
  <si>
    <t>NSMG25060097845</t>
  </si>
  <si>
    <t>NSMG25060097829</t>
  </si>
  <si>
    <t>NSMG25070273607</t>
  </si>
  <si>
    <t>NSMG25070280413</t>
  </si>
  <si>
    <t>NSMG25070289748</t>
  </si>
  <si>
    <t>NSMG25070279589</t>
  </si>
  <si>
    <t>NSMG25070241246</t>
  </si>
  <si>
    <t>NSMG25070204514</t>
  </si>
  <si>
    <t>NSMG25070239712</t>
  </si>
  <si>
    <t>NSMG25070257824</t>
  </si>
  <si>
    <t>NSMG25070207305</t>
  </si>
  <si>
    <t>NSMG25070284188</t>
  </si>
  <si>
    <t>NSMG25080311862</t>
  </si>
  <si>
    <t>NSMG25080315988</t>
  </si>
  <si>
    <t>NSMG25080317096</t>
  </si>
  <si>
    <t>NSMG25060159281</t>
  </si>
  <si>
    <t>NSMG25060159274</t>
  </si>
  <si>
    <t>NSMG25060156347</t>
  </si>
  <si>
    <t>NSMG25060193584</t>
  </si>
  <si>
    <t>NSMG25060193963</t>
  </si>
  <si>
    <t>NSMG25060178822</t>
  </si>
  <si>
    <t>NSMG25060179457</t>
  </si>
  <si>
    <t>NSMG25060178519</t>
  </si>
  <si>
    <t>NSMG25060173068</t>
  </si>
  <si>
    <t>NSMG25070201081</t>
  </si>
  <si>
    <t>NSMG25070204963</t>
  </si>
  <si>
    <t>NSMG25060169917</t>
  </si>
  <si>
    <t>NSMG25070205624</t>
  </si>
  <si>
    <t>NSMG25060145384</t>
  </si>
  <si>
    <t>NSMG25050031459</t>
  </si>
  <si>
    <t>NSMG25060159783</t>
  </si>
  <si>
    <t>NSMG25060159633</t>
  </si>
  <si>
    <t>NSMG25060119800</t>
  </si>
  <si>
    <t>NSMG25060121376</t>
  </si>
  <si>
    <t>Module Burn</t>
  </si>
  <si>
    <t>NSMI25011276140</t>
  </si>
  <si>
    <t xml:space="preserve">Front glass broken </t>
  </si>
  <si>
    <t>NSMI25011264135</t>
  </si>
  <si>
    <t>NSMI25011263862</t>
  </si>
  <si>
    <t xml:space="preserve">Front glass broken &amp; burning </t>
  </si>
  <si>
    <t>NSMI25011289757</t>
  </si>
  <si>
    <t>NSMI25011289755</t>
  </si>
  <si>
    <t>NSMI25040144970</t>
  </si>
  <si>
    <t>NSMI25011264159</t>
  </si>
  <si>
    <t>Burning</t>
  </si>
  <si>
    <t>NSMI25011263468</t>
  </si>
  <si>
    <t>NSMI25011262132</t>
  </si>
  <si>
    <t>NSMI25011261819</t>
  </si>
  <si>
    <t>NSMI25011262729</t>
  </si>
  <si>
    <t>NSMI25011274946</t>
  </si>
  <si>
    <t>Glass Broken/Burning</t>
  </si>
  <si>
    <t>NSMI25011262869</t>
  </si>
  <si>
    <t>NSMI25040156868</t>
  </si>
  <si>
    <t>NSMI25040048897</t>
  </si>
  <si>
    <t>NSMI25040047113</t>
  </si>
  <si>
    <t>NSMI25040144877</t>
  </si>
  <si>
    <t>aaa</t>
  </si>
  <si>
    <t>NSMI24110755622</t>
  </si>
  <si>
    <t>NSMI24100693901</t>
  </si>
  <si>
    <t>NSMI24100719165</t>
  </si>
  <si>
    <t>NSMI24110758207</t>
  </si>
  <si>
    <t>NSMI24110758250</t>
  </si>
  <si>
    <t>NSMI24110763670</t>
  </si>
  <si>
    <t>NSMI24110762009</t>
  </si>
  <si>
    <t>NSMI24110761366</t>
  </si>
  <si>
    <t>NSMI24100733638</t>
  </si>
  <si>
    <t>NSMI24100695077</t>
  </si>
  <si>
    <t>NSMI24100725741</t>
  </si>
  <si>
    <t>NSMI24110789579</t>
  </si>
  <si>
    <t>NSMI24110789569</t>
  </si>
  <si>
    <t>NSMI24110789553</t>
  </si>
  <si>
    <t>NSMI24110789578</t>
  </si>
  <si>
    <t>NSMI24110789577</t>
  </si>
  <si>
    <t>NSMI24110789633</t>
  </si>
  <si>
    <t>NSMI24110789584</t>
  </si>
  <si>
    <t>NSMI24110789609</t>
  </si>
  <si>
    <t>NSMI24110789631</t>
  </si>
  <si>
    <t>NSMI24110759924</t>
  </si>
  <si>
    <t>NSMI24100725027</t>
  </si>
  <si>
    <t>NSMI24110759989</t>
  </si>
  <si>
    <t>NSMI24100698708</t>
  </si>
  <si>
    <t>NSMI24110788200</t>
  </si>
  <si>
    <t>NSMI24110740240</t>
  </si>
  <si>
    <t>NSMI24110740246</t>
  </si>
  <si>
    <t>NSMI24110740321</t>
  </si>
  <si>
    <t>NSMI24100717544</t>
  </si>
  <si>
    <t>NSMI24110739230</t>
  </si>
  <si>
    <t>NSMI24110739374</t>
  </si>
  <si>
    <t>NSMI24100735430</t>
  </si>
  <si>
    <t>NSMI24100729540</t>
  </si>
  <si>
    <t>NSMI24110790910</t>
  </si>
  <si>
    <t>NSMI24110791179</t>
  </si>
  <si>
    <t>NSMI24110791107</t>
  </si>
  <si>
    <t>NSMI24100732031</t>
  </si>
  <si>
    <t>NSMI24100729559</t>
  </si>
  <si>
    <t>NSMI24110740809</t>
  </si>
  <si>
    <t>NSMI24110777590</t>
  </si>
  <si>
    <t>NSMI24110758961</t>
  </si>
  <si>
    <t>NSMI24100736237</t>
  </si>
  <si>
    <t>NSMI24100716542</t>
  </si>
  <si>
    <t>NSMI24100737380</t>
  </si>
  <si>
    <t>NSMI24100710778</t>
  </si>
  <si>
    <t>NSMI24110759259</t>
  </si>
  <si>
    <t>NSMI24110742148</t>
  </si>
  <si>
    <t>NSMI24100716310</t>
  </si>
  <si>
    <t>NSMI24100723179</t>
  </si>
  <si>
    <t>NSMI24100696447</t>
  </si>
  <si>
    <t>NSMI24110783403</t>
  </si>
  <si>
    <t>NSMI24110781851</t>
  </si>
  <si>
    <t>NSMI24110761454</t>
  </si>
  <si>
    <t>NSMI24110756935</t>
  </si>
  <si>
    <t>NSMI24110766652</t>
  </si>
  <si>
    <t>NSMI24100733989</t>
  </si>
  <si>
    <t>NSMI24110784677</t>
  </si>
  <si>
    <t>NSMI24110784723</t>
  </si>
  <si>
    <t>NSMI24100738428</t>
  </si>
  <si>
    <t>NSMI24100738463</t>
  </si>
  <si>
    <t>NSMI24110783301</t>
  </si>
  <si>
    <t>NSMI24110783312</t>
  </si>
  <si>
    <t xml:space="preserve">  -----------------------</t>
  </si>
  <si>
    <t>NSMI24110769086</t>
  </si>
  <si>
    <t>NSMI24110783890</t>
  </si>
  <si>
    <t>NSMI24110786374</t>
  </si>
  <si>
    <t>Row Labels</t>
  </si>
  <si>
    <t>Count of Complaint Raised By</t>
  </si>
  <si>
    <t>(blank)</t>
  </si>
  <si>
    <t>KVK Engineering</t>
  </si>
  <si>
    <t>ORB Energy</t>
  </si>
  <si>
    <t>P1 - 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</si>
</sst>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5" formatCode="0.0%"/>
    <numFmt numFmtId="166" formatCode="#,##0.0"/>
    <numFmt numFmtId="167" formatCode="&quot;₹&quot;\ #,##0.00"/>
    <numFmt numFmtId="168" formatCode="0.0&quot; days&quot;"/>
  </numFmts>
  <fonts count="6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242424"/>
      <name val="Calibri"/>
      <family val="2"/>
    </font>
    <font>
      <sz val="8"/>
      <color rgb="FF000000"/>
      <name val="Calibri"/>
      <family val="2"/>
    </font>
    <font>
      <sz val="8"/>
      <color rgb="FF242424"/>
      <name val="Aptos Narrow"/>
      <family val="2"/>
    </font>
    <font>
      <b/>
      <sz val="9"/>
      <color rgb="FF000000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</font>
    <font>
      <sz val="9"/>
      <color rgb="FF242424"/>
      <name val="Aptos Narrow"/>
      <family val="2"/>
    </font>
    <font>
      <sz val="9"/>
      <color theme="1"/>
      <name val="Calibri"/>
      <family val="2"/>
    </font>
    <font>
      <sz val="9"/>
      <name val="Calibri"/>
      <family val="2"/>
      <scheme val="minor"/>
    </font>
    <font>
      <sz val="8"/>
      <color rgb="FF000000"/>
      <name val="Aptos Narrow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6"/>
      <color rgb="FF1F4E7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9"/>
      <color rgb="FF4472C4"/>
      <name val="Calibri"/>
      <family val="2"/>
      <scheme val="minor"/>
    </font>
    <font>
      <b/>
      <sz val="9"/>
      <color rgb="FF548235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sz val="9"/>
      <color rgb="FF1F4E79"/>
      <name val="Calibri"/>
      <family val="2"/>
      <scheme val="minor"/>
    </font>
    <font>
      <b/>
      <sz val="9"/>
      <color rgb="FFC459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20"/>
      <color rgb="FF1F4E79"/>
      <name val="Calibri"/>
      <family val="2"/>
      <scheme val="minor"/>
    </font>
    <font>
      <b/>
      <sz val="20"/>
      <color rgb="FF548235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color rgb="FF7030A0"/>
      <name val="Calibri"/>
      <family val="2"/>
      <scheme val="minor"/>
    </font>
    <font>
      <b/>
      <sz val="20"/>
      <color rgb="FFC45911"/>
      <name val="Calibri"/>
      <family val="2"/>
      <scheme val="minor"/>
    </font>
    <font>
      <b/>
      <sz val="16"/>
      <color theme="7" tint="-0.499984740745262"/>
      <name val="Calibri"/>
      <family val="2"/>
      <scheme val="minor"/>
    </font>
    <font>
      <b/>
      <sz val="13"/>
      <color rgb="FF1F4E79"/>
      <name val="Calibri"/>
      <family val="2"/>
      <scheme val="minor"/>
    </font>
    <font>
      <b/>
      <sz val="11"/>
      <color rgb="FF1F3864"/>
      <name val="Calibri"/>
      <family val="2"/>
      <scheme val="minor"/>
    </font>
    <font>
      <b/>
      <sz val="11"/>
      <color rgb="FF375623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375623"/>
      <name val="Calibri"/>
      <family val="2"/>
      <scheme val="minor"/>
    </font>
    <font>
      <sz val="11"/>
      <color rgb="FFC55A11"/>
      <name val="Calibri"/>
      <family val="2"/>
      <scheme val="minor"/>
    </font>
    <font>
      <b/>
      <i/>
      <sz val="11"/>
      <color theme="3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b/>
      <sz val="11"/>
      <color rgb="FFFFFFFF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22"/>
      <color rgb="FFFFFFFF"/>
      <name val="Calibri"/>
      <family val="2"/>
      <scheme val="minor"/>
    </font>
    <font>
      <sz val="11"/>
      <color rgb="FFBDD7EE"/>
      <name val="Calibri"/>
      <family val="2"/>
      <scheme val="minor"/>
    </font>
    <font>
      <b/>
      <sz val="10"/>
      <color rgb="FF667085"/>
      <name val="Calibri"/>
      <family val="2"/>
      <scheme val="minor"/>
    </font>
    <font>
      <b/>
      <sz val="26"/>
      <color rgb="FF1F3864"/>
      <name val="Calibri"/>
      <family val="2"/>
      <scheme val="minor"/>
    </font>
    <font>
      <b/>
      <sz val="26"/>
      <color rgb="FF2E7D32"/>
      <name val="Calibri"/>
      <family val="2"/>
      <scheme val="minor"/>
    </font>
    <font>
      <b/>
      <sz val="26"/>
      <color rgb="FFC62828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FF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E0E0E0"/>
      </right>
      <top/>
      <bottom/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>
      <alignment vertical="center"/>
    </xf>
  </cellStyleXfs>
  <cellXfs count="208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5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1" fontId="7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5" fontId="6" fillId="2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3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15" fontId="9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9" fillId="0" borderId="1" xfId="0" applyFont="1" applyBorder="1"/>
    <xf numFmtId="0" fontId="9" fillId="5" borderId="1" xfId="0" applyFont="1" applyFill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" fontId="6" fillId="0" borderId="5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top"/>
    </xf>
    <xf numFmtId="1" fontId="7" fillId="4" borderId="5" xfId="0" applyNumberFormat="1" applyFont="1" applyFill="1" applyBorder="1" applyAlignment="1">
      <alignment horizontal="center" vertical="center"/>
    </xf>
    <xf numFmtId="1" fontId="7" fillId="4" borderId="7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14" fillId="0" borderId="7" xfId="0" applyNumberFormat="1" applyFont="1" applyBorder="1" applyAlignment="1">
      <alignment horizontal="center" vertical="center"/>
    </xf>
    <xf numFmtId="164" fontId="14" fillId="2" borderId="7" xfId="0" applyNumberFormat="1" applyFont="1" applyFill="1" applyBorder="1" applyAlignment="1">
      <alignment horizontal="center" vertical="center"/>
    </xf>
    <xf numFmtId="1" fontId="6" fillId="0" borderId="7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/>
    </xf>
    <xf numFmtId="0" fontId="9" fillId="6" borderId="7" xfId="0" applyFont="1" applyFill="1" applyBorder="1" applyAlignment="1">
      <alignment horizontal="center"/>
    </xf>
    <xf numFmtId="15" fontId="3" fillId="2" borderId="1" xfId="0" applyNumberFormat="1" applyFont="1" applyFill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 readingOrder="1"/>
    </xf>
    <xf numFmtId="0" fontId="15" fillId="0" borderId="1" xfId="0" applyFont="1" applyBorder="1" applyAlignment="1">
      <alignment horizontal="center" vertical="top"/>
    </xf>
    <xf numFmtId="1" fontId="9" fillId="0" borderId="1" xfId="0" applyNumberFormat="1" applyFont="1" applyBorder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2" fillId="7" borderId="0" xfId="0" applyFont="1" applyFill="1" applyAlignment="1">
      <alignment vertical="center"/>
    </xf>
    <xf numFmtId="0" fontId="7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23" fillId="2" borderId="0" xfId="0" applyFont="1" applyFill="1"/>
    <xf numFmtId="0" fontId="24" fillId="9" borderId="15" xfId="0" applyFont="1" applyFill="1" applyBorder="1" applyAlignment="1">
      <alignment horizontal="center"/>
    </xf>
    <xf numFmtId="0" fontId="25" fillId="10" borderId="16" xfId="0" applyFont="1" applyFill="1" applyBorder="1" applyAlignment="1">
      <alignment horizontal="center"/>
    </xf>
    <xf numFmtId="0" fontId="26" fillId="11" borderId="16" xfId="0" applyFont="1" applyFill="1" applyBorder="1" applyAlignment="1">
      <alignment horizontal="center"/>
    </xf>
    <xf numFmtId="0" fontId="27" fillId="12" borderId="16" xfId="0" applyFont="1" applyFill="1" applyBorder="1" applyAlignment="1">
      <alignment horizontal="center"/>
    </xf>
    <xf numFmtId="0" fontId="28" fillId="13" borderId="16" xfId="0" applyFont="1" applyFill="1" applyBorder="1" applyAlignment="1">
      <alignment horizontal="center"/>
    </xf>
    <xf numFmtId="0" fontId="29" fillId="14" borderId="17" xfId="0" applyFont="1" applyFill="1" applyBorder="1" applyAlignment="1">
      <alignment horizontal="center"/>
    </xf>
    <xf numFmtId="0" fontId="30" fillId="2" borderId="0" xfId="0" applyFont="1" applyFill="1" applyAlignment="1">
      <alignment horizontal="center"/>
    </xf>
    <xf numFmtId="0" fontId="29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3" fontId="31" fillId="9" borderId="18" xfId="0" applyNumberFormat="1" applyFont="1" applyFill="1" applyBorder="1" applyAlignment="1">
      <alignment horizontal="center"/>
    </xf>
    <xf numFmtId="3" fontId="32" fillId="10" borderId="19" xfId="0" applyNumberFormat="1" applyFont="1" applyFill="1" applyBorder="1" applyAlignment="1">
      <alignment horizontal="center"/>
    </xf>
    <xf numFmtId="3" fontId="33" fillId="11" borderId="19" xfId="0" applyNumberFormat="1" applyFont="1" applyFill="1" applyBorder="1" applyAlignment="1">
      <alignment horizontal="center"/>
    </xf>
    <xf numFmtId="3" fontId="34" fillId="12" borderId="19" xfId="0" applyNumberFormat="1" applyFont="1" applyFill="1" applyBorder="1" applyAlignment="1">
      <alignment horizontal="center"/>
    </xf>
    <xf numFmtId="165" fontId="31" fillId="13" borderId="19" xfId="0" applyNumberFormat="1" applyFont="1" applyFill="1" applyBorder="1" applyAlignment="1">
      <alignment horizontal="center"/>
    </xf>
    <xf numFmtId="166" fontId="35" fillId="14" borderId="18" xfId="0" applyNumberFormat="1" applyFont="1" applyFill="1" applyBorder="1" applyAlignment="1">
      <alignment horizontal="center"/>
    </xf>
    <xf numFmtId="167" fontId="36" fillId="2" borderId="0" xfId="0" applyNumberFormat="1" applyFont="1" applyFill="1"/>
    <xf numFmtId="166" fontId="35" fillId="2" borderId="0" xfId="0" applyNumberFormat="1" applyFont="1" applyFill="1" applyAlignment="1">
      <alignment horizontal="center"/>
    </xf>
    <xf numFmtId="0" fontId="4" fillId="16" borderId="20" xfId="0" applyFont="1" applyFill="1" applyBorder="1" applyAlignment="1">
      <alignment horizontal="center"/>
    </xf>
    <xf numFmtId="0" fontId="4" fillId="16" borderId="21" xfId="0" applyFont="1" applyFill="1" applyBorder="1" applyAlignment="1">
      <alignment horizontal="center"/>
    </xf>
    <xf numFmtId="0" fontId="4" fillId="16" borderId="22" xfId="0" applyFont="1" applyFill="1" applyBorder="1" applyAlignment="1">
      <alignment horizontal="center"/>
    </xf>
    <xf numFmtId="0" fontId="4" fillId="0" borderId="16" xfId="0" applyFont="1" applyBorder="1"/>
    <xf numFmtId="3" fontId="38" fillId="0" borderId="0" xfId="0" applyNumberFormat="1" applyFont="1" applyAlignment="1">
      <alignment horizontal="center"/>
    </xf>
    <xf numFmtId="0" fontId="4" fillId="0" borderId="0" xfId="0" applyFont="1"/>
    <xf numFmtId="165" fontId="39" fillId="0" borderId="23" xfId="0" applyNumberFormat="1" applyFont="1" applyBorder="1" applyAlignment="1">
      <alignment horizontal="center"/>
    </xf>
    <xf numFmtId="0" fontId="40" fillId="0" borderId="16" xfId="0" applyFont="1" applyBorder="1"/>
    <xf numFmtId="3" fontId="41" fillId="0" borderId="0" xfId="0" applyNumberFormat="1" applyFont="1" applyAlignment="1">
      <alignment horizontal="center"/>
    </xf>
    <xf numFmtId="165" fontId="42" fillId="0" borderId="23" xfId="0" applyNumberFormat="1" applyFont="1" applyBorder="1" applyAlignment="1">
      <alignment horizontal="center"/>
    </xf>
    <xf numFmtId="0" fontId="20" fillId="0" borderId="16" xfId="0" applyFont="1" applyBorder="1"/>
    <xf numFmtId="3" fontId="0" fillId="0" borderId="23" xfId="0" applyNumberFormat="1" applyBorder="1" applyAlignment="1">
      <alignment horizontal="center"/>
    </xf>
    <xf numFmtId="10" fontId="0" fillId="0" borderId="0" xfId="0" applyNumberFormat="1"/>
    <xf numFmtId="0" fontId="0" fillId="0" borderId="19" xfId="0" applyBorder="1"/>
    <xf numFmtId="3" fontId="0" fillId="0" borderId="24" xfId="0" applyNumberFormat="1" applyBorder="1" applyAlignment="1">
      <alignment horizontal="center"/>
    </xf>
    <xf numFmtId="0" fontId="0" fillId="0" borderId="24" xfId="0" applyBorder="1"/>
    <xf numFmtId="3" fontId="0" fillId="0" borderId="25" xfId="0" applyNumberFormat="1" applyBorder="1" applyAlignment="1">
      <alignment horizontal="center"/>
    </xf>
    <xf numFmtId="3" fontId="0" fillId="0" borderId="0" xfId="0" applyNumberFormat="1"/>
    <xf numFmtId="0" fontId="43" fillId="17" borderId="0" xfId="0" applyFont="1" applyFill="1" applyAlignment="1">
      <alignment horizontal="center"/>
    </xf>
    <xf numFmtId="0" fontId="4" fillId="16" borderId="0" xfId="0" applyFont="1" applyFill="1" applyAlignment="1">
      <alignment horizontal="center"/>
    </xf>
    <xf numFmtId="0" fontId="4" fillId="16" borderId="23" xfId="0" applyFont="1" applyFill="1" applyBorder="1" applyAlignment="1">
      <alignment horizontal="center"/>
    </xf>
    <xf numFmtId="0" fontId="4" fillId="16" borderId="16" xfId="0" applyFont="1" applyFill="1" applyBorder="1" applyAlignment="1">
      <alignment horizontal="center"/>
    </xf>
    <xf numFmtId="0" fontId="0" fillId="2" borderId="0" xfId="0" applyFill="1"/>
    <xf numFmtId="0" fontId="21" fillId="2" borderId="0" xfId="0" applyFont="1" applyFill="1" applyAlignment="1">
      <alignment horizontal="center"/>
    </xf>
    <xf numFmtId="3" fontId="0" fillId="0" borderId="0" xfId="0" applyNumberFormat="1" applyAlignment="1">
      <alignment horizontal="center"/>
    </xf>
    <xf numFmtId="165" fontId="0" fillId="0" borderId="23" xfId="0" applyNumberFormat="1" applyBorder="1" applyAlignment="1">
      <alignment horizontal="center"/>
    </xf>
    <xf numFmtId="10" fontId="0" fillId="0" borderId="23" xfId="0" applyNumberFormat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46" fillId="19" borderId="19" xfId="0" applyFont="1" applyFill="1" applyBorder="1"/>
    <xf numFmtId="3" fontId="46" fillId="19" borderId="24" xfId="0" applyNumberFormat="1" applyFont="1" applyFill="1" applyBorder="1" applyAlignment="1">
      <alignment horizontal="center"/>
    </xf>
    <xf numFmtId="165" fontId="46" fillId="19" borderId="25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10" fontId="0" fillId="0" borderId="0" xfId="0" applyNumberFormat="1" applyAlignment="1">
      <alignment horizontal="center"/>
    </xf>
    <xf numFmtId="0" fontId="46" fillId="19" borderId="19" xfId="0" applyFont="1" applyFill="1" applyBorder="1" applyAlignment="1">
      <alignment horizontal="center"/>
    </xf>
    <xf numFmtId="0" fontId="4" fillId="16" borderId="16" xfId="0" applyFont="1" applyFill="1" applyBorder="1"/>
    <xf numFmtId="0" fontId="0" fillId="5" borderId="16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16" fontId="0" fillId="0" borderId="16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0" fontId="23" fillId="18" borderId="0" xfId="0" applyFont="1" applyFill="1"/>
    <xf numFmtId="0" fontId="0" fillId="0" borderId="16" xfId="0" applyBorder="1"/>
    <xf numFmtId="0" fontId="1" fillId="0" borderId="16" xfId="0" applyFont="1" applyBorder="1"/>
    <xf numFmtId="166" fontId="38" fillId="0" borderId="0" xfId="0" applyNumberFormat="1" applyFont="1" applyAlignment="1">
      <alignment horizontal="center"/>
    </xf>
    <xf numFmtId="16" fontId="0" fillId="0" borderId="19" xfId="0" applyNumberFormat="1" applyBorder="1" applyAlignment="1">
      <alignment horizontal="center"/>
    </xf>
    <xf numFmtId="0" fontId="46" fillId="18" borderId="20" xfId="0" applyFont="1" applyFill="1" applyBorder="1" applyAlignment="1">
      <alignment horizontal="center"/>
    </xf>
    <xf numFmtId="0" fontId="46" fillId="18" borderId="21" xfId="0" applyFont="1" applyFill="1" applyBorder="1" applyAlignment="1">
      <alignment horizontal="center"/>
    </xf>
    <xf numFmtId="0" fontId="46" fillId="18" borderId="22" xfId="0" applyFont="1" applyFill="1" applyBorder="1" applyAlignment="1">
      <alignment horizontal="center"/>
    </xf>
    <xf numFmtId="0" fontId="4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23" xfId="0" applyFont="1" applyBorder="1" applyAlignment="1">
      <alignment horizontal="center"/>
    </xf>
    <xf numFmtId="0" fontId="44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8" fillId="0" borderId="0" xfId="0" applyFont="1"/>
    <xf numFmtId="0" fontId="4" fillId="13" borderId="12" xfId="0" applyFont="1" applyFill="1" applyBorder="1" applyAlignment="1">
      <alignment horizontal="center"/>
    </xf>
    <xf numFmtId="0" fontId="4" fillId="13" borderId="13" xfId="0" applyFont="1" applyFill="1" applyBorder="1" applyAlignment="1">
      <alignment horizontal="center"/>
    </xf>
    <xf numFmtId="0" fontId="4" fillId="13" borderId="14" xfId="0" applyFont="1" applyFill="1" applyBorder="1" applyAlignment="1">
      <alignment horizontal="center"/>
    </xf>
    <xf numFmtId="0" fontId="49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9" fillId="0" borderId="0" xfId="0" applyFont="1"/>
    <xf numFmtId="0" fontId="4" fillId="0" borderId="0" xfId="0" applyFont="1" applyAlignment="1">
      <alignment horizontal="center"/>
    </xf>
    <xf numFmtId="0" fontId="0" fillId="21" borderId="0" xfId="0" applyFill="1"/>
    <xf numFmtId="0" fontId="46" fillId="2" borderId="0" xfId="0" applyFont="1" applyFill="1"/>
    <xf numFmtId="0" fontId="52" fillId="2" borderId="0" xfId="0" applyFont="1" applyFill="1"/>
    <xf numFmtId="0" fontId="52" fillId="0" borderId="0" xfId="0" applyFont="1"/>
    <xf numFmtId="0" fontId="2" fillId="0" borderId="0" xfId="0" applyFont="1"/>
    <xf numFmtId="0" fontId="51" fillId="0" borderId="0" xfId="0" applyFont="1"/>
    <xf numFmtId="0" fontId="59" fillId="21" borderId="0" xfId="0" applyFont="1" applyFill="1"/>
    <xf numFmtId="0" fontId="46" fillId="22" borderId="0" xfId="0" applyFont="1" applyFill="1"/>
    <xf numFmtId="0" fontId="52" fillId="22" borderId="0" xfId="0" applyFont="1" applyFill="1"/>
    <xf numFmtId="0" fontId="60" fillId="2" borderId="0" xfId="0" applyFont="1" applyFill="1"/>
    <xf numFmtId="0" fontId="61" fillId="2" borderId="0" xfId="0" applyFont="1" applyFill="1"/>
    <xf numFmtId="16" fontId="52" fillId="2" borderId="0" xfId="0" applyNumberFormat="1" applyFont="1" applyFill="1"/>
    <xf numFmtId="0" fontId="62" fillId="21" borderId="0" xfId="0" applyFont="1" applyFill="1"/>
    <xf numFmtId="0" fontId="51" fillId="2" borderId="0" xfId="0" applyFont="1" applyFill="1"/>
    <xf numFmtId="0" fontId="50" fillId="22" borderId="0" xfId="0" applyFont="1" applyFill="1"/>
    <xf numFmtId="0" fontId="51" fillId="22" borderId="0" xfId="0" applyFont="1" applyFill="1"/>
    <xf numFmtId="0" fontId="63" fillId="2" borderId="0" xfId="0" applyFont="1" applyFill="1"/>
    <xf numFmtId="0" fontId="64" fillId="2" borderId="0" xfId="0" applyFont="1" applyFill="1"/>
    <xf numFmtId="0" fontId="53" fillId="19" borderId="0" xfId="0" applyFont="1" applyFill="1" applyAlignment="1">
      <alignment horizontal="left" vertical="center" indent="1"/>
    </xf>
    <xf numFmtId="0" fontId="0" fillId="0" borderId="0" xfId="0"/>
    <xf numFmtId="0" fontId="55" fillId="22" borderId="29" xfId="0" applyFont="1" applyFill="1" applyBorder="1" applyAlignment="1">
      <alignment indent="1"/>
    </xf>
    <xf numFmtId="0" fontId="0" fillId="0" borderId="26" xfId="0" applyBorder="1"/>
    <xf numFmtId="0" fontId="54" fillId="19" borderId="0" xfId="0" applyFont="1" applyFill="1" applyAlignment="1">
      <alignment vertical="center" indent="1"/>
    </xf>
    <xf numFmtId="3" fontId="56" fillId="22" borderId="28" xfId="0" applyNumberFormat="1" applyFont="1" applyFill="1" applyBorder="1" applyAlignment="1">
      <alignment horizontal="left" vertical="center" indent="1"/>
    </xf>
    <xf numFmtId="0" fontId="0" fillId="0" borderId="27" xfId="0" applyBorder="1"/>
    <xf numFmtId="3" fontId="57" fillId="22" borderId="28" xfId="0" applyNumberFormat="1" applyFont="1" applyFill="1" applyBorder="1" applyAlignment="1">
      <alignment horizontal="left" vertical="center" indent="1"/>
    </xf>
    <xf numFmtId="3" fontId="58" fillId="22" borderId="28" xfId="0" applyNumberFormat="1" applyFont="1" applyFill="1" applyBorder="1" applyAlignment="1">
      <alignment horizontal="left" vertical="center" indent="1"/>
    </xf>
    <xf numFmtId="168" fontId="56" fillId="22" borderId="28" xfId="0" applyNumberFormat="1" applyFont="1" applyFill="1" applyBorder="1" applyAlignment="1">
      <alignment horizontal="left" vertical="center" indent="1"/>
    </xf>
    <xf numFmtId="165" fontId="56" fillId="22" borderId="28" xfId="0" applyNumberFormat="1" applyFont="1" applyFill="1" applyBorder="1" applyAlignment="1">
      <alignment horizontal="left" vertical="center" indent="1"/>
    </xf>
    <xf numFmtId="0" fontId="37" fillId="15" borderId="0" xfId="0" applyFont="1" applyFill="1" applyAlignment="1">
      <alignment horizontal="center" vertical="center"/>
    </xf>
    <xf numFmtId="0" fontId="23" fillId="20" borderId="0" xfId="0" applyFont="1" applyFill="1" applyAlignment="1">
      <alignment horizontal="center"/>
    </xf>
    <xf numFmtId="0" fontId="22" fillId="7" borderId="0" xfId="0" applyFont="1" applyFill="1" applyAlignment="1">
      <alignment horizontal="center" vertical="center"/>
    </xf>
    <xf numFmtId="0" fontId="23" fillId="8" borderId="30" xfId="0" applyFont="1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23" fillId="18" borderId="17" xfId="0" applyFont="1" applyFill="1" applyBorder="1"/>
    <xf numFmtId="0" fontId="0" fillId="0" borderId="21" xfId="0" applyBorder="1"/>
    <xf numFmtId="0" fontId="0" fillId="0" borderId="22" xfId="0" applyBorder="1"/>
    <xf numFmtId="0" fontId="23" fillId="18" borderId="30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91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7030A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7030A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9714063412969647E-2"/>
          <c:y val="5.5559221427193897E-2"/>
          <c:w val="0.93742301872830713"/>
          <c:h val="0.84166423929254597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107856"/>
        <c:axId val="1390541264"/>
      </c:barChart>
      <c:catAx>
        <c:axId val="135410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541264"/>
        <c:crosses val="autoZero"/>
        <c:auto val="1"/>
        <c:lblAlgn val="ctr"/>
        <c:lblOffset val="100"/>
        <c:noMultiLvlLbl val="0"/>
      </c:catAx>
      <c:valAx>
        <c:axId val="13905412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crossAx val="1354107856"/>
        <c:crosses val="autoZero"/>
        <c:crossBetween val="between"/>
      </c:valAx>
    </c:plotArea>
    <c:plotVisOnly val="1"/>
    <c:dispBlanksAs val="gap"/>
    <c:showDLblsOverMax val="1"/>
  </c:chart>
  <c:spPr>
    <a:noFill/>
    <a:ln w="2540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'MSI Report'!$B$39</c:f>
              <c:strCache>
                <c:ptCount val="1"/>
                <c:pt idx="0">
                  <c:v>Closed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'MSI Report'!$A$40:$A$70</c:f>
              <c:numCache>
                <c:formatCode>d\-mmm</c:formatCode>
                <c:ptCount val="31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  <c:pt idx="30">
                  <c:v>46022</c:v>
                </c:pt>
              </c:numCache>
            </c:numRef>
          </c:cat>
          <c:val>
            <c:numRef>
              <c:f>'MSI Report'!$B$40:$B$70</c:f>
              <c:numCache>
                <c:formatCode>#,##0</c:formatCode>
                <c:ptCount val="3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96</c:v>
                </c:pt>
                <c:pt idx="7">
                  <c:v>17</c:v>
                </c:pt>
                <c:pt idx="8">
                  <c:v>0</c:v>
                </c:pt>
                <c:pt idx="9">
                  <c:v>39</c:v>
                </c:pt>
                <c:pt idx="10">
                  <c:v>18</c:v>
                </c:pt>
                <c:pt idx="11">
                  <c:v>18</c:v>
                </c:pt>
                <c:pt idx="12">
                  <c:v>25</c:v>
                </c:pt>
                <c:pt idx="13">
                  <c:v>0</c:v>
                </c:pt>
                <c:pt idx="14">
                  <c:v>25</c:v>
                </c:pt>
                <c:pt idx="15">
                  <c:v>24</c:v>
                </c:pt>
                <c:pt idx="16">
                  <c:v>64</c:v>
                </c:pt>
                <c:pt idx="17">
                  <c:v>22</c:v>
                </c:pt>
                <c:pt idx="18">
                  <c:v>3</c:v>
                </c:pt>
                <c:pt idx="19">
                  <c:v>11</c:v>
                </c:pt>
                <c:pt idx="20">
                  <c:v>0</c:v>
                </c:pt>
                <c:pt idx="21">
                  <c:v>23</c:v>
                </c:pt>
                <c:pt idx="22">
                  <c:v>6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</c:v>
                </c:pt>
                <c:pt idx="29">
                  <c:v>10</c:v>
                </c:pt>
                <c:pt idx="3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B6-43BC-A98B-17AEC3F7FA13}"/>
            </c:ext>
          </c:extLst>
        </c:ser>
        <c:ser>
          <c:idx val="1"/>
          <c:order val="1"/>
          <c:tx>
            <c:strRef>
              <c:f>'MSI Report'!$C$39</c:f>
              <c:strCache>
                <c:ptCount val="1"/>
                <c:pt idx="0">
                  <c:v>WIP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'MSI Report'!$A$40:$A$70</c:f>
              <c:numCache>
                <c:formatCode>d\-mmm</c:formatCode>
                <c:ptCount val="31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  <c:pt idx="30">
                  <c:v>46022</c:v>
                </c:pt>
              </c:numCache>
            </c:numRef>
          </c:cat>
          <c:val>
            <c:numRef>
              <c:f>'MSI Report'!$C$40:$C$70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B6-43BC-A98B-17AEC3F7F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016288"/>
        <c:axId val="1329154480"/>
      </c:barChart>
      <c:dateAx>
        <c:axId val="540162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54480"/>
        <c:crosses val="autoZero"/>
        <c:auto val="1"/>
        <c:lblOffset val="100"/>
        <c:baseTimeUnit val="days"/>
      </c:dateAx>
      <c:valAx>
        <c:axId val="132915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1628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'MSI Report'!$B$18</c:f>
              <c:strCache>
                <c:ptCount val="1"/>
                <c:pt idx="0">
                  <c:v>Modules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'MSI Report'!$A$19:$A$30</c:f>
              <c:strCache>
                <c:ptCount val="12"/>
                <c:pt idx="0">
                  <c:v>Madhav Infra Projects Ltd.</c:v>
                </c:pt>
                <c:pt idx="1">
                  <c:v>TRUE SUN TRADING COMPANY</c:v>
                </c:pt>
                <c:pt idx="2">
                  <c:v>Panasonic</c:v>
                </c:pt>
                <c:pt idx="3">
                  <c:v>Continuum</c:v>
                </c:pt>
                <c:pt idx="4">
                  <c:v>KVK ENGINEERING</c:v>
                </c:pt>
                <c:pt idx="5">
                  <c:v>Blupine Jakson Green</c:v>
                </c:pt>
                <c:pt idx="6">
                  <c:v>Arsiga Solar</c:v>
                </c:pt>
                <c:pt idx="7">
                  <c:v>Solar Square</c:v>
                </c:pt>
                <c:pt idx="8">
                  <c:v>Shakti Pump</c:v>
                </c:pt>
                <c:pt idx="9">
                  <c:v>Blupine Energy</c:v>
                </c:pt>
                <c:pt idx="10">
                  <c:v>Orb Energy</c:v>
                </c:pt>
                <c:pt idx="11">
                  <c:v>Axitec Energy</c:v>
                </c:pt>
              </c:strCache>
            </c:strRef>
          </c:cat>
          <c:val>
            <c:numRef>
              <c:f>'MSI Report'!$B$19:$B$30</c:f>
              <c:numCache>
                <c:formatCode>#,##0</c:formatCode>
                <c:ptCount val="12"/>
                <c:pt idx="0">
                  <c:v>98</c:v>
                </c:pt>
                <c:pt idx="1">
                  <c:v>2</c:v>
                </c:pt>
                <c:pt idx="2">
                  <c:v>5</c:v>
                </c:pt>
                <c:pt idx="3">
                  <c:v>34</c:v>
                </c:pt>
                <c:pt idx="4">
                  <c:v>1</c:v>
                </c:pt>
                <c:pt idx="5">
                  <c:v>58</c:v>
                </c:pt>
                <c:pt idx="6">
                  <c:v>9</c:v>
                </c:pt>
                <c:pt idx="7">
                  <c:v>6</c:v>
                </c:pt>
                <c:pt idx="8">
                  <c:v>1</c:v>
                </c:pt>
                <c:pt idx="9">
                  <c:v>181</c:v>
                </c:pt>
                <c:pt idx="10">
                  <c:v>1</c:v>
                </c:pt>
                <c:pt idx="1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3-4D2F-A29B-2A329771E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034064"/>
        <c:axId val="1329344080"/>
      </c:barChart>
      <c:catAx>
        <c:axId val="52034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344080"/>
        <c:crosses val="autoZero"/>
        <c:auto val="1"/>
        <c:lblAlgn val="ctr"/>
        <c:lblOffset val="100"/>
        <c:noMultiLvlLbl val="0"/>
      </c:catAx>
      <c:valAx>
        <c:axId val="132934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3406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'MSI Report'!$I$18</c:f>
              <c:strCache>
                <c:ptCount val="1"/>
                <c:pt idx="0">
                  <c:v>Modules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'MSI Report'!$H$19:$H$26</c:f>
              <c:strCache>
                <c:ptCount val="8"/>
                <c:pt idx="0">
                  <c:v>Gujarat</c:v>
                </c:pt>
                <c:pt idx="1">
                  <c:v>Maharashtra</c:v>
                </c:pt>
                <c:pt idx="2">
                  <c:v>Kerala</c:v>
                </c:pt>
                <c:pt idx="3">
                  <c:v>Telangana</c:v>
                </c:pt>
                <c:pt idx="4">
                  <c:v>Chhattisgarh</c:v>
                </c:pt>
                <c:pt idx="5">
                  <c:v>Uttar Pradesh</c:v>
                </c:pt>
                <c:pt idx="6">
                  <c:v>Rajasthan</c:v>
                </c:pt>
                <c:pt idx="7">
                  <c:v>Karnataka</c:v>
                </c:pt>
              </c:strCache>
            </c:strRef>
          </c:cat>
          <c:val>
            <c:numRef>
              <c:f>'MSI Report'!$I$19:$I$26</c:f>
              <c:numCache>
                <c:formatCode>#,##0</c:formatCode>
                <c:ptCount val="8"/>
                <c:pt idx="0">
                  <c:v>133</c:v>
                </c:pt>
                <c:pt idx="1">
                  <c:v>4</c:v>
                </c:pt>
                <c:pt idx="2">
                  <c:v>22</c:v>
                </c:pt>
                <c:pt idx="3">
                  <c:v>1</c:v>
                </c:pt>
                <c:pt idx="4">
                  <c:v>58</c:v>
                </c:pt>
                <c:pt idx="5">
                  <c:v>15</c:v>
                </c:pt>
                <c:pt idx="6">
                  <c:v>182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A9-45E8-920C-5C950E311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082640"/>
        <c:axId val="1329137680"/>
      </c:barChart>
      <c:catAx>
        <c:axId val="5408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37680"/>
        <c:crosses val="autoZero"/>
        <c:auto val="1"/>
        <c:lblAlgn val="ctr"/>
        <c:lblOffset val="100"/>
        <c:noMultiLvlLbl val="0"/>
      </c:catAx>
      <c:valAx>
        <c:axId val="132913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264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'MSI Report'!$I$54</c:f>
              <c:strCache>
                <c:ptCount val="1"/>
                <c:pt idx="0">
                  <c:v>Modules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'MSI Report'!$H$55:$H$59</c:f>
              <c:strCache>
                <c:ptCount val="5"/>
                <c:pt idx="0">
                  <c:v>0 - 3 days</c:v>
                </c:pt>
                <c:pt idx="1">
                  <c:v>4 - 7 days</c:v>
                </c:pt>
                <c:pt idx="2">
                  <c:v>8 - 15 days</c:v>
                </c:pt>
                <c:pt idx="3">
                  <c:v>16 - 30 days</c:v>
                </c:pt>
                <c:pt idx="4">
                  <c:v>&gt; 30 days</c:v>
                </c:pt>
              </c:strCache>
            </c:strRef>
          </c:cat>
          <c:val>
            <c:numRef>
              <c:f>'MSI Report'!$I$55:$I$59</c:f>
              <c:numCache>
                <c:formatCode>#,##0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78</c:v>
                </c:pt>
                <c:pt idx="3">
                  <c:v>240</c:v>
                </c:pt>
                <c:pt idx="4">
                  <c:v>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3-4653-9B95-E212F2283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2166560"/>
        <c:axId val="1329200560"/>
      </c:barChart>
      <c:catAx>
        <c:axId val="34216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200560"/>
        <c:crosses val="autoZero"/>
        <c:auto val="1"/>
        <c:lblAlgn val="ctr"/>
        <c:lblOffset val="100"/>
        <c:noMultiLvlLbl val="0"/>
      </c:catAx>
      <c:valAx>
        <c:axId val="132920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16656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'MSI Report'!$I$45</c:f>
              <c:strCache>
                <c:ptCount val="1"/>
                <c:pt idx="0">
                  <c:v>Modules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'MSI Report'!$H$46:$H$49</c:f>
              <c:strCache>
                <c:ptCount val="4"/>
                <c:pt idx="0">
                  <c:v>P4 - PEIPL</c:v>
                </c:pt>
                <c:pt idx="1">
                  <c:v>P2 - PEPPL</c:v>
                </c:pt>
                <c:pt idx="2">
                  <c:v>P5 - PEGPL</c:v>
                </c:pt>
                <c:pt idx="3">
                  <c:v>Prime Pack</c:v>
                </c:pt>
              </c:strCache>
            </c:strRef>
          </c:cat>
          <c:val>
            <c:numRef>
              <c:f>'MSI Report'!$I$46:$I$49</c:f>
              <c:numCache>
                <c:formatCode>#,##0</c:formatCode>
                <c:ptCount val="4"/>
                <c:pt idx="0">
                  <c:v>92</c:v>
                </c:pt>
                <c:pt idx="1">
                  <c:v>137</c:v>
                </c:pt>
                <c:pt idx="2">
                  <c:v>184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5-4444-A945-E342E0604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2215280"/>
        <c:axId val="1329165040"/>
      </c:barChart>
      <c:catAx>
        <c:axId val="34221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65040"/>
        <c:crosses val="autoZero"/>
        <c:auto val="1"/>
        <c:lblAlgn val="ctr"/>
        <c:lblOffset val="100"/>
        <c:noMultiLvlLbl val="0"/>
      </c:catAx>
      <c:valAx>
        <c:axId val="132916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21528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3"/>
          <c:order val="0"/>
          <c:tx>
            <c:strRef>
              <c:f>'MSI Report'!$E$73</c:f>
              <c:strCache>
                <c:ptCount val="1"/>
                <c:pt idx="0">
                  <c:v>Grand Total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D11-40BE-9E38-CC5D48A8B3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D11-40BE-9E38-CC5D48A8B3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D11-40BE-9E38-CC5D48A8B31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D11-40BE-9E38-CC5D48A8B31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D11-40BE-9E38-CC5D48A8B31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D11-40BE-9E38-CC5D48A8B31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AD11-40BE-9E38-CC5D48A8B31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AD11-40BE-9E38-CC5D48A8B31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AD11-40BE-9E38-CC5D48A8B31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'MSI Report'!$A$74:$A$82</c:f>
              <c:strCache>
                <c:ptCount val="9"/>
                <c:pt idx="0">
                  <c:v>JB Issue</c:v>
                </c:pt>
                <c:pt idx="1">
                  <c:v>Module Damaged</c:v>
                </c:pt>
                <c:pt idx="2">
                  <c:v>Cold Soldering</c:v>
                </c:pt>
                <c:pt idx="3">
                  <c:v>No Issue</c:v>
                </c:pt>
                <c:pt idx="4">
                  <c:v>JB Burn</c:v>
                </c:pt>
                <c:pt idx="5">
                  <c:v>Burn Module</c:v>
                </c:pt>
                <c:pt idx="6">
                  <c:v>Improper ribbon soldering</c:v>
                </c:pt>
                <c:pt idx="7">
                  <c:v>Oil Marks on the module</c:v>
                </c:pt>
                <c:pt idx="8">
                  <c:v>Not related to Premier Complaints</c:v>
                </c:pt>
              </c:strCache>
            </c:strRef>
          </c:cat>
          <c:val>
            <c:numRef>
              <c:f>'MSI Report'!$E$74:$E$82</c:f>
              <c:numCache>
                <c:formatCode>General</c:formatCode>
                <c:ptCount val="9"/>
                <c:pt idx="0">
                  <c:v>151</c:v>
                </c:pt>
                <c:pt idx="1">
                  <c:v>67</c:v>
                </c:pt>
                <c:pt idx="2">
                  <c:v>127</c:v>
                </c:pt>
                <c:pt idx="3">
                  <c:v>22</c:v>
                </c:pt>
                <c:pt idx="4">
                  <c:v>11</c:v>
                </c:pt>
                <c:pt idx="5">
                  <c:v>28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D11-40BE-9E38-CC5D48A8B31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spPr>
        <a:solidFill>
          <a:schemeClr val="lt1">
            <a:alpha val="39000"/>
            <a:lumMod val="95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'MSI Report'!$B$73</c:f>
              <c:strCache>
                <c:ptCount val="1"/>
                <c:pt idx="0">
                  <c:v>G2B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'MSI Report'!$A$74:$A$81</c:f>
              <c:strCache>
                <c:ptCount val="8"/>
                <c:pt idx="0">
                  <c:v>JB Issue</c:v>
                </c:pt>
                <c:pt idx="1">
                  <c:v>Module Damaged</c:v>
                </c:pt>
                <c:pt idx="2">
                  <c:v>Cold Soldering</c:v>
                </c:pt>
                <c:pt idx="3">
                  <c:v>No Issue</c:v>
                </c:pt>
                <c:pt idx="4">
                  <c:v>JB Burn</c:v>
                </c:pt>
                <c:pt idx="5">
                  <c:v>Burn Module</c:v>
                </c:pt>
                <c:pt idx="6">
                  <c:v>Improper ribbon soldering</c:v>
                </c:pt>
                <c:pt idx="7">
                  <c:v>Oil Marks on the module</c:v>
                </c:pt>
              </c:strCache>
            </c:strRef>
          </c:cat>
          <c:val>
            <c:numRef>
              <c:f>'MSI Report'!$B$74:$B$81</c:f>
              <c:numCache>
                <c:formatCode>General</c:formatCode>
                <c:ptCount val="8"/>
                <c:pt idx="0">
                  <c:v>95</c:v>
                </c:pt>
                <c:pt idx="1">
                  <c:v>1</c:v>
                </c:pt>
                <c:pt idx="2">
                  <c:v>5</c:v>
                </c:pt>
                <c:pt idx="3">
                  <c:v>20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07-4D1C-ABBD-C7A5AA8ACB86}"/>
            </c:ext>
          </c:extLst>
        </c:ser>
        <c:ser>
          <c:idx val="1"/>
          <c:order val="1"/>
          <c:tx>
            <c:strRef>
              <c:f>'MSI Report'!$C$73</c:f>
              <c:strCache>
                <c:ptCount val="1"/>
                <c:pt idx="0">
                  <c:v>G2TB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'MSI Report'!$A$74:$A$81</c:f>
              <c:strCache>
                <c:ptCount val="8"/>
                <c:pt idx="0">
                  <c:v>JB Issue</c:v>
                </c:pt>
                <c:pt idx="1">
                  <c:v>Module Damaged</c:v>
                </c:pt>
                <c:pt idx="2">
                  <c:v>Cold Soldering</c:v>
                </c:pt>
                <c:pt idx="3">
                  <c:v>No Issue</c:v>
                </c:pt>
                <c:pt idx="4">
                  <c:v>JB Burn</c:v>
                </c:pt>
                <c:pt idx="5">
                  <c:v>Burn Module</c:v>
                </c:pt>
                <c:pt idx="6">
                  <c:v>Improper ribbon soldering</c:v>
                </c:pt>
                <c:pt idx="7">
                  <c:v>Oil Marks on the module</c:v>
                </c:pt>
              </c:strCache>
            </c:strRef>
          </c:cat>
          <c:val>
            <c:numRef>
              <c:f>'MSI Report'!$C$74:$C$81</c:f>
              <c:numCache>
                <c:formatCode>General</c:formatCode>
                <c:ptCount val="8"/>
                <c:pt idx="0">
                  <c:v>12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07-4D1C-ABBD-C7A5AA8ACB86}"/>
            </c:ext>
          </c:extLst>
        </c:ser>
        <c:ser>
          <c:idx val="2"/>
          <c:order val="2"/>
          <c:tx>
            <c:strRef>
              <c:f>'MSI Report'!$D$73</c:f>
              <c:strCache>
                <c:ptCount val="1"/>
                <c:pt idx="0">
                  <c:v>G2G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'MSI Report'!$A$74:$A$81</c:f>
              <c:strCache>
                <c:ptCount val="8"/>
                <c:pt idx="0">
                  <c:v>JB Issue</c:v>
                </c:pt>
                <c:pt idx="1">
                  <c:v>Module Damaged</c:v>
                </c:pt>
                <c:pt idx="2">
                  <c:v>Cold Soldering</c:v>
                </c:pt>
                <c:pt idx="3">
                  <c:v>No Issue</c:v>
                </c:pt>
                <c:pt idx="4">
                  <c:v>JB Burn</c:v>
                </c:pt>
                <c:pt idx="5">
                  <c:v>Burn Module</c:v>
                </c:pt>
                <c:pt idx="6">
                  <c:v>Improper ribbon soldering</c:v>
                </c:pt>
                <c:pt idx="7">
                  <c:v>Oil Marks on the module</c:v>
                </c:pt>
              </c:strCache>
            </c:strRef>
          </c:cat>
          <c:val>
            <c:numRef>
              <c:f>'MSI Report'!$D$74:$D$81</c:f>
              <c:numCache>
                <c:formatCode>General</c:formatCode>
                <c:ptCount val="8"/>
                <c:pt idx="0">
                  <c:v>44</c:v>
                </c:pt>
                <c:pt idx="1">
                  <c:v>66</c:v>
                </c:pt>
                <c:pt idx="2">
                  <c:v>119</c:v>
                </c:pt>
                <c:pt idx="3">
                  <c:v>2</c:v>
                </c:pt>
                <c:pt idx="4">
                  <c:v>11</c:v>
                </c:pt>
                <c:pt idx="5">
                  <c:v>28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07-4D1C-ABBD-C7A5AA8AC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8355328"/>
        <c:axId val="1329240400"/>
      </c:barChart>
      <c:catAx>
        <c:axId val="135835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240400"/>
        <c:crosses val="autoZero"/>
        <c:auto val="1"/>
        <c:lblAlgn val="ctr"/>
        <c:lblOffset val="100"/>
        <c:noMultiLvlLbl val="0"/>
      </c:catAx>
      <c:valAx>
        <c:axId val="132924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35532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Dashboard!$V$37</c:f>
              <c:strCache>
                <c:ptCount val="1"/>
                <c:pt idx="0">
                  <c:v>Modules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val>
            <c:numRef>
              <c:f>Dashboard!$V$38:$V$42</c:f>
              <c:numCache>
                <c:formatCode>General</c:formatCode>
                <c:ptCount val="5"/>
                <c:pt idx="0">
                  <c:v>97</c:v>
                </c:pt>
                <c:pt idx="1">
                  <c:v>117</c:v>
                </c:pt>
                <c:pt idx="2">
                  <c:v>149</c:v>
                </c:pt>
                <c:pt idx="3">
                  <c:v>30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EB-4A29-B423-AFB137E9D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8364144"/>
        <c:axId val="1329244720"/>
      </c:barChart>
      <c:catAx>
        <c:axId val="135836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244720"/>
        <c:crosses val="autoZero"/>
        <c:auto val="1"/>
        <c:lblAlgn val="ctr"/>
        <c:lblOffset val="100"/>
        <c:noMultiLvlLbl val="0"/>
      </c:catAx>
      <c:valAx>
        <c:axId val="132924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36414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50800</xdr:colOff>
      <xdr:row>40</xdr:row>
      <xdr:rowOff>26669</xdr:rowOff>
    </xdr:from>
    <xdr:to>
      <xdr:col>18</xdr:col>
      <xdr:colOff>127000</xdr:colOff>
      <xdr:row>55</xdr:row>
      <xdr:rowOff>48259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57727</xdr:colOff>
      <xdr:row>8</xdr:row>
      <xdr:rowOff>24740</xdr:rowOff>
    </xdr:from>
    <xdr:to>
      <xdr:col>18</xdr:col>
      <xdr:colOff>115455</xdr:colOff>
      <xdr:row>20</xdr:row>
      <xdr:rowOff>107208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156688</xdr:colOff>
      <xdr:row>23</xdr:row>
      <xdr:rowOff>32987</xdr:rowOff>
    </xdr:from>
    <xdr:to>
      <xdr:col>6</xdr:col>
      <xdr:colOff>742207</xdr:colOff>
      <xdr:row>38</xdr:row>
      <xdr:rowOff>54758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24739</xdr:colOff>
      <xdr:row>23</xdr:row>
      <xdr:rowOff>16494</xdr:rowOff>
    </xdr:from>
    <xdr:to>
      <xdr:col>12</xdr:col>
      <xdr:colOff>461817</xdr:colOff>
      <xdr:row>38</xdr:row>
      <xdr:rowOff>38265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189676</xdr:colOff>
      <xdr:row>40</xdr:row>
      <xdr:rowOff>82468</xdr:rowOff>
    </xdr:from>
    <xdr:to>
      <xdr:col>6</xdr:col>
      <xdr:colOff>766948</xdr:colOff>
      <xdr:row>54</xdr:row>
      <xdr:rowOff>148442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164935</xdr:colOff>
      <xdr:row>58</xdr:row>
      <xdr:rowOff>49480</xdr:rowOff>
    </xdr:from>
    <xdr:to>
      <xdr:col>6</xdr:col>
      <xdr:colOff>799935</xdr:colOff>
      <xdr:row>75</xdr:row>
      <xdr:rowOff>90713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593766</xdr:colOff>
      <xdr:row>22</xdr:row>
      <xdr:rowOff>189674</xdr:rowOff>
    </xdr:from>
    <xdr:to>
      <xdr:col>17</xdr:col>
      <xdr:colOff>374403</xdr:colOff>
      <xdr:row>38</xdr:row>
      <xdr:rowOff>98960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362857</xdr:colOff>
      <xdr:row>58</xdr:row>
      <xdr:rowOff>123701</xdr:rowOff>
    </xdr:from>
    <xdr:to>
      <xdr:col>17</xdr:col>
      <xdr:colOff>585518</xdr:colOff>
      <xdr:row>75</xdr:row>
      <xdr:rowOff>49479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175655</xdr:colOff>
      <xdr:row>40</xdr:row>
      <xdr:rowOff>50966</xdr:rowOff>
    </xdr:from>
    <xdr:to>
      <xdr:col>17</xdr:col>
      <xdr:colOff>470064</xdr:colOff>
      <xdr:row>55</xdr:row>
      <xdr:rowOff>72737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pal Mukerjee" refreshedDate="46060.737789120372" createdVersion="8" refreshedVersion="8" minRefreshableVersion="3" recordCount="47234" xr:uid="{00000000-000A-0000-FFFF-FFFF02000000}">
  <cacheSource type="worksheet">
    <worksheetSource ref="A1:AA417" sheet="Monthly Report Dec-25"/>
  </cacheSource>
  <cacheFields count="27">
    <cacheField name="Request Received Date" numFmtId="0">
      <sharedItems containsNonDate="0" containsDate="1" containsString="0" containsBlank="1" minDate="2025-09-23T00:00:00" maxDate="2025-12-25T00:00:00"/>
    </cacheField>
    <cacheField name="Year" numFmtId="0">
      <sharedItems containsString="0" containsBlank="1" containsNumber="1" containsInteger="1" minValue="2025" maxValue="2025"/>
    </cacheField>
    <cacheField name="Complaint Raised By" numFmtId="0">
      <sharedItems containsBlank="1" count="24">
        <s v="Madhav Infra Projects Ltd."/>
        <s v="TRUE SUN TRADING COMPANY"/>
        <s v="Panasonic"/>
        <s v="Continuum - JROPL"/>
        <s v="KVK ENGINEERING"/>
        <m/>
        <s v="Blupine Jakson Green"/>
        <s v="Arsiga Solar"/>
        <s v="Solar Square"/>
        <s v="Shakti Pump"/>
        <s v="Blupine Energy"/>
        <s v="Orb Energy"/>
        <s v="Axitec Energy"/>
        <s v="Continuum"/>
        <s v="SEMBCORP" u="1"/>
        <s v="VITTHAL SOLAR" u="1"/>
        <s v="Solaark" u="1"/>
        <s v=" JK Solar" u="1"/>
        <s v="Agriculture department, Maharashtra" u="1"/>
        <s v="Blupine" u="1"/>
        <s v="Continuumen" u="1"/>
        <s v="First Energy" u="1"/>
        <s v="NTPC" u="1"/>
        <s v="Uma Trading Company" u="1"/>
      </sharedItems>
    </cacheField>
    <cacheField name="Customer Type" numFmtId="0">
      <sharedItems containsBlank="1"/>
    </cacheField>
    <cacheField name="Project Name" numFmtId="0">
      <sharedItems containsBlank="1"/>
    </cacheField>
    <cacheField name="Current Status" numFmtId="0">
      <sharedItems containsBlank="1"/>
    </cacheField>
    <cacheField name="Claim Reported By" numFmtId="0">
      <sharedItems containsBlank="1"/>
    </cacheField>
    <cacheField name="Contact No." numFmtId="0">
      <sharedItems containsString="0" containsBlank="1" containsNumber="1" containsInteger="1" minValue="7459871048" maxValue="9972197300"/>
    </cacheField>
    <cacheField name="Contract / Complaint  / Invoice No." numFmtId="0">
      <sharedItems containsBlank="1"/>
    </cacheField>
    <cacheField name="Customer Reported Problem" numFmtId="0">
      <sharedItems containsBlank="1"/>
    </cacheField>
    <cacheField name="Venue / Location" numFmtId="0">
      <sharedItems containsBlank="1"/>
    </cacheField>
    <cacheField name="State" numFmtId="0">
      <sharedItems containsBlank="1"/>
    </cacheField>
    <cacheField name="Our Evaluation" numFmtId="0">
      <sharedItems containsBlank="1"/>
    </cacheField>
    <cacheField name="PV Panels Wp" numFmtId="0">
      <sharedItems containsBlank="1" containsMixedTypes="1" containsNumber="1" containsInteger="1" minValue="445" maxValue="610"/>
    </cacheField>
    <cacheField name="Module Serial Number" numFmtId="0">
      <sharedItems containsBlank="1" containsMixedTypes="1" containsNumber="1" containsInteger="1" minValue="26240831013416" maxValue="26240831017117"/>
    </cacheField>
    <cacheField name="Module Make Year" numFmtId="0">
      <sharedItems containsBlank="1" containsMixedTypes="1" containsNumber="1" containsInteger="1" minValue="24" maxValue="24"/>
    </cacheField>
    <cacheField name="Module Make Month" numFmtId="0">
      <sharedItems containsBlank="1" containsMixedTypes="1" containsNumber="1" containsInteger="1" minValue="8" maxValue="8"/>
    </cacheField>
    <cacheField name="Moduel Type" numFmtId="0">
      <sharedItems containsBlank="1"/>
    </cacheField>
    <cacheField name="Manufacturing Plant" numFmtId="0">
      <sharedItems containsBlank="1"/>
    </cacheField>
    <cacheField name="Remark" numFmtId="0">
      <sharedItems containsBlank="1"/>
    </cacheField>
    <cacheField name="Action Taken" numFmtId="0">
      <sharedItems containsBlank="1"/>
    </cacheField>
    <cacheField name="Resolution Type" numFmtId="0">
      <sharedItems containsBlank="1"/>
    </cacheField>
    <cacheField name="Date of Claim Settled" numFmtId="0">
      <sharedItems containsNonDate="0" containsDate="1" containsString="0" containsBlank="1" minDate="2025-12-01T00:00:00" maxDate="2026-01-01T00:00:00"/>
    </cacheField>
    <cacheField name="Claim Settlement Duration" numFmtId="0">
      <sharedItems containsString="0" containsBlank="1" containsNumber="1" containsInteger="1" minValue="0" maxValue="76"/>
    </cacheField>
    <cacheField name="Costing/Module" numFmtId="0">
      <sharedItems containsNonDate="0" containsString="0" containsBlank="1"/>
    </cacheField>
    <cacheField name="Review Meeting Remarks -" numFmtId="0">
      <sharedItems containsNonDate="0" containsString="0" containsBlank="1"/>
    </cacheField>
    <cacheField name="Todays review Minut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47234">
  <r>
    <d v="2025-10-11T00:00:00"/>
    <n v="2025"/>
    <x v="0"/>
    <s v="Channel Sales"/>
    <s v="GIPCL,Vastan ,Surat"/>
    <s v="Closed"/>
    <s v="Ritesh Jariwala"/>
    <n v="9033920684"/>
    <m/>
    <s v="Low VOC"/>
    <s v="Vastan"/>
    <s v="Gujarat"/>
    <s v="JB Issue"/>
    <n v="545"/>
    <s v="NSMI24120992977"/>
    <s v="24"/>
    <s v="12"/>
    <s v="G2G"/>
    <s v="P5"/>
    <s v="JB Issue"/>
    <s v="P JB Changed"/>
    <s v="Repair"/>
    <d v="2025-12-08T00:00:00"/>
    <n v="58"/>
    <m/>
    <m/>
    <m/>
  </r>
  <r>
    <d v="2025-10-11T00:00:00"/>
    <n v="2025"/>
    <x v="0"/>
    <s v="Channel Sales"/>
    <s v="GIPCL,Vastan ,Surat"/>
    <s v="Closed"/>
    <s v="Ritesh Jariwala"/>
    <n v="9033920684"/>
    <m/>
    <s v="Low VOC"/>
    <s v="Vastan"/>
    <s v="Gujarat"/>
    <s v="JB Issue"/>
    <n v="545"/>
    <s v="NSMI24120993021"/>
    <s v="24"/>
    <s v="12"/>
    <s v="G2G"/>
    <s v="P5"/>
    <s v="JB Issue"/>
    <s v="P JB Changed"/>
    <s v="Repair"/>
    <d v="2025-12-08T00:00:00"/>
    <n v="58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4623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4631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4571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6784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6768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6744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6753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6719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6752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6504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3267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3320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2503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2518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2127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2519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1267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2624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4619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2480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2975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0729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12984224"/>
    <s v="23"/>
    <s v="12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6618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2466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Module Damaged"/>
    <n v="540"/>
    <s v="NSMP2307406734"/>
    <s v="23"/>
    <s v="07"/>
    <s v="G2B"/>
    <s v="P2"/>
    <s v="Module Damage"/>
    <s v="Rejected"/>
    <s v="Rejected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2476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2481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2458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2494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2514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2509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2486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399756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399707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399704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399746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3265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399706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3293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0727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0814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0821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3299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0819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6772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6783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3814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3742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2918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3747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3779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3301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3322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3334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1237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2548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1274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2460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1279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12984254"/>
    <s v="23"/>
    <s v="12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12984248"/>
    <s v="23"/>
    <s v="12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12984252"/>
    <s v="23"/>
    <s v="12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12984255"/>
    <s v="23"/>
    <s v="12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12984215"/>
    <s v="23"/>
    <s v="12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12984280"/>
    <s v="23"/>
    <s v="12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12984219"/>
    <s v="23"/>
    <s v="12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12984455"/>
    <s v="23"/>
    <s v="12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12984437"/>
    <s v="23"/>
    <s v="12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12984447"/>
    <s v="23"/>
    <s v="12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1318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3335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3327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3189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3304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6773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6775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6747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2525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2517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3193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2897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2886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2882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2922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2912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2911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2935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2929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2901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2887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2974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4603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4575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3259"/>
    <s v="23"/>
    <s v="07"/>
    <s v="G2B"/>
    <s v="P2"/>
    <s v="JB Issue"/>
    <s v="All Jb Changed"/>
    <s v="Repair"/>
    <d v="2025-12-07T00:00:00"/>
    <n v="25"/>
    <m/>
    <m/>
    <m/>
  </r>
  <r>
    <d v="2025-11-12T00:00:00"/>
    <n v="2025"/>
    <x v="0"/>
    <s v="Channel Sales"/>
    <s v="Lakadia,Bhachau,Kutchh"/>
    <s v="Closed"/>
    <s v="Ritesh Jariwala"/>
    <n v="9033920684"/>
    <m/>
    <s v="Sustained damage"/>
    <s v="Lakadia"/>
    <s v="Gujarat"/>
    <s v="JB Issue"/>
    <n v="540"/>
    <s v="NSMP2307402779"/>
    <s v="23"/>
    <s v="07"/>
    <s v="G2B"/>
    <s v="P2"/>
    <s v="JB Issue"/>
    <s v="All Jb Changed"/>
    <s v="Repair"/>
    <d v="2025-12-07T00:00:00"/>
    <n v="25"/>
    <m/>
    <m/>
    <m/>
  </r>
  <r>
    <d v="2025-09-23T00:00:00"/>
    <n v="2025"/>
    <x v="1"/>
    <s v="Channel Sales"/>
    <m/>
    <s v="Closed"/>
    <s v="Joel Jacob"/>
    <n v="7902222180"/>
    <m/>
    <s v="Low VOC"/>
    <s v="VELIYANOOR "/>
    <s v="Gujarat"/>
    <s v="Cold Soldering"/>
    <n v="545"/>
    <s v="Wrong Srl. no.(w-94) updated in w-99"/>
    <s v="g "/>
    <s v="Sr"/>
    <m/>
    <m/>
    <s v="Complaints closed by True Sun team"/>
    <s v="Complaints closed by True Sun team"/>
    <s v="Repair"/>
    <d v="2025-12-08T00:00:00"/>
    <n v="76"/>
    <m/>
    <m/>
    <m/>
  </r>
  <r>
    <d v="2025-12-05T00:00:00"/>
    <n v="2025"/>
    <x v="2"/>
    <s v="Channel Sales"/>
    <m/>
    <s v="Closed"/>
    <s v="Chirag Tare"/>
    <n v="7719846027"/>
    <m/>
    <s v="Low VOC"/>
    <s v="Nagpur"/>
    <s v="Maharashtra"/>
    <s v="No Issue"/>
    <n v="445"/>
    <s v="NSMP2203012985"/>
    <s v="22"/>
    <s v="03"/>
    <s v="G2B"/>
    <s v="P2"/>
    <s v="No Issue"/>
    <s v="Found OK"/>
    <s v="Repair"/>
    <d v="2025-12-08T00:00:00"/>
    <n v="3"/>
    <m/>
    <m/>
    <m/>
  </r>
  <r>
    <d v="2025-12-03T00:00:00"/>
    <n v="2025"/>
    <x v="2"/>
    <s v="Channel Sales"/>
    <m/>
    <s v="Closed"/>
    <s v="Chirag Tare"/>
    <n v="7719846027"/>
    <m/>
    <s v="Low VOC"/>
    <s v="Nagpur"/>
    <s v="Maharashtra"/>
    <s v="Cold Soldering"/>
    <n v="545"/>
    <s v="NSMP2211232416"/>
    <s v="22"/>
    <s v="11"/>
    <s v="G2B"/>
    <s v="P2"/>
    <s v="JB Issue"/>
    <s v="All JB Soldering"/>
    <s v="Repair"/>
    <d v="2025-12-08T00:00:00"/>
    <n v="5"/>
    <m/>
    <m/>
    <m/>
  </r>
  <r>
    <d v="2025-12-03T00:00:00"/>
    <n v="2025"/>
    <x v="2"/>
    <s v="Channel Sales"/>
    <m/>
    <s v="Closed"/>
    <s v="Chirag Tare"/>
    <n v="7719846027"/>
    <m/>
    <s v="Low VOC"/>
    <s v="Nagpur"/>
    <s v="Maharashtra"/>
    <s v="Cold Soldering"/>
    <n v="545"/>
    <s v="NSMP2211232485"/>
    <s v="22"/>
    <s v="11"/>
    <s v="G2B"/>
    <s v="P2"/>
    <s v="JB Issue"/>
    <s v="All JB Soldering"/>
    <s v="Repair"/>
    <d v="2025-12-08T00:00:00"/>
    <n v="5"/>
    <m/>
    <m/>
    <m/>
  </r>
  <r>
    <d v="2025-12-03T00:00:00"/>
    <n v="2025"/>
    <x v="2"/>
    <s v="Channel Sales"/>
    <m/>
    <s v="Closed"/>
    <s v="Chirag Tare"/>
    <n v="7719846027"/>
    <m/>
    <s v="Low VOC"/>
    <s v="Nagpur"/>
    <s v="Maharashtra"/>
    <s v="Cold Soldering"/>
    <n v="545"/>
    <s v="NSMP2211232374"/>
    <s v="22"/>
    <s v="11"/>
    <s v="G2B"/>
    <s v="P2"/>
    <s v="JB Issue"/>
    <s v="All JB Soldering"/>
    <s v="Repair"/>
    <d v="2025-12-08T00:00:00"/>
    <n v="5"/>
    <m/>
    <m/>
    <m/>
  </r>
  <r>
    <d v="2025-12-05T00:00:00"/>
    <n v="2025"/>
    <x v="2"/>
    <s v="Channel Sales"/>
    <m/>
    <s v="Closed"/>
    <s v="Chirag Tare"/>
    <n v="7719846027"/>
    <m/>
    <s v="Low VOC"/>
    <s v="Aluva"/>
    <s v="Kerala"/>
    <s v="Cold Soldering"/>
    <n v="535"/>
    <s v="ANCHOR2305114695"/>
    <s v="OR"/>
    <s v="23"/>
    <s v="G2B"/>
    <s v="P2"/>
    <s v="JB Issue"/>
    <s v="N JB Soldering"/>
    <s v="Repair"/>
    <d v="2025-12-08T00:00:00"/>
    <n v="3"/>
    <m/>
    <m/>
    <m/>
  </r>
  <r>
    <d v="2025-12-08T00:00:00"/>
    <n v="2025"/>
    <x v="3"/>
    <s v="Utility and C&amp;I"/>
    <m/>
    <s v="Closed"/>
    <s v="Sudarshan Bhosale"/>
    <n v="9972197300"/>
    <m/>
    <s v="Low Voc / Burn spot"/>
    <s v="Jamnagar"/>
    <s v="Gujarat"/>
    <s v="JB Burn"/>
    <n v="580"/>
    <s v="NSMI25040181104"/>
    <s v="25"/>
    <s v="04"/>
    <s v="G2G"/>
    <s v="P4"/>
    <s v="JB Issue"/>
    <s v="P &amp; N JB Changed"/>
    <s v="Repair"/>
    <d v="2025-12-12T00:00:00"/>
    <n v="4"/>
    <m/>
    <m/>
    <m/>
  </r>
  <r>
    <d v="2025-12-08T00:00:00"/>
    <n v="2025"/>
    <x v="3"/>
    <s v="Utility and C&amp;I"/>
    <m/>
    <s v="Closed"/>
    <s v="Sudarshan Bhosale"/>
    <n v="9972197300"/>
    <m/>
    <s v="Low Voc / Burn spot"/>
    <s v="Jamnagar"/>
    <s v="Gujarat"/>
    <s v="JB Burn"/>
    <n v="580"/>
    <s v="NSMI25040181026"/>
    <s v="25"/>
    <s v="04"/>
    <s v="G2G"/>
    <s v="P4"/>
    <s v="JB Issue"/>
    <s v="P &amp; N JB Changed"/>
    <s v="Repair"/>
    <d v="2025-12-12T00:00:00"/>
    <n v="4"/>
    <m/>
    <m/>
    <m/>
  </r>
  <r>
    <d v="2025-12-08T00:00:00"/>
    <n v="2025"/>
    <x v="3"/>
    <s v="Utility and C&amp;I"/>
    <m/>
    <s v="Closed"/>
    <s v="Sudarshan Bhosale"/>
    <n v="9972197300"/>
    <m/>
    <s v="Low Voc / Burn spot"/>
    <s v="Jamnagar"/>
    <s v="Gujarat"/>
    <s v="JB Burn"/>
    <n v="580"/>
    <s v="NSMI25040181099"/>
    <s v="25"/>
    <s v="04"/>
    <s v="G2G"/>
    <s v="P4"/>
    <s v="JB Issue"/>
    <s v="P &amp; N JB Changed"/>
    <s v="Repair"/>
    <d v="2025-12-12T00:00:00"/>
    <n v="4"/>
    <m/>
    <m/>
    <m/>
  </r>
  <r>
    <d v="2025-12-08T00:00:00"/>
    <n v="2025"/>
    <x v="3"/>
    <s v="Utility and C&amp;I"/>
    <m/>
    <s v="Closed"/>
    <s v="Sudarshan Bhosale"/>
    <n v="9972197300"/>
    <m/>
    <s v="Low Voc / Burn spot"/>
    <s v="Jamnagar"/>
    <s v="Gujarat"/>
    <s v="JB Burn"/>
    <n v="580"/>
    <s v="NSMI25040181106"/>
    <s v="25"/>
    <s v="04"/>
    <s v="G2G"/>
    <s v="P4"/>
    <s v="JB Issue"/>
    <s v="P &amp; N JB Changed"/>
    <s v="Repair"/>
    <d v="2025-12-12T00:00:00"/>
    <n v="4"/>
    <m/>
    <m/>
    <m/>
  </r>
  <r>
    <d v="2025-12-08T00:00:00"/>
    <n v="2025"/>
    <x v="3"/>
    <s v="Utility and C&amp;I"/>
    <m/>
    <s v="Closed"/>
    <s v="Sudarshan Bhosale"/>
    <n v="9972197300"/>
    <m/>
    <s v="Low Voc / Burn spot"/>
    <s v="Jamnagar"/>
    <s v="Gujarat"/>
    <s v="JB Burn"/>
    <n v="580"/>
    <s v="NSMI25040181095"/>
    <s v="25"/>
    <s v="04"/>
    <s v="G2G"/>
    <s v="P4"/>
    <s v="JB Issue"/>
    <s v="P &amp; N JB Changed"/>
    <s v="Repair"/>
    <d v="2025-12-12T00:00:00"/>
    <n v="4"/>
    <m/>
    <m/>
    <m/>
  </r>
  <r>
    <d v="2025-12-08T00:00:00"/>
    <n v="2025"/>
    <x v="3"/>
    <s v="Utility and C&amp;I"/>
    <m/>
    <s v="Closed"/>
    <s v="Sudarshan Bhosale"/>
    <n v="9972197300"/>
    <m/>
    <s v="Low Voc / Burn spot"/>
    <s v="Jamnagar"/>
    <s v="Gujarat"/>
    <s v="JB Burn"/>
    <n v="580"/>
    <s v="NSMI25040181107"/>
    <s v="25"/>
    <s v="04"/>
    <s v="G2G"/>
    <s v="P4"/>
    <s v="JB Burnt"/>
    <s v="All Jb Changed"/>
    <s v="Repair"/>
    <d v="2025-12-12T00:00:00"/>
    <n v="4"/>
    <m/>
    <m/>
    <m/>
  </r>
  <r>
    <d v="2025-12-08T00:00:00"/>
    <n v="2025"/>
    <x v="3"/>
    <s v="Utility and C&amp;I"/>
    <m/>
    <s v="Closed"/>
    <s v="Sudarshan Bhosale"/>
    <n v="9972197300"/>
    <m/>
    <s v="Low Voc / Burn spot"/>
    <s v="Jamnagar"/>
    <s v="Gujarat"/>
    <s v="JB Burn"/>
    <n v="580"/>
    <s v="NSMI25040181109"/>
    <s v="25"/>
    <s v="04"/>
    <s v="G2G"/>
    <s v="P4"/>
    <s v="JB Issue"/>
    <s v="P &amp; N JB Changed"/>
    <s v="Repair"/>
    <d v="2025-12-13T00:00:00"/>
    <n v="5"/>
    <m/>
    <m/>
    <m/>
  </r>
  <r>
    <d v="2025-12-08T00:00:00"/>
    <n v="2025"/>
    <x v="3"/>
    <s v="Utility and C&amp;I"/>
    <m/>
    <s v="Closed"/>
    <s v="Sudarshan Bhosale"/>
    <n v="9972197300"/>
    <m/>
    <s v="Low Voc / Burn spot"/>
    <s v="Jamnagar"/>
    <s v="Gujarat"/>
    <s v="JB Burn"/>
    <n v="580"/>
    <s v="NSMI25040181112"/>
    <s v="25"/>
    <s v="04"/>
    <s v="G2G"/>
    <s v="P4"/>
    <s v="JB Burnt"/>
    <s v="N JB Changed"/>
    <s v="Repair"/>
    <d v="2025-12-13T00:00:00"/>
    <n v="5"/>
    <m/>
    <m/>
    <m/>
  </r>
  <r>
    <d v="2025-12-08T00:00:00"/>
    <n v="2025"/>
    <x v="3"/>
    <s v="Utility and C&amp;I"/>
    <m/>
    <s v="Closed"/>
    <s v="Sudarshan Bhosale"/>
    <n v="9972197300"/>
    <m/>
    <s v="Low Voc / Burn spot"/>
    <s v="Jamnagar"/>
    <s v="Gujarat"/>
    <s v="JB Burn"/>
    <n v="580"/>
    <s v="NSMI25040181131"/>
    <s v="25"/>
    <s v="04"/>
    <s v="G2G"/>
    <s v="P4"/>
    <s v="JB Issue"/>
    <s v="P &amp; N JB Changed"/>
    <s v="Repair"/>
    <d v="2025-12-13T00:00:00"/>
    <n v="5"/>
    <m/>
    <m/>
    <m/>
  </r>
  <r>
    <d v="2025-12-08T00:00:00"/>
    <n v="2025"/>
    <x v="3"/>
    <s v="Utility and C&amp;I"/>
    <m/>
    <s v="Closed"/>
    <s v="Sudarshan Bhosale"/>
    <n v="9972197300"/>
    <m/>
    <s v="Low Voc / Burn spot"/>
    <s v="Jamnagar"/>
    <s v="Gujarat"/>
    <s v="JB Burn"/>
    <n v="580"/>
    <s v="NSMI25040181097"/>
    <s v="25"/>
    <s v="04"/>
    <s v="G2G"/>
    <s v="P4"/>
    <s v="JB Issue"/>
    <s v="P &amp; N JB Changed"/>
    <s v="Repair"/>
    <d v="2025-12-13T00:00:00"/>
    <n v="5"/>
    <m/>
    <m/>
    <m/>
  </r>
  <r>
    <d v="2025-12-08T00:00:00"/>
    <n v="2025"/>
    <x v="3"/>
    <s v="Utility and C&amp;I"/>
    <m/>
    <s v="Closed"/>
    <s v="Sudarshan Bhosale"/>
    <n v="9972197300"/>
    <m/>
    <s v="Low Voc / Burn spot"/>
    <s v="Jamnagar"/>
    <s v="Gujarat"/>
    <s v="JB Burn"/>
    <n v="580"/>
    <s v="NSMI25040181078"/>
    <s v="25"/>
    <s v="04"/>
    <s v="G2G"/>
    <s v="P4"/>
    <s v="JB Issue"/>
    <s v="P JB Changed"/>
    <s v="Repair"/>
    <d v="2025-12-13T00:00:00"/>
    <n v="5"/>
    <m/>
    <m/>
    <m/>
  </r>
  <r>
    <d v="2025-12-10T00:00:00"/>
    <n v="2025"/>
    <x v="4"/>
    <s v="Channel Sales"/>
    <m/>
    <s v="Closed"/>
    <s v=" RAVIRAJ GOUD"/>
    <n v="9440789940"/>
    <m/>
    <s v="Low VOC"/>
    <s v="Kukatpally Y-Junction ,Blanagar ,Hyderabad"/>
    <s v="Telengana"/>
    <s v="Cold Soldering"/>
    <n v="590"/>
    <s v="NSME25060004260"/>
    <s v="25"/>
    <s v="06"/>
    <s v="G2G"/>
    <s v="P5"/>
    <s v="JB Issue"/>
    <s v="N JB Soldering"/>
    <s v="Repair"/>
    <d v="2025-12-20T00:00:00"/>
    <n v="10"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</r>
  <r>
    <d v="2025-11-13T00:00:00"/>
    <n v="2025"/>
    <x v="6"/>
    <s v="Utility and C&amp;I"/>
    <s v="Blupine Energy"/>
    <s v="Closed"/>
    <s v="Deepak Kumar Behera"/>
    <n v="7854906505"/>
    <m/>
    <s v="Low voc/Zero Amp/JB Damage module"/>
    <s v="Mungeli"/>
    <s v="Chhattisgarh"/>
    <s v="Cold Soldering"/>
    <n v="585"/>
    <s v="NSMI24090424381"/>
    <s v="24"/>
    <s v="09"/>
    <s v="G2G"/>
    <s v="P4"/>
    <s v="JB Issue"/>
    <s v="P JB Soldering"/>
    <s v="Repair"/>
    <d v="2025-12-13T00:00:00"/>
    <n v="30"/>
    <m/>
    <m/>
    <m/>
  </r>
  <r>
    <d v="2025-11-13T00:00:00"/>
    <n v="2025"/>
    <x v="6"/>
    <s v="Utility and C&amp;I"/>
    <s v="Blupine Energy"/>
    <s v="Closed"/>
    <s v="Deepak Kumar Behera"/>
    <n v="7854906506"/>
    <m/>
    <s v="Low voc/Zero Amp/JB Damage module"/>
    <s v="Mungeli"/>
    <s v="Chhattisgarh"/>
    <s v="Cold Soldering"/>
    <n v="585"/>
    <s v="NSMI24090424355"/>
    <s v="24"/>
    <s v="09"/>
    <s v="G2G"/>
    <s v="P4"/>
    <s v="JB Issue"/>
    <s v="P JB Soldering"/>
    <s v="Repair"/>
    <d v="2025-12-13T00:00:00"/>
    <n v="30"/>
    <m/>
    <m/>
    <m/>
  </r>
  <r>
    <d v="2025-11-13T00:00:00"/>
    <n v="2025"/>
    <x v="6"/>
    <s v="Utility and C&amp;I"/>
    <s v="Blupine Energy"/>
    <s v="Closed"/>
    <s v="Deepak Kumar Behera"/>
    <n v="7854906507"/>
    <m/>
    <s v="Low voc/Zero Amp/JB Damage module"/>
    <s v="Mungeli"/>
    <s v="Chhattisgarh"/>
    <s v="Cold Soldering"/>
    <n v="585"/>
    <s v="NSMI24090424374"/>
    <s v="24"/>
    <s v="09"/>
    <s v="G2G"/>
    <s v="P4"/>
    <s v="JB Issue"/>
    <s v="P JB Soldering"/>
    <s v="Repair"/>
    <d v="2025-12-13T00:00:00"/>
    <n v="30"/>
    <m/>
    <m/>
    <m/>
  </r>
  <r>
    <d v="2025-11-13T00:00:00"/>
    <n v="2025"/>
    <x v="6"/>
    <s v="Utility and C&amp;I"/>
    <s v="Blupine Energy"/>
    <s v="Closed"/>
    <s v="Deepak Kumar Behera"/>
    <n v="7854906508"/>
    <m/>
    <s v="Low voc/Zero Amp/JB Damage module"/>
    <s v="Mungeli"/>
    <s v="Chhattisgarh"/>
    <s v="Cold Soldering"/>
    <n v="585"/>
    <s v="NSMI24090424378"/>
    <s v="24"/>
    <s v="09"/>
    <s v="G2G"/>
    <s v="P4"/>
    <s v="JB Issue"/>
    <s v="P JB Soldering"/>
    <s v="Repair"/>
    <d v="2025-12-13T00:00:00"/>
    <n v="30"/>
    <m/>
    <m/>
    <m/>
  </r>
  <r>
    <d v="2025-11-13T00:00:00"/>
    <n v="2025"/>
    <x v="6"/>
    <s v="Utility and C&amp;I"/>
    <s v="Blupine Energy"/>
    <s v="Closed"/>
    <s v="Deepak Kumar Behera"/>
    <n v="7854906509"/>
    <m/>
    <s v="Low voc/Zero Amp/JB Damage module"/>
    <s v="Mungeli"/>
    <s v="Chhattisgarh"/>
    <s v="Cold Soldering"/>
    <n v="585"/>
    <s v="NSMI24090424385"/>
    <s v="24"/>
    <s v="09"/>
    <s v="G2G"/>
    <s v="P4"/>
    <s v="JB Issue"/>
    <s v="P JB Soldering"/>
    <s v="Repair"/>
    <d v="2025-12-13T00:00:00"/>
    <n v="30"/>
    <m/>
    <m/>
    <m/>
  </r>
  <r>
    <d v="2025-11-13T00:00:00"/>
    <n v="2025"/>
    <x v="6"/>
    <s v="Utility and C&amp;I"/>
    <s v="Blupine Energy"/>
    <s v="Closed"/>
    <s v="Deepak Kumar Behera"/>
    <n v="7854906510"/>
    <m/>
    <s v="Low voc/Zero Amp/JB Damage module"/>
    <s v="Mungeli"/>
    <s v="Chhattisgarh"/>
    <s v="JB Issue"/>
    <n v="585"/>
    <s v="NSMI24090424386"/>
    <s v="24"/>
    <s v="09"/>
    <s v="G2G"/>
    <s v="P4"/>
    <s v="JB Issue"/>
    <s v="P JB Changed"/>
    <s v="Repair"/>
    <d v="2025-12-13T00:00:00"/>
    <n v="30"/>
    <m/>
    <m/>
    <m/>
  </r>
  <r>
    <d v="2025-11-13T00:00:00"/>
    <n v="2025"/>
    <x v="6"/>
    <s v="Utility and C&amp;I"/>
    <s v="Blupine Energy"/>
    <s v="Closed"/>
    <s v="Deepak Kumar Behera"/>
    <n v="7854906511"/>
    <m/>
    <s v="Low voc/Zero Amp/JB Damage module"/>
    <s v="Mungeli"/>
    <s v="Chhattisgarh"/>
    <s v="Cold Soldering"/>
    <n v="585"/>
    <s v="NSMI24090395950"/>
    <s v="24"/>
    <s v="09"/>
    <s v="G2G"/>
    <s v="P4"/>
    <s v="JB Issue"/>
    <s v="P JB Soldering"/>
    <s v="Repair"/>
    <d v="2025-12-15T00:00:00"/>
    <n v="32"/>
    <m/>
    <m/>
    <m/>
  </r>
  <r>
    <d v="2025-11-13T00:00:00"/>
    <n v="2025"/>
    <x v="6"/>
    <s v="Utility and C&amp;I"/>
    <s v="Blupine Energy"/>
    <s v="Closed"/>
    <s v="Deepak Kumar Behera"/>
    <n v="7854906512"/>
    <m/>
    <s v="Low voc/Zero Amp/JB Damage module"/>
    <s v="Mungeli"/>
    <s v="Chhattisgarh"/>
    <s v="Cold Soldering"/>
    <n v="585"/>
    <s v="NSMI24090424387"/>
    <s v="24"/>
    <s v="09"/>
    <s v="G2G"/>
    <s v="P4"/>
    <s v="JB Issue"/>
    <s v="P JB Soldering"/>
    <s v="Repair"/>
    <d v="2025-12-15T00:00:00"/>
    <n v="32"/>
    <m/>
    <m/>
    <m/>
  </r>
  <r>
    <d v="2025-11-13T00:00:00"/>
    <n v="2025"/>
    <x v="6"/>
    <s v="Utility and C&amp;I"/>
    <s v="Blupine Energy"/>
    <s v="Closed"/>
    <s v="Deepak Kumar Behera"/>
    <n v="7854906513"/>
    <m/>
    <s v="Low voc/Zero Amp/JB Damage module"/>
    <s v="Mungeli"/>
    <s v="Chhattisgarh"/>
    <s v="JB Issue"/>
    <n v="585"/>
    <s v="NSMI24090409475"/>
    <s v="24"/>
    <s v="09"/>
    <s v="G2G"/>
    <s v="P4"/>
    <s v="JB Issue"/>
    <s v="P JB Changed"/>
    <s v="Repair"/>
    <d v="2025-12-15T00:00:00"/>
    <n v="32"/>
    <m/>
    <m/>
    <m/>
  </r>
  <r>
    <d v="2025-11-13T00:00:00"/>
    <n v="2025"/>
    <x v="6"/>
    <s v="Utility and C&amp;I"/>
    <s v="Blupine Energy"/>
    <s v="Closed"/>
    <s v="Deepak Kumar Behera"/>
    <n v="7854906514"/>
    <m/>
    <s v="Low voc/Zero Amp/JB Damage module"/>
    <s v="Mungeli"/>
    <s v="Chhattisgarh"/>
    <s v="Cold Soldering"/>
    <n v="585"/>
    <s v="NSMI24090508211"/>
    <s v="24"/>
    <s v="09"/>
    <s v="G2G"/>
    <s v="P4"/>
    <s v="JB Issue"/>
    <s v="All JB Soldering"/>
    <s v="Repair"/>
    <d v="2025-12-15T00:00:00"/>
    <n v="32"/>
    <m/>
    <m/>
    <m/>
  </r>
  <r>
    <d v="2025-11-13T00:00:00"/>
    <n v="2025"/>
    <x v="6"/>
    <s v="Utility and C&amp;I"/>
    <s v="Blupine Energy"/>
    <s v="Closed"/>
    <s v="Deepak Kumar Behera"/>
    <n v="7854906515"/>
    <m/>
    <s v="Low voc/Zero Amp/JB Damage module"/>
    <s v="Mungeli"/>
    <s v="Chhattisgarh"/>
    <s v="Cold Soldering"/>
    <n v="585"/>
    <s v="NSMI24090424238"/>
    <s v="24"/>
    <s v="09"/>
    <s v="G2G"/>
    <s v="P4"/>
    <s v="JB Issue"/>
    <s v="P JB Soldering"/>
    <s v="Repair"/>
    <d v="2025-12-15T00:00:00"/>
    <n v="32"/>
    <m/>
    <m/>
    <m/>
  </r>
  <r>
    <d v="2025-11-13T00:00:00"/>
    <n v="2025"/>
    <x v="6"/>
    <s v="Utility and C&amp;I"/>
    <s v="Blupine Energy"/>
    <s v="Closed"/>
    <s v="Deepak Kumar Behera"/>
    <n v="7854906516"/>
    <m/>
    <s v="Low voc/Zero Amp/JB Damage module"/>
    <s v="Mungeli"/>
    <s v="Chhattisgarh"/>
    <s v="JB Issue"/>
    <n v="585"/>
    <s v="NSMI24090402278"/>
    <s v="24"/>
    <s v="09"/>
    <s v="G2G"/>
    <s v="P4"/>
    <s v="JB Issue"/>
    <s v="All Jb Changed"/>
    <s v="Repair"/>
    <d v="2025-12-15T00:00:00"/>
    <n v="32"/>
    <m/>
    <m/>
    <m/>
  </r>
  <r>
    <d v="2025-11-13T00:00:00"/>
    <n v="2025"/>
    <x v="6"/>
    <s v="Utility and C&amp;I"/>
    <s v="Blupine Energy"/>
    <s v="Closed"/>
    <s v="Deepak Kumar Behera"/>
    <n v="7854906517"/>
    <m/>
    <s v="Low voc/Zero Amp/JB Damage module"/>
    <s v="Mungeli"/>
    <s v="Chhattisgarh"/>
    <s v="JB Issue"/>
    <n v="585"/>
    <s v="NSMI24090393135"/>
    <s v="24"/>
    <s v="09"/>
    <s v="G2G"/>
    <s v="P4"/>
    <s v="JB Issue"/>
    <s v="All Jb Changed"/>
    <s v="Repair"/>
    <d v="2025-12-15T00:00:00"/>
    <n v="32"/>
    <m/>
    <m/>
    <m/>
  </r>
  <r>
    <d v="2025-11-13T00:00:00"/>
    <n v="2025"/>
    <x v="6"/>
    <s v="Utility and C&amp;I"/>
    <s v="Blupine Energy"/>
    <s v="Closed"/>
    <s v="Deepak Kumar Behera"/>
    <n v="7854906518"/>
    <m/>
    <s v="Low voc/Zero Amp/JB Damage module"/>
    <s v="Mungeli"/>
    <s v="Chhattisgarh"/>
    <s v="Burn Module"/>
    <n v="585"/>
    <s v="NSMI24090384000"/>
    <s v="24"/>
    <s v="09"/>
    <s v="G2G"/>
    <s v="P4"/>
    <s v="Module Burn "/>
    <s v="Module Burn "/>
    <s v="Rejected"/>
    <d v="2025-12-15T00:00:00"/>
    <n v="32"/>
    <m/>
    <m/>
    <m/>
  </r>
  <r>
    <d v="2025-11-13T00:00:00"/>
    <n v="2025"/>
    <x v="6"/>
    <s v="Utility and C&amp;I"/>
    <s v="Blupine Energy"/>
    <s v="Closed"/>
    <s v="Deepak Kumar Behera"/>
    <n v="7854906519"/>
    <m/>
    <s v="Low voc/Zero Amp/JB Damage module"/>
    <s v="Mungeli"/>
    <s v="Chhattisgarh"/>
    <s v="Burn Module"/>
    <n v="585"/>
    <s v="NSMI24090472348"/>
    <s v="24"/>
    <s v="09"/>
    <s v="G2G"/>
    <s v="P4"/>
    <s v="Module Burn "/>
    <s v="Module Burn "/>
    <s v="Rejected"/>
    <d v="2025-12-15T00:00:00"/>
    <n v="32"/>
    <m/>
    <m/>
    <m/>
  </r>
  <r>
    <d v="2025-11-13T00:00:00"/>
    <n v="2025"/>
    <x v="6"/>
    <s v="Utility and C&amp;I"/>
    <s v="Blupine Energy"/>
    <s v="Closed"/>
    <s v="Deepak Kumar Behera"/>
    <n v="7854906520"/>
    <m/>
    <s v="Low voc/Zero Amp/JB Damage module"/>
    <s v="Mungeli"/>
    <s v="Chhattisgarh"/>
    <s v="Burn Module"/>
    <n v="585"/>
    <s v="NSMI24090448584"/>
    <s v="24"/>
    <s v="09"/>
    <s v="G2G"/>
    <s v="P4"/>
    <s v="Module Burn "/>
    <s v="Module Burn "/>
    <s v="Rejected"/>
    <d v="2025-12-15T00:00:00"/>
    <n v="32"/>
    <m/>
    <m/>
    <m/>
  </r>
  <r>
    <d v="2025-11-13T00:00:00"/>
    <n v="2025"/>
    <x v="6"/>
    <s v="Utility and C&amp;I"/>
    <s v="Blupine Energy"/>
    <s v="Closed"/>
    <s v="Deepak Kumar Behera"/>
    <n v="7854906521"/>
    <m/>
    <s v="Low voc/Zero Amp/JB Damage module"/>
    <s v="Mungeli"/>
    <s v="Chhattisgarh"/>
    <s v="JB Issue"/>
    <n v="585"/>
    <s v="NSMI24090393147"/>
    <s v="24"/>
    <s v="09"/>
    <s v="G2G"/>
    <s v="P4"/>
    <s v="JB Issue"/>
    <s v="All Jb Changed"/>
    <s v="Repair"/>
    <d v="2025-12-16T00:00:00"/>
    <n v="33"/>
    <m/>
    <m/>
    <m/>
  </r>
  <r>
    <d v="2025-11-13T00:00:00"/>
    <n v="2025"/>
    <x v="6"/>
    <s v="Utility and C&amp;I"/>
    <s v="Blupine Energy"/>
    <s v="Closed"/>
    <s v="Deepak Kumar Behera"/>
    <n v="7854906522"/>
    <m/>
    <s v="Low voc/Zero Amp/JB Damage module"/>
    <s v="Mungeli"/>
    <s v="Chhattisgarh"/>
    <s v="Cold Soldering"/>
    <n v="585"/>
    <s v="NSMI24090425802"/>
    <s v="24"/>
    <s v="09"/>
    <s v="G2G"/>
    <s v="P4"/>
    <s v="JB Issue"/>
    <s v="N JB Soldering"/>
    <s v="Repair"/>
    <d v="2025-12-16T00:00:00"/>
    <n v="33"/>
    <m/>
    <m/>
    <m/>
  </r>
  <r>
    <d v="2025-11-13T00:00:00"/>
    <n v="2025"/>
    <x v="6"/>
    <s v="Utility and C&amp;I"/>
    <s v="Blupine Energy"/>
    <s v="Closed"/>
    <s v="Deepak Kumar Behera"/>
    <n v="7854906523"/>
    <m/>
    <s v="Low voc/Zero Amp/JB Damage module"/>
    <s v="Mungeli"/>
    <s v="Chhattisgarh"/>
    <s v="Cold Soldering"/>
    <n v="585"/>
    <s v="NSMI24090434718"/>
    <s v="24"/>
    <s v="09"/>
    <s v="G2G"/>
    <s v="P4"/>
    <s v="JB Issue"/>
    <s v="P JB Soldering"/>
    <s v="Repair"/>
    <d v="2025-12-16T00:00:00"/>
    <n v="33"/>
    <m/>
    <m/>
    <m/>
  </r>
  <r>
    <d v="2025-11-13T00:00:00"/>
    <n v="2025"/>
    <x v="6"/>
    <s v="Utility and C&amp;I"/>
    <s v="Blupine Energy"/>
    <s v="Closed"/>
    <s v="Deepak Kumar Behera"/>
    <n v="7854906524"/>
    <m/>
    <s v="Low voc/Zero Amp/JB Damage module"/>
    <s v="Mungeli"/>
    <s v="Chhattisgarh"/>
    <s v="Cold Soldering"/>
    <n v="585"/>
    <s v="NSMI24090445414"/>
    <s v="24"/>
    <s v="09"/>
    <s v="G2G"/>
    <s v="P4"/>
    <s v="JB Issue"/>
    <s v="P JB Soldering"/>
    <s v="Repair"/>
    <d v="2025-12-16T00:00:00"/>
    <n v="33"/>
    <m/>
    <m/>
    <m/>
  </r>
  <r>
    <d v="2025-11-13T00:00:00"/>
    <n v="2025"/>
    <x v="6"/>
    <s v="Utility and C&amp;I"/>
    <s v="Blupine Energy"/>
    <s v="Closed"/>
    <s v="Deepak Kumar Behera"/>
    <n v="7854906525"/>
    <m/>
    <s v="Low voc/Zero Amp/JB Damage module"/>
    <s v="Mungeli"/>
    <s v="Chhattisgarh"/>
    <s v="Cold Soldering"/>
    <n v="585"/>
    <s v="NSMI24090373885"/>
    <s v="24"/>
    <s v="09"/>
    <s v="G2G"/>
    <s v="P4"/>
    <s v="JB Issue"/>
    <s v="P JB Soldering"/>
    <s v="Repair"/>
    <d v="2025-12-16T00:00:00"/>
    <n v="33"/>
    <m/>
    <m/>
    <m/>
  </r>
  <r>
    <d v="2025-11-13T00:00:00"/>
    <n v="2025"/>
    <x v="6"/>
    <s v="Utility and C&amp;I"/>
    <s v="Blupine Energy"/>
    <s v="Closed"/>
    <s v="Deepak Kumar Behera"/>
    <n v="7854906526"/>
    <m/>
    <s v="Low voc/Zero Amp/JB Damage module"/>
    <s v="Mungeli"/>
    <s v="Chhattisgarh"/>
    <s v="Cold Soldering"/>
    <n v="585"/>
    <s v="NSMI24090437152"/>
    <s v="24"/>
    <s v="09"/>
    <s v="G2G"/>
    <s v="P4"/>
    <s v="JB Issue"/>
    <s v="N JB Soldering"/>
    <s v="Repair"/>
    <d v="2025-12-17T00:00:00"/>
    <n v="34"/>
    <m/>
    <m/>
    <m/>
  </r>
  <r>
    <d v="2025-11-13T00:00:00"/>
    <n v="2025"/>
    <x v="6"/>
    <s v="Utility and C&amp;I"/>
    <s v="Blupine Energy"/>
    <s v="Closed"/>
    <s v="Deepak Kumar Behera"/>
    <n v="7854906527"/>
    <m/>
    <s v="Low voc/Zero Amp/JB Damage module"/>
    <s v="Mungeli"/>
    <s v="Chhattisgarh"/>
    <s v="Cold Soldering"/>
    <n v="585"/>
    <s v="NSMI24090491805"/>
    <s v="24"/>
    <s v="09"/>
    <s v="G2G"/>
    <s v="P4"/>
    <s v="JB Issue"/>
    <s v="P JB Soldering"/>
    <s v="Repair"/>
    <d v="2025-12-17T00:00:00"/>
    <n v="34"/>
    <m/>
    <m/>
    <m/>
  </r>
  <r>
    <d v="2025-11-13T00:00:00"/>
    <n v="2025"/>
    <x v="6"/>
    <s v="Utility and C&amp;I"/>
    <s v="Blupine Energy"/>
    <s v="Closed"/>
    <s v="Deepak Kumar Behera"/>
    <n v="7854906528"/>
    <m/>
    <s v="Low voc/Zero Amp/JB Damage module"/>
    <s v="Mungeli"/>
    <s v="Chhattisgarh"/>
    <s v="Cold Soldering"/>
    <n v="585"/>
    <s v="NSMI24090491090"/>
    <s v="24"/>
    <s v="09"/>
    <s v="G2G"/>
    <s v="P4"/>
    <s v="JB Issue"/>
    <s v="P JB Soldering"/>
    <s v="Repair"/>
    <d v="2025-12-17T00:00:00"/>
    <n v="34"/>
    <m/>
    <m/>
    <m/>
  </r>
  <r>
    <d v="2025-11-13T00:00:00"/>
    <n v="2025"/>
    <x v="6"/>
    <s v="Utility and C&amp;I"/>
    <s v="Blupine Energy"/>
    <s v="Closed"/>
    <s v="Deepak Kumar Behera"/>
    <n v="7854906529"/>
    <m/>
    <s v="Low voc/Zero Amp/JB Damage module"/>
    <s v="Mungeli"/>
    <s v="Chhattisgarh"/>
    <s v="Burn Module"/>
    <n v="585"/>
    <s v="NSMI24090446960"/>
    <s v="24"/>
    <s v="09"/>
    <s v="G2G"/>
    <s v="P4"/>
    <s v="Module Burn "/>
    <s v="Module Burn "/>
    <s v="Rejected"/>
    <d v="2025-12-17T00:00:00"/>
    <n v="34"/>
    <m/>
    <m/>
    <m/>
  </r>
  <r>
    <d v="2025-11-13T00:00:00"/>
    <n v="2025"/>
    <x v="6"/>
    <s v="Utility and C&amp;I"/>
    <s v="Blupine Energy"/>
    <s v="Closed"/>
    <s v="Deepak Kumar Behera"/>
    <n v="7854906530"/>
    <m/>
    <s v="Low voc/Zero Amp/JB Damage module"/>
    <s v="Mungeli"/>
    <s v="Chhattisgarh"/>
    <s v="Cold Soldering"/>
    <n v="585"/>
    <s v="NSMI24090376430"/>
    <s v="24"/>
    <s v="09"/>
    <s v="G2G"/>
    <s v="P4"/>
    <s v="JB Issue"/>
    <s v="P JB Soldering"/>
    <s v="Repair"/>
    <d v="2025-12-18T00:00:00"/>
    <n v="35"/>
    <m/>
    <m/>
    <m/>
  </r>
  <r>
    <d v="2025-11-13T00:00:00"/>
    <n v="2025"/>
    <x v="6"/>
    <s v="Utility and C&amp;I"/>
    <s v="Blupine Energy"/>
    <s v="Closed"/>
    <s v="Deepak Kumar Behera"/>
    <n v="7854906531"/>
    <m/>
    <s v="Low voc/Zero Amp/JB Damage module"/>
    <s v="Mungeli"/>
    <s v="Chhattisgarh"/>
    <s v="Cold Soldering"/>
    <n v="585"/>
    <s v="NSMI24090379079"/>
    <s v="24"/>
    <s v="09"/>
    <s v="G2G"/>
    <s v="P4"/>
    <s v="JB Issue"/>
    <s v="P JB Soldering"/>
    <s v="Repair"/>
    <d v="2025-12-18T00:00:00"/>
    <n v="35"/>
    <m/>
    <m/>
    <m/>
  </r>
  <r>
    <d v="2025-11-13T00:00:00"/>
    <n v="2025"/>
    <x v="6"/>
    <s v="Utility and C&amp;I"/>
    <s v="Blupine Energy"/>
    <s v="Closed"/>
    <s v="Deepak Kumar Behera"/>
    <n v="7854906532"/>
    <m/>
    <s v="Low voc/Zero Amp/JB Damage module"/>
    <s v="Mungeli"/>
    <s v="Chhattisgarh"/>
    <s v="Cold Soldering"/>
    <n v="585"/>
    <s v="NSMI24090409229"/>
    <s v="24"/>
    <s v="09"/>
    <s v="G2G"/>
    <s v="P4"/>
    <s v="JB Issue"/>
    <s v="P JB Soldering"/>
    <s v="Repair"/>
    <d v="2025-12-18T00:00:00"/>
    <n v="35"/>
    <m/>
    <m/>
    <m/>
  </r>
  <r>
    <d v="2025-11-13T00:00:00"/>
    <n v="2025"/>
    <x v="6"/>
    <s v="Utility and C&amp;I"/>
    <s v="Blupine Energy"/>
    <s v="Closed"/>
    <s v="Deepak Kumar Behera"/>
    <n v="7854906533"/>
    <m/>
    <s v="Low voc/Zero Amp/JB Damage module"/>
    <s v="Mungeli"/>
    <s v="Chhattisgarh"/>
    <s v="Cold Soldering"/>
    <n v="585"/>
    <s v="NSMI24090395838"/>
    <s v="24"/>
    <s v="09"/>
    <s v="G2G"/>
    <s v="P4"/>
    <s v="JB Issue"/>
    <s v="P JB Soldering"/>
    <s v="Repair"/>
    <d v="2025-12-18T00:00:00"/>
    <n v="35"/>
    <m/>
    <m/>
    <m/>
  </r>
  <r>
    <d v="2025-11-13T00:00:00"/>
    <n v="2025"/>
    <x v="6"/>
    <s v="Utility and C&amp;I"/>
    <s v="Blupine Energy"/>
    <s v="Closed"/>
    <s v="Deepak Kumar Behera"/>
    <n v="7854906534"/>
    <m/>
    <s v="Low voc/Zero Amp/JB Damage module"/>
    <s v="Mungeli"/>
    <s v="Chhattisgarh"/>
    <s v="Cold Soldering"/>
    <n v="585"/>
    <s v="NSMI24090360039"/>
    <s v="24"/>
    <s v="09"/>
    <s v="G2G"/>
    <s v="P4"/>
    <s v="JB Issue"/>
    <s v="P JB Soldering"/>
    <s v="Repair"/>
    <d v="2025-12-18T00:00:00"/>
    <n v="35"/>
    <m/>
    <m/>
    <m/>
  </r>
  <r>
    <d v="2025-11-13T00:00:00"/>
    <n v="2025"/>
    <x v="6"/>
    <s v="Utility and C&amp;I"/>
    <s v="Blupine Energy"/>
    <s v="Closed"/>
    <s v="Deepak Kumar Behera"/>
    <n v="7854906535"/>
    <m/>
    <s v="Low voc/Zero Amp/JB Damage module"/>
    <s v="Mungeli"/>
    <s v="Chhattisgarh"/>
    <s v="Cold Soldering"/>
    <n v="585"/>
    <s v="NSMI24090388280"/>
    <s v="24"/>
    <s v="09"/>
    <s v="G2G"/>
    <s v="P4"/>
    <s v="JB Issue"/>
    <s v="P JB Soldering"/>
    <s v="Repair"/>
    <d v="2025-12-18T00:00:00"/>
    <n v="35"/>
    <m/>
    <m/>
    <m/>
  </r>
  <r>
    <d v="2025-11-13T00:00:00"/>
    <n v="2025"/>
    <x v="6"/>
    <s v="Utility and C&amp;I"/>
    <s v="Blupine Energy"/>
    <s v="Closed"/>
    <s v="Deepak Kumar Behera"/>
    <n v="7854906536"/>
    <m/>
    <s v="Low voc/Zero Amp/JB Damage module"/>
    <s v="Mungeli"/>
    <s v="Chhattisgarh"/>
    <s v="Cold Soldering"/>
    <n v="585"/>
    <s v="NSMI24090424400"/>
    <s v="24"/>
    <s v="09"/>
    <s v="G2G"/>
    <s v="P4"/>
    <s v="JB Issue"/>
    <s v="P JB Soldering"/>
    <s v="Repair"/>
    <d v="2025-12-19T00:00:00"/>
    <n v="36"/>
    <m/>
    <m/>
    <m/>
  </r>
  <r>
    <d v="2025-11-13T00:00:00"/>
    <n v="2025"/>
    <x v="6"/>
    <s v="Utility and C&amp;I"/>
    <s v="Blupine Energy"/>
    <s v="Closed"/>
    <s v="Deepak Kumar Behera"/>
    <n v="7854906537"/>
    <m/>
    <s v="Low voc/Zero Amp/JB Damage module"/>
    <s v="Mungeli"/>
    <s v="Chhattisgarh"/>
    <s v="Cold Soldering"/>
    <n v="585"/>
    <s v="NSMI24090424399"/>
    <s v="24"/>
    <s v="09"/>
    <s v="G2G"/>
    <s v="P4"/>
    <s v="JB Issue"/>
    <s v="P JB Soldering"/>
    <s v="Repair"/>
    <d v="2025-12-19T00:00:00"/>
    <n v="36"/>
    <m/>
    <m/>
    <m/>
  </r>
  <r>
    <d v="2025-11-13T00:00:00"/>
    <n v="2025"/>
    <x v="6"/>
    <s v="Utility and C&amp;I"/>
    <s v="Blupine Energy"/>
    <s v="Closed"/>
    <s v="Deepak Kumar Behera"/>
    <n v="7854906538"/>
    <m/>
    <s v="Low voc/Zero Amp/JB Damage module"/>
    <s v="Mungeli"/>
    <s v="Chhattisgarh"/>
    <s v="Burn Module"/>
    <n v="585"/>
    <s v="NSMI24090451044"/>
    <s v="24"/>
    <s v="09"/>
    <s v="G2G"/>
    <s v="P4"/>
    <s v="Module Burn "/>
    <s v="Module Burn "/>
    <s v="Rejected"/>
    <d v="2025-12-19T00:00:00"/>
    <n v="36"/>
    <m/>
    <m/>
    <m/>
  </r>
  <r>
    <d v="2025-11-13T00:00:00"/>
    <n v="2025"/>
    <x v="6"/>
    <s v="Utility and C&amp;I"/>
    <s v="Blupine Energy"/>
    <s v="Closed"/>
    <s v="Deepak Kumar Behera"/>
    <n v="7854906539"/>
    <m/>
    <s v="Low voc/Zero Amp/JB Damage module"/>
    <s v="Mungeli"/>
    <s v="Chhattisgarh"/>
    <s v="Burn Module"/>
    <n v="585"/>
    <s v="NSMI24090370415"/>
    <s v="24"/>
    <s v="09"/>
    <s v="G2G"/>
    <s v="P4"/>
    <s v="Module Burn "/>
    <s v="Module Burn "/>
    <s v="Rejected"/>
    <d v="2025-12-20T00:00:00"/>
    <n v="37"/>
    <m/>
    <m/>
    <m/>
  </r>
  <r>
    <d v="2025-11-13T00:00:00"/>
    <n v="2025"/>
    <x v="6"/>
    <s v="Utility and C&amp;I"/>
    <s v="Blupine Energy"/>
    <s v="Closed"/>
    <s v="Deepak Kumar Behera"/>
    <n v="7854906540"/>
    <m/>
    <s v="Low voc/Zero Amp/JB Damage module"/>
    <s v="Mungeli"/>
    <s v="Chhattisgarh"/>
    <s v="Burn Module"/>
    <n v="585"/>
    <s v="NSMI24050055792"/>
    <s v="24"/>
    <s v="05"/>
    <s v="G2G"/>
    <s v="P4"/>
    <s v="Module Burn "/>
    <s v="Module Burn "/>
    <s v="Rejected"/>
    <d v="2025-12-20T00:00:00"/>
    <n v="37"/>
    <m/>
    <m/>
    <m/>
  </r>
  <r>
    <d v="2025-11-13T00:00:00"/>
    <n v="2025"/>
    <x v="6"/>
    <s v="Utility and C&amp;I"/>
    <s v="Blupine Energy"/>
    <s v="Closed"/>
    <s v="Deepak Kumar Behera"/>
    <n v="7854906541"/>
    <m/>
    <s v="Low voc/Zero Amp/JB Damage module"/>
    <s v="Mungeli"/>
    <s v="Chhattisgarh"/>
    <s v="Burn Module"/>
    <n v="585"/>
    <s v="NSMI24090353570"/>
    <s v="24"/>
    <s v="09"/>
    <s v="G2G"/>
    <s v="P4"/>
    <s v="Module Burn "/>
    <s v="Module Burn "/>
    <s v="Rejected"/>
    <d v="2025-12-20T00:00:00"/>
    <n v="37"/>
    <m/>
    <m/>
    <m/>
  </r>
  <r>
    <d v="2025-11-13T00:00:00"/>
    <n v="2025"/>
    <x v="6"/>
    <s v="Utility and C&amp;I"/>
    <s v="Blupine Energy"/>
    <s v="Closed"/>
    <s v="Deepak Kumar Behera"/>
    <n v="7854906542"/>
    <m/>
    <s v="Low voc/Zero Amp/JB Damage module"/>
    <s v="Mungeli"/>
    <s v="Chhattisgarh"/>
    <s v="Burn Module"/>
    <n v="585"/>
    <s v="NSMI24090352030"/>
    <s v="24"/>
    <s v="09"/>
    <s v="G2G"/>
    <s v="P4"/>
    <s v="Module Burn "/>
    <s v="Module Burn "/>
    <s v="Rejected"/>
    <d v="2025-12-20T00:00:00"/>
    <n v="37"/>
    <m/>
    <m/>
    <m/>
  </r>
  <r>
    <d v="2025-11-13T00:00:00"/>
    <n v="2025"/>
    <x v="6"/>
    <s v="Utility and C&amp;I"/>
    <s v="Blupine Energy"/>
    <s v="Closed"/>
    <s v="Deepak Kumar Behera"/>
    <n v="7854906543"/>
    <m/>
    <s v="Low voc/Zero Amp/JB Damage module"/>
    <s v="Mungeli"/>
    <s v="Chhattisgarh"/>
    <s v="Burn Module"/>
    <n v="585"/>
    <s v="NSMI24090354134"/>
    <s v="24"/>
    <s v="09"/>
    <s v="G2G"/>
    <s v="P4"/>
    <s v="Module Burn "/>
    <s v="Module Burn "/>
    <s v="Rejected"/>
    <d v="2025-12-20T00:00:00"/>
    <n v="37"/>
    <m/>
    <m/>
    <m/>
  </r>
  <r>
    <d v="2025-11-13T00:00:00"/>
    <n v="2025"/>
    <x v="6"/>
    <s v="Utility and C&amp;I"/>
    <s v="Blupine Energy"/>
    <s v="Closed"/>
    <s v="Deepak Kumar Behera"/>
    <n v="7854906544"/>
    <m/>
    <s v="Low voc/Zero Amp/JB Damage module"/>
    <s v="Mungeli"/>
    <s v="Chhattisgarh"/>
    <s v="Burn Module"/>
    <n v="585"/>
    <s v="NSMI24090348959"/>
    <s v="24"/>
    <s v="09"/>
    <s v="G2G"/>
    <s v="P4"/>
    <s v="Module Burn "/>
    <s v="Module Burn "/>
    <s v="Rejected"/>
    <d v="2025-12-20T00:00:00"/>
    <n v="37"/>
    <m/>
    <m/>
    <m/>
  </r>
  <r>
    <d v="2025-11-13T00:00:00"/>
    <n v="2025"/>
    <x v="6"/>
    <s v="Utility and C&amp;I"/>
    <s v="Blupine Energy"/>
    <s v="Closed"/>
    <s v="Deepak Kumar Behera"/>
    <n v="7854906545"/>
    <m/>
    <s v="Low voc/Zero Amp/JB Damage module"/>
    <s v="Mungeli"/>
    <s v="Chhattisgarh"/>
    <s v="Burn Module"/>
    <n v="585"/>
    <s v="NSMI24090414458"/>
    <s v="24"/>
    <s v="09"/>
    <s v="G2G"/>
    <s v="P4"/>
    <s v="Module Burn "/>
    <s v="Module Burn "/>
    <s v="Rejected"/>
    <d v="2025-12-20T00:00:00"/>
    <n v="37"/>
    <m/>
    <m/>
    <m/>
  </r>
  <r>
    <d v="2025-11-13T00:00:00"/>
    <n v="2025"/>
    <x v="6"/>
    <s v="Utility and C&amp;I"/>
    <s v="Blupine Energy"/>
    <s v="Closed"/>
    <s v="Deepak Kumar Behera"/>
    <n v="7854906546"/>
    <m/>
    <s v="Low voc/Zero Amp/JB Damage module"/>
    <s v="Mungeli"/>
    <s v="Chhattisgarh"/>
    <s v="Burn Module"/>
    <n v="585"/>
    <s v="NSMI24090379988"/>
    <s v="24"/>
    <s v="09"/>
    <s v="G2G"/>
    <s v="P4"/>
    <s v="Module Burn "/>
    <s v="Module Burn "/>
    <s v="Rejected"/>
    <d v="2025-12-20T00:00:00"/>
    <n v="37"/>
    <m/>
    <m/>
    <m/>
  </r>
  <r>
    <d v="2025-11-13T00:00:00"/>
    <n v="2025"/>
    <x v="6"/>
    <s v="Utility and C&amp;I"/>
    <s v="Blupine Energy"/>
    <s v="Closed"/>
    <s v="Deepak Kumar Behera"/>
    <n v="7854906547"/>
    <m/>
    <s v="Low voc/Zero Amp/JB Damage module"/>
    <s v="Mungeli"/>
    <s v="Chhattisgarh"/>
    <s v="Burn Module"/>
    <n v="585"/>
    <s v="NSMI24090508850"/>
    <s v="24"/>
    <s v="09"/>
    <s v="G2G"/>
    <s v="P4"/>
    <s v="Module Burn "/>
    <s v="Module Burn "/>
    <s v="Rejected"/>
    <d v="2025-12-20T00:00:00"/>
    <n v="37"/>
    <m/>
    <m/>
    <m/>
  </r>
  <r>
    <d v="2025-11-13T00:00:00"/>
    <n v="2025"/>
    <x v="6"/>
    <s v="Utility and C&amp;I"/>
    <s v="Blupine Energy"/>
    <s v="Closed"/>
    <s v="Deepak Kumar Behera"/>
    <n v="7854906548"/>
    <m/>
    <s v="Low voc/Zero Amp/JB Damage module"/>
    <s v="Mungeli"/>
    <s v="Chhattisgarh"/>
    <s v="Cold Soldering"/>
    <n v="585"/>
    <s v="NSMI24090489266"/>
    <s v="24"/>
    <s v="09"/>
    <s v="G2G"/>
    <s v="P4"/>
    <s v="JB Issue"/>
    <s v="P JB Soldering"/>
    <s v="Repair"/>
    <d v="2025-12-20T00:00:00"/>
    <n v="37"/>
    <m/>
    <m/>
    <m/>
  </r>
  <r>
    <d v="2025-11-13T00:00:00"/>
    <n v="2025"/>
    <x v="6"/>
    <s v="Utility and C&amp;I"/>
    <s v="Blupine Energy"/>
    <s v="Closed"/>
    <s v="Deepak Kumar Behera"/>
    <n v="7854906549"/>
    <m/>
    <s v="Low voc/Zero Amp/JB Damage module"/>
    <s v="Mungeli"/>
    <s v="Chhattisgarh"/>
    <s v="Burn Module"/>
    <n v="585"/>
    <s v="NSMI24090382977"/>
    <s v="24"/>
    <s v="09"/>
    <s v="G2G"/>
    <s v="P4"/>
    <s v="Module Burn "/>
    <s v="Module Burn "/>
    <s v="Rejected"/>
    <d v="2025-12-22T00:00:00"/>
    <n v="39"/>
    <m/>
    <m/>
    <m/>
  </r>
  <r>
    <d v="2025-11-13T00:00:00"/>
    <n v="2025"/>
    <x v="6"/>
    <s v="Utility and C&amp;I"/>
    <s v="Blupine Energy"/>
    <s v="Closed"/>
    <s v="Deepak Kumar Behera"/>
    <n v="7854906550"/>
    <m/>
    <s v="Low voc/Zero Amp/JB Damage module"/>
    <s v="Mungeli"/>
    <s v="Chhattisgarh"/>
    <s v="Burn Module"/>
    <n v="585"/>
    <s v="NSMI24090379574"/>
    <s v="24"/>
    <s v="09"/>
    <s v="G2G"/>
    <s v="P4"/>
    <s v="Module Burn "/>
    <s v="Module Burn "/>
    <s v="Rejected"/>
    <d v="2025-12-22T00:00:00"/>
    <n v="39"/>
    <m/>
    <m/>
    <m/>
  </r>
  <r>
    <d v="2025-11-13T00:00:00"/>
    <n v="2025"/>
    <x v="6"/>
    <s v="Utility and C&amp;I"/>
    <s v="Blupine Energy"/>
    <s v="Closed"/>
    <s v="Deepak Kumar Behera"/>
    <n v="7854906551"/>
    <m/>
    <s v="Low voc/Zero Amp/JB Damage module"/>
    <s v="Mungeli"/>
    <s v="Chhattisgarh"/>
    <s v="Burn Module"/>
    <n v="585"/>
    <s v="NSMI24090373572"/>
    <s v="24"/>
    <s v="09"/>
    <s v="G2G"/>
    <s v="P4"/>
    <s v="Module Burn "/>
    <s v="Module Burn "/>
    <s v="Rejected"/>
    <d v="2025-12-22T00:00:00"/>
    <n v="39"/>
    <m/>
    <m/>
    <m/>
  </r>
  <r>
    <d v="2025-11-13T00:00:00"/>
    <n v="2025"/>
    <x v="6"/>
    <s v="Utility and C&amp;I"/>
    <s v="Blupine Energy"/>
    <s v="Closed"/>
    <s v="Deepak Kumar Behera"/>
    <n v="7854906552"/>
    <m/>
    <s v="Low voc/Zero Amp/JB Damage module"/>
    <s v="Mungeli"/>
    <s v="Chhattisgarh"/>
    <s v="Burn Module"/>
    <n v="585"/>
    <s v="NSMI24090449455"/>
    <s v="24"/>
    <s v="09"/>
    <s v="G2G"/>
    <s v="P4"/>
    <s v="Module Burn "/>
    <s v="Module Burn "/>
    <s v="Rejected"/>
    <d v="2025-12-22T00:00:00"/>
    <n v="39"/>
    <m/>
    <m/>
    <m/>
  </r>
  <r>
    <d v="2025-11-13T00:00:00"/>
    <n v="2025"/>
    <x v="6"/>
    <s v="Utility and C&amp;I"/>
    <s v="Blupine Energy"/>
    <s v="Closed"/>
    <s v="Deepak Kumar Behera"/>
    <n v="7854906553"/>
    <m/>
    <s v="Low voc/Zero Amp/JB Damage module"/>
    <s v="Mungeli"/>
    <s v="Chhattisgarh"/>
    <s v="Burn Module"/>
    <n v="585"/>
    <s v="NSMI24090470593"/>
    <s v="24"/>
    <s v="09"/>
    <s v="G2G"/>
    <s v="P4"/>
    <s v="Module Burn "/>
    <s v="Module Burn "/>
    <s v="Rejected"/>
    <d v="2025-12-22T00:00:00"/>
    <n v="39"/>
    <m/>
    <m/>
    <m/>
  </r>
  <r>
    <d v="2025-11-13T00:00:00"/>
    <n v="2025"/>
    <x v="6"/>
    <s v="Utility and C&amp;I"/>
    <s v="Blupine Energy"/>
    <s v="Closed"/>
    <s v="Deepak Kumar Behera"/>
    <n v="7854906554"/>
    <m/>
    <s v="Low voc/Zero Amp/JB Damage module"/>
    <s v="Mungeli"/>
    <s v="Chhattisgarh"/>
    <s v="Burn Module"/>
    <n v="585"/>
    <s v="NSMI24090399389"/>
    <s v="24"/>
    <s v="09"/>
    <s v="G2G"/>
    <s v="P4"/>
    <s v="Module Burn "/>
    <s v="Module Burn "/>
    <s v="Rejected"/>
    <d v="2025-12-22T00:00:00"/>
    <n v="39"/>
    <m/>
    <m/>
    <m/>
  </r>
  <r>
    <d v="2025-11-13T00:00:00"/>
    <n v="2025"/>
    <x v="6"/>
    <s v="Utility and C&amp;I"/>
    <s v="Blupine Energy"/>
    <s v="Closed"/>
    <s v="Deepak Kumar Behera"/>
    <n v="7854906555"/>
    <m/>
    <s v="Low voc/Zero Amp/JB Damage module"/>
    <s v="Mungeli"/>
    <s v="Chhattisgarh"/>
    <s v="Burn Module"/>
    <n v="585"/>
    <s v="NSMI24090529411"/>
    <s v="24"/>
    <s v="09"/>
    <s v="G2G"/>
    <s v="P4"/>
    <s v="Module Burn "/>
    <s v="Module Burn "/>
    <s v="Rejected"/>
    <d v="2025-12-22T00:00:00"/>
    <n v="39"/>
    <m/>
    <m/>
    <m/>
  </r>
  <r>
    <d v="2025-11-13T00:00:00"/>
    <n v="2025"/>
    <x v="6"/>
    <s v="Utility and C&amp;I"/>
    <s v="Blupine Energy"/>
    <s v="Closed"/>
    <s v="Deepak Kumar Behera"/>
    <n v="7854906556"/>
    <m/>
    <s v="Low voc/Zero Amp/JB Damage module"/>
    <s v="Mungeli"/>
    <s v="Chhattisgarh"/>
    <s v="Burn Module"/>
    <n v="585"/>
    <s v="NSMI24090436607"/>
    <s v="24"/>
    <s v="09"/>
    <s v="G2G"/>
    <s v="P4"/>
    <s v="Module Burn "/>
    <s v="Module Burn "/>
    <s v="Rejected"/>
    <d v="2025-12-22T00:00:00"/>
    <n v="39"/>
    <m/>
    <m/>
    <m/>
  </r>
  <r>
    <d v="2025-11-13T00:00:00"/>
    <n v="2025"/>
    <x v="6"/>
    <s v="Utility and C&amp;I"/>
    <s v="Blupine Energy"/>
    <s v="Closed"/>
    <s v="Deepak Kumar Behera"/>
    <n v="7854906557"/>
    <m/>
    <s v="Low voc/Zero Amp/JB Damage module"/>
    <s v="Mungeli"/>
    <s v="Chhattisgarh"/>
    <s v="Burn Module"/>
    <n v="585"/>
    <s v="NSMI24090507784"/>
    <s v="24"/>
    <s v="09"/>
    <s v="G2G"/>
    <s v="P4"/>
    <s v="Module Burn "/>
    <s v="Module Burn "/>
    <s v="Rejected"/>
    <d v="2025-12-22T00:00:00"/>
    <n v="39"/>
    <m/>
    <m/>
    <m/>
  </r>
  <r>
    <d v="2025-11-13T00:00:00"/>
    <n v="2025"/>
    <x v="6"/>
    <s v="Utility and C&amp;I"/>
    <s v="Blupine Energy"/>
    <s v="Closed"/>
    <s v="Deepak Kumar Behera"/>
    <n v="7854906558"/>
    <m/>
    <s v="Low voc/Zero Amp/JB Damage module"/>
    <s v="Mungeli"/>
    <s v="Chhattisgarh"/>
    <s v="Burn Module"/>
    <n v="585"/>
    <s v="NSMI24090449814"/>
    <s v="24"/>
    <s v="09"/>
    <s v="G2G"/>
    <s v="P4"/>
    <s v="Module Burn "/>
    <s v="Module Burn "/>
    <s v="Rejected"/>
    <d v="2025-12-22T00:00:00"/>
    <n v="39"/>
    <m/>
    <m/>
    <m/>
  </r>
  <r>
    <d v="2025-11-13T00:00:00"/>
    <n v="2025"/>
    <x v="6"/>
    <s v="Utility and C&amp;I"/>
    <s v="Blupine Energy"/>
    <s v="Closed"/>
    <s v="Deepak Kumar Behera"/>
    <n v="7854906559"/>
    <m/>
    <s v="Low voc/Zero Amp/JB Damage module"/>
    <s v="Mungeli"/>
    <s v="Chhattisgarh"/>
    <s v="Burn Module"/>
    <n v="585"/>
    <s v="NSMI24090364165"/>
    <s v="24"/>
    <s v="09"/>
    <s v="G2G"/>
    <s v="P4"/>
    <s v="Module Burn "/>
    <s v="Module Burn "/>
    <s v="Rejected"/>
    <d v="2025-12-22T00:00:00"/>
    <n v="39"/>
    <m/>
    <m/>
    <m/>
  </r>
  <r>
    <d v="2025-11-13T00:00:00"/>
    <n v="2025"/>
    <x v="6"/>
    <s v="Utility and C&amp;I"/>
    <s v="Blupine Energy"/>
    <s v="Closed"/>
    <s v="Deepak Kumar Behera"/>
    <n v="7854906560"/>
    <m/>
    <s v="Low voc/Zero Amp/JB Damage module"/>
    <s v="Mungeli"/>
    <s v="Chhattisgarh"/>
    <s v="Burn Module"/>
    <n v="585"/>
    <s v="NSMI24090364150"/>
    <s v="24"/>
    <s v="09"/>
    <s v="G2G"/>
    <s v="P4"/>
    <s v="Module Burn "/>
    <s v="Module Burn "/>
    <s v="Rejected"/>
    <d v="2025-12-22T00:00:00"/>
    <n v="39"/>
    <m/>
    <m/>
    <m/>
  </r>
  <r>
    <d v="2025-11-13T00:00:00"/>
    <n v="2025"/>
    <x v="6"/>
    <s v="Utility and C&amp;I"/>
    <s v="Blupine Energy"/>
    <s v="Closed"/>
    <s v="Deepak Kumar Behera"/>
    <n v="7854906561"/>
    <m/>
    <s v="Low voc/Zero Amp/JB Damage module"/>
    <s v="Mungeli"/>
    <s v="Chhattisgarh"/>
    <s v="Burn Module"/>
    <n v="585"/>
    <s v="NSMI24090447422"/>
    <s v="24"/>
    <s v="09"/>
    <s v="G2G"/>
    <s v="P4"/>
    <s v="Module Burn "/>
    <s v="Module Burn "/>
    <s v="Rejected"/>
    <d v="2025-12-22T00:00:00"/>
    <n v="39"/>
    <m/>
    <m/>
    <m/>
  </r>
  <r>
    <d v="2025-11-13T00:00:00"/>
    <n v="2025"/>
    <x v="6"/>
    <s v="Utility and C&amp;I"/>
    <s v="Blupine Energy"/>
    <s v="Closed"/>
    <s v="Deepak Kumar Behera"/>
    <n v="7854906562"/>
    <m/>
    <s v="Low voc/Zero Amp/JB Damage module"/>
    <s v="Mungeli"/>
    <s v="Chhattisgarh"/>
    <s v="Burn Module"/>
    <n v="585"/>
    <s v="NSMI24090364339"/>
    <s v="24"/>
    <s v="09"/>
    <s v="G2G"/>
    <s v="P4"/>
    <s v="Module Burn "/>
    <s v="Module Burn "/>
    <s v="Rejected"/>
    <d v="2025-12-22T00:00:00"/>
    <n v="39"/>
    <m/>
    <m/>
    <m/>
  </r>
  <r>
    <d v="2025-12-01T00:00:00"/>
    <n v="2025"/>
    <x v="7"/>
    <s v="Channel Sales"/>
    <s v="Arsiga Solar Pvt Ltd"/>
    <s v="Closed"/>
    <s v="Rakhi"/>
    <n v="7459871048"/>
    <m/>
    <s v="Low Generation"/>
    <s v="Lucknow"/>
    <s v="UP"/>
    <s v="JB Issue"/>
    <n v="540"/>
    <s v="NSMP24122333735"/>
    <s v="24"/>
    <s v="12"/>
    <s v="G2T"/>
    <s v="P2"/>
    <s v="JB Issue"/>
    <s v="All Jb Changed"/>
    <s v="Repair"/>
    <d v="2025-12-22T00:00:00"/>
    <n v="21"/>
    <m/>
    <m/>
    <m/>
  </r>
  <r>
    <d v="2025-12-01T00:00:00"/>
    <n v="2025"/>
    <x v="7"/>
    <s v="Channel Sales"/>
    <s v="Arsiga Solar Pvt Ltd"/>
    <s v="Closed"/>
    <s v="Rakhi"/>
    <n v="7459871049"/>
    <m/>
    <s v="Low Generation"/>
    <s v="Lucknow"/>
    <s v="UP"/>
    <s v="JB Issue"/>
    <n v="540"/>
    <s v="NSMP25012397103"/>
    <s v="25"/>
    <s v="01"/>
    <s v="G2T"/>
    <s v="P2"/>
    <s v="JB Issue"/>
    <s v="All Jb Changed"/>
    <s v="Repair"/>
    <d v="2025-12-22T00:00:00"/>
    <n v="21"/>
    <m/>
    <m/>
    <m/>
  </r>
  <r>
    <d v="2025-12-01T00:00:00"/>
    <n v="2025"/>
    <x v="7"/>
    <s v="Channel Sales"/>
    <s v="Arsiga Solar Pvt Ltd"/>
    <s v="Closed"/>
    <s v="Rakhi"/>
    <n v="7459871050"/>
    <m/>
    <s v="Low Generation"/>
    <s v="Lucknow"/>
    <s v="UP"/>
    <s v="JB Issue"/>
    <n v="540"/>
    <s v="NSMP24122229309"/>
    <s v="24"/>
    <s v="12"/>
    <s v="G2T"/>
    <s v="P2"/>
    <s v="JB Issue"/>
    <s v="All Jb Changed"/>
    <s v="Repair"/>
    <d v="2025-12-22T00:00:00"/>
    <n v="21"/>
    <m/>
    <m/>
    <m/>
  </r>
  <r>
    <d v="2025-12-01T00:00:00"/>
    <n v="2025"/>
    <x v="7"/>
    <s v="Channel Sales"/>
    <s v="Arsiga Solar Pvt Ltd"/>
    <s v="Closed"/>
    <s v="Rakhi"/>
    <n v="7459871051"/>
    <m/>
    <s v="Low Generation"/>
    <s v="Lucknow"/>
    <s v="UP"/>
    <s v="JB Issue"/>
    <n v="540"/>
    <s v="NSMP24122229302"/>
    <s v="24"/>
    <s v="12"/>
    <s v="G2T"/>
    <s v="P2"/>
    <s v="JB Issue"/>
    <s v="All Jb Changed"/>
    <s v="Repair"/>
    <d v="2025-12-22T00:00:00"/>
    <n v="21"/>
    <m/>
    <m/>
    <m/>
  </r>
  <r>
    <d v="2025-12-01T00:00:00"/>
    <n v="2025"/>
    <x v="7"/>
    <s v="Channel Sales"/>
    <s v="Arsiga Solar Pvt Ltd"/>
    <s v="Closed"/>
    <s v="Rakhi"/>
    <n v="7459871052"/>
    <m/>
    <s v="Low Generation"/>
    <s v="Lucknow"/>
    <s v="UP"/>
    <s v="JB Issue"/>
    <n v="540"/>
    <s v="NSMP24122229298"/>
    <s v="24"/>
    <s v="12"/>
    <s v="G2T"/>
    <s v="P2"/>
    <s v="JB Issue"/>
    <s v="All Jb Changed"/>
    <s v="Repair"/>
    <d v="2025-12-22T00:00:00"/>
    <n v="21"/>
    <m/>
    <m/>
    <m/>
  </r>
  <r>
    <d v="2025-12-01T00:00:00"/>
    <n v="2025"/>
    <x v="7"/>
    <s v="Channel Sales"/>
    <s v="Arsiga Solar Pvt Ltd"/>
    <s v="Closed"/>
    <s v="Rakhi"/>
    <n v="7459871053"/>
    <m/>
    <s v="Low Generation"/>
    <s v="Lucknow"/>
    <s v="UP"/>
    <s v="JB Issue"/>
    <n v="540"/>
    <s v="NSMP25012397108"/>
    <s v="25"/>
    <s v="01"/>
    <s v="G2T"/>
    <s v="P2"/>
    <s v="JB Issue"/>
    <s v="All Jb Changed"/>
    <s v="Repair"/>
    <d v="2025-12-22T00:00:00"/>
    <n v="21"/>
    <m/>
    <m/>
    <m/>
  </r>
  <r>
    <d v="2025-12-01T00:00:00"/>
    <n v="2025"/>
    <x v="7"/>
    <s v="Channel Sales"/>
    <s v="Arsiga Solar Pvt Ltd"/>
    <s v="Closed"/>
    <s v="Rakhi"/>
    <n v="7459871054"/>
    <m/>
    <s v="Low Generation"/>
    <s v="Lucknow"/>
    <s v="UP"/>
    <s v="JB Issue"/>
    <n v="540"/>
    <s v="NSMP25012397058"/>
    <s v="25"/>
    <s v="01"/>
    <s v="G2T"/>
    <s v="P2"/>
    <s v="JB Issue"/>
    <s v="All Jb Changed"/>
    <s v="Repair"/>
    <d v="2025-12-22T00:00:00"/>
    <n v="21"/>
    <m/>
    <m/>
    <m/>
  </r>
  <r>
    <d v="2025-12-01T00:00:00"/>
    <n v="2025"/>
    <x v="7"/>
    <s v="Channel Sales"/>
    <s v="Arsiga Solar Pvt Ltd"/>
    <s v="Closed"/>
    <s v="Rakhi"/>
    <n v="7459871055"/>
    <m/>
    <s v="Low Generation"/>
    <s v="Lucknow"/>
    <s v="UP"/>
    <s v="JB Issue"/>
    <n v="540"/>
    <s v="NSMP24122288025"/>
    <s v="24"/>
    <s v="12"/>
    <s v="G2T"/>
    <s v="P2"/>
    <s v="JB Issue"/>
    <s v="All Jb Changed"/>
    <s v="Repair"/>
    <d v="2025-12-22T00:00:00"/>
    <n v="21"/>
    <m/>
    <m/>
    <m/>
  </r>
  <r>
    <d v="2025-12-01T00:00:00"/>
    <n v="2025"/>
    <x v="7"/>
    <s v="Channel Sales"/>
    <s v="Arsiga Solar Pvt Ltd"/>
    <s v="Closed"/>
    <s v="Rakhi"/>
    <n v="7459871056"/>
    <m/>
    <s v="Low Generation"/>
    <s v="Lucknow"/>
    <s v="UP"/>
    <s v="JB Issue"/>
    <n v="540"/>
    <s v="NSMP24122288023"/>
    <s v="24"/>
    <s v="12"/>
    <s v="G2T"/>
    <s v="P2"/>
    <s v="JB Issue"/>
    <s v="All Jb Changed"/>
    <s v="Repair"/>
    <d v="2025-12-22T00:00:00"/>
    <n v="21"/>
    <m/>
    <m/>
    <m/>
  </r>
  <r>
    <d v="2025-12-03T00:00:00"/>
    <n v="2025"/>
    <x v="8"/>
    <s v="Channel Sales"/>
    <m/>
    <s v="Closed"/>
    <s v="Murali"/>
    <n v="9703345015"/>
    <m/>
    <s v="Low VOC"/>
    <s v="Kanpur"/>
    <s v="UP"/>
    <s v="Cold Soldering"/>
    <n v="540"/>
    <s v="NSMP25060457632"/>
    <s v="25"/>
    <s v="06"/>
    <s v="G2T"/>
    <s v="P2"/>
    <s v="JB Issue"/>
    <s v="M JB Soldering"/>
    <s v="Repair"/>
    <d v="2025-12-23T00:00:00"/>
    <n v="20"/>
    <m/>
    <m/>
    <m/>
  </r>
  <r>
    <d v="2025-12-03T00:00:00"/>
    <n v="2025"/>
    <x v="8"/>
    <s v="Channel Sales"/>
    <m/>
    <s v="Closed"/>
    <s v="Murali"/>
    <n v="9703345015"/>
    <m/>
    <s v="Low VOC"/>
    <s v="Kanpur"/>
    <s v="UP"/>
    <s v="JB Issue"/>
    <n v="540"/>
    <s v="NSMP25060457641"/>
    <s v="25"/>
    <s v="06"/>
    <s v="G2T"/>
    <s v="P2"/>
    <s v="JB Issue"/>
    <s v="All Jb Changed"/>
    <s v="Repair"/>
    <d v="2025-12-23T00:00:00"/>
    <n v="20"/>
    <m/>
    <m/>
    <m/>
  </r>
  <r>
    <d v="2025-12-03T00:00:00"/>
    <n v="2025"/>
    <x v="8"/>
    <s v="Channel Sales"/>
    <m/>
    <s v="Closed"/>
    <s v="Murali"/>
    <n v="9703345015"/>
    <m/>
    <s v="Low VOC"/>
    <s v="Kanpur"/>
    <s v="UP"/>
    <s v="Cold Soldering"/>
    <n v="540"/>
    <s v="NSMP25060457497"/>
    <s v="25"/>
    <s v="06"/>
    <s v="G2T"/>
    <s v="P2"/>
    <s v="JB Issue"/>
    <s v="P &amp; M JB Soldering"/>
    <s v="Repair"/>
    <d v="2025-12-23T00:00:00"/>
    <n v="20"/>
    <m/>
    <m/>
    <m/>
  </r>
  <r>
    <d v="2025-12-03T00:00:00"/>
    <n v="2025"/>
    <x v="8"/>
    <s v="Channel Sales"/>
    <m/>
    <s v="Closed"/>
    <s v="Murali"/>
    <n v="9703345015"/>
    <m/>
    <s v="Low VOC"/>
    <s v="Kanpur"/>
    <s v="UP"/>
    <s v="JB Issue"/>
    <n v="540"/>
    <s v="NSMP25060457651"/>
    <s v="25"/>
    <s v="06"/>
    <s v="G2T"/>
    <s v="P2"/>
    <s v="JB Issue"/>
    <s v="N JB Changed"/>
    <s v="Repair"/>
    <d v="2025-12-23T00:00:00"/>
    <n v="20"/>
    <m/>
    <m/>
    <m/>
  </r>
  <r>
    <d v="2025-12-03T00:00:00"/>
    <n v="2025"/>
    <x v="8"/>
    <s v="Channel Sales"/>
    <m/>
    <s v="Closed"/>
    <s v="Murali"/>
    <n v="9703345015"/>
    <m/>
    <s v="Low VOC"/>
    <s v="Kanpur"/>
    <s v="UP"/>
    <s v="Cold Soldering"/>
    <n v="540"/>
    <s v="NSMP25060457652"/>
    <s v="25"/>
    <s v="06"/>
    <s v="G2T"/>
    <s v="P2"/>
    <s v="JB Issue"/>
    <s v="P &amp; M JB Soldering"/>
    <s v="Repair"/>
    <d v="2025-12-23T00:00:00"/>
    <n v="20"/>
    <m/>
    <m/>
    <m/>
  </r>
  <r>
    <d v="2025-12-03T00:00:00"/>
    <n v="2025"/>
    <x v="8"/>
    <s v="Channel Sales"/>
    <m/>
    <s v="Closed"/>
    <s v="Murali"/>
    <n v="9703345015"/>
    <m/>
    <s v="Low VOC"/>
    <s v="Kanpur"/>
    <s v="UP"/>
    <s v="JB Issue"/>
    <n v="540"/>
    <s v="NSMP25090818543"/>
    <s v="25"/>
    <s v="09"/>
    <s v="G2T"/>
    <s v="P2"/>
    <s v="JB Issue"/>
    <s v="N JB Changed"/>
    <s v="Repair"/>
    <d v="2025-12-23T00:00:00"/>
    <n v="20"/>
    <m/>
    <m/>
    <m/>
  </r>
  <r>
    <d v="2025-12-03T00:00:00"/>
    <n v="2025"/>
    <x v="1"/>
    <s v="Channel Sales"/>
    <m/>
    <s v="Closed"/>
    <s v="Joel Jacob"/>
    <n v="7902222180"/>
    <s v="w-122"/>
    <s v="Low VOC"/>
    <s v="Kizhakenmuthoor"/>
    <s v="Kerala"/>
    <s v="Cold Soldering"/>
    <n v="515"/>
    <s v="NSMP2303564655 "/>
    <s v="23"/>
    <s v="03"/>
    <s v="G2B"/>
    <s v="P2"/>
    <s v="JB Issue"/>
    <s v="All JB Soldering"/>
    <s v="Repair"/>
    <d v="2025-12-10T00:00:00"/>
    <n v="7"/>
    <m/>
    <m/>
    <m/>
  </r>
  <r>
    <d v="2025-12-24T00:00:00"/>
    <n v="2025"/>
    <x v="9"/>
    <s v="Solar Pump"/>
    <m/>
    <s v="Closed"/>
    <s v="Rajasthan Service - Shakti Pump"/>
    <m/>
    <m/>
    <s v="Panel burnt "/>
    <s v="Jaipur"/>
    <s v="Rajasthan"/>
    <s v="Improper ribbon/tab lead soldering "/>
    <m/>
    <s v="NSM221126972"/>
    <s v="21"/>
    <s v="12"/>
    <m/>
    <m/>
    <s v="Improper ribbon/tab lead soldering "/>
    <s v="Replacement"/>
    <s v="Replacement"/>
    <d v="2025-12-24T00:00:00"/>
    <n v="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No Issue"/>
    <n v="610"/>
    <s v="NSMG25050031516"/>
    <s v="25"/>
    <s v="05"/>
    <s v="G2G"/>
    <s v="P5"/>
    <s v="No Issue"/>
    <s v="Found OK"/>
    <s v="Repair"/>
    <d v="2025-12-08T00:00:00"/>
    <n v="11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No Issue"/>
    <n v="610"/>
    <s v="NSMG25050029645"/>
    <s v="25"/>
    <s v="05"/>
    <s v="G2G"/>
    <s v="P5"/>
    <s v="No Issue"/>
    <s v="Found OK"/>
    <s v="Repair"/>
    <d v="2025-12-08T00:00:00"/>
    <n v="11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JB Issue"/>
    <n v="610"/>
    <s v="NSMG25050084260"/>
    <s v="25"/>
    <s v="05"/>
    <s v="G2G"/>
    <s v="P5"/>
    <s v="JB Issue"/>
    <s v="P JB Changed"/>
    <s v="Repair"/>
    <d v="2025-12-08T00:00:00"/>
    <n v="11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JB Issue"/>
    <n v="610"/>
    <s v="NSMG25060156054"/>
    <s v="25"/>
    <s v="06"/>
    <s v="G2G"/>
    <s v="P5"/>
    <s v="JB Issue"/>
    <s v="P JB Changed"/>
    <s v="Repair"/>
    <d v="2025-12-08T00:00:00"/>
    <n v="11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JB Issue"/>
    <n v="610"/>
    <s v="NSMG25060144470"/>
    <s v="25"/>
    <s v="06"/>
    <s v="G2G"/>
    <s v="P5"/>
    <s v="JB Issue"/>
    <s v="N JB Changed"/>
    <s v="Repair"/>
    <d v="2025-12-08T00:00:00"/>
    <n v="11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JB Issue"/>
    <n v="610"/>
    <s v="NSMG25060114742"/>
    <s v="25"/>
    <s v="06"/>
    <s v="G2G"/>
    <s v="P5"/>
    <s v="JB Issue"/>
    <s v="N JB Changed"/>
    <s v="Repair"/>
    <d v="2025-12-08T00:00:00"/>
    <n v="11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JB Issue"/>
    <n v="610"/>
    <s v="NSMG25050082830"/>
    <s v="25"/>
    <s v="05"/>
    <s v="G2G"/>
    <s v="P5"/>
    <s v="JB Issue"/>
    <s v="N JB Changed"/>
    <s v="Repair"/>
    <d v="2025-12-08T00:00:00"/>
    <n v="11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JB Issue"/>
    <n v="610"/>
    <s v="NSMG25080317225"/>
    <s v="25"/>
    <s v="08"/>
    <s v="G2G"/>
    <s v="P5"/>
    <s v="JB Issue"/>
    <s v="N JB Changed"/>
    <s v="Repair"/>
    <d v="2025-12-08T00:00:00"/>
    <n v="11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JB Issue"/>
    <n v="610"/>
    <s v="NSMG25070296461"/>
    <s v="25"/>
    <s v="07"/>
    <s v="G2G"/>
    <s v="P5"/>
    <s v="JB Issue"/>
    <s v="P JB Changed"/>
    <s v="Repair"/>
    <d v="2025-12-08T00:00:00"/>
    <n v="11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70241875"/>
    <s v="25"/>
    <s v="07"/>
    <s v="G2G"/>
    <s v="P5"/>
    <s v="JB Issue"/>
    <s v="N JB Soldering"/>
    <s v="Repair"/>
    <d v="2025-12-10T00:00:00"/>
    <n v="13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70259243"/>
    <s v="25"/>
    <s v="07"/>
    <s v="G2G"/>
    <s v="P5"/>
    <s v="JB Issue"/>
    <s v="N JB Soldering"/>
    <s v="Repair"/>
    <d v="2025-12-10T00:00:00"/>
    <n v="13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70262754"/>
    <s v="25"/>
    <s v="07"/>
    <s v="G2G"/>
    <s v="P5"/>
    <s v="JB Issue"/>
    <s v="N JB Soldering"/>
    <s v="Repair"/>
    <d v="2025-12-10T00:00:00"/>
    <n v="13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JB Issue"/>
    <n v="610"/>
    <s v="NSMG25070241969"/>
    <s v="25"/>
    <s v="07"/>
    <s v="G2G"/>
    <s v="P5"/>
    <s v="JB Issue"/>
    <s v="N JB Changed"/>
    <s v="Repair"/>
    <d v="2025-12-10T00:00:00"/>
    <n v="13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70241841"/>
    <s v="25"/>
    <s v="07"/>
    <s v="G2G"/>
    <s v="P5"/>
    <s v="JB Issue"/>
    <s v="N JB Soldering"/>
    <s v="Repair"/>
    <d v="2025-12-10T00:00:00"/>
    <n v="13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70234790"/>
    <s v="25"/>
    <s v="07"/>
    <s v="G2G"/>
    <s v="P5"/>
    <s v="JB Issue"/>
    <s v="N JB Soldering"/>
    <s v="Repair"/>
    <d v="2025-12-10T00:00:00"/>
    <n v="13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70202149"/>
    <s v="25"/>
    <s v="07"/>
    <s v="G2G"/>
    <s v="P5"/>
    <s v="JB Issue"/>
    <s v="P JB Soldering"/>
    <s v="Repair"/>
    <d v="2025-12-10T00:00:00"/>
    <n v="13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70238648"/>
    <s v="25"/>
    <s v="07"/>
    <s v="G2G"/>
    <s v="P5"/>
    <s v="JB Issue"/>
    <s v="N JB Soldering"/>
    <s v="Repair"/>
    <d v="2025-12-10T00:00:00"/>
    <n v="13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70259645"/>
    <s v="25"/>
    <s v="07"/>
    <s v="G2G"/>
    <s v="P5"/>
    <s v="JB Issue"/>
    <s v="N JB Soldering"/>
    <s v="Repair"/>
    <d v="2025-12-10T00:00:00"/>
    <n v="13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JB Issue"/>
    <n v="610"/>
    <s v="NSMG25070297243"/>
    <s v="25"/>
    <s v="07"/>
    <s v="G2G"/>
    <s v="P5"/>
    <s v="JB Issue"/>
    <s v="N JB Changed"/>
    <s v="Repair"/>
    <d v="2025-12-10T00:00:00"/>
    <n v="13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70287031"/>
    <s v="25"/>
    <s v="07"/>
    <s v="G2G"/>
    <s v="P5"/>
    <s v="JB Issue"/>
    <s v="N JB Soldering"/>
    <s v="Repair"/>
    <d v="2025-12-10T00:00:00"/>
    <n v="13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JB Issue"/>
    <n v="610"/>
    <s v="NSMG25070307842"/>
    <s v="25"/>
    <s v="07"/>
    <s v="G2G"/>
    <s v="P5"/>
    <s v="JB Issue"/>
    <s v="N JB Changed"/>
    <s v="Repair"/>
    <d v="2025-12-10T00:00:00"/>
    <n v="13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70310851"/>
    <s v="25"/>
    <s v="07"/>
    <s v="G2G"/>
    <s v="P5"/>
    <s v="JB Issue"/>
    <s v="N JB Soldering"/>
    <s v="Repair"/>
    <d v="2025-12-10T00:00:00"/>
    <n v="13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JB Issue"/>
    <n v="610"/>
    <s v="NSMG25070299509"/>
    <s v="25"/>
    <s v="07"/>
    <s v="G2G"/>
    <s v="P5"/>
    <s v="JB Issue"/>
    <s v="N JB Changed"/>
    <s v="Repair"/>
    <d v="2025-12-10T00:00:00"/>
    <n v="13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JB Issue"/>
    <n v="610"/>
    <s v="NSMG25070285408"/>
    <s v="25"/>
    <s v="07"/>
    <s v="G2G"/>
    <s v="P5"/>
    <s v="JB Issue"/>
    <s v="N JB Changed"/>
    <s v="Repair"/>
    <d v="2025-12-10T00:00:00"/>
    <n v="13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JB Issue"/>
    <n v="610"/>
    <s v="NSMG25070283077"/>
    <s v="25"/>
    <s v="07"/>
    <s v="G2G"/>
    <s v="P5"/>
    <s v="JB Issue"/>
    <s v="N JB Changed"/>
    <s v="Repair"/>
    <d v="2025-12-10T00:00:00"/>
    <n v="13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70262213"/>
    <s v="25"/>
    <s v="07"/>
    <s v="G2G"/>
    <s v="P5"/>
    <s v="JB Issue"/>
    <s v="N JB Soldering"/>
    <s v="Repair"/>
    <d v="2025-12-10T00:00:00"/>
    <n v="13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JB Issue"/>
    <n v="610"/>
    <s v="NSMG25070286478"/>
    <s v="25"/>
    <s v="07"/>
    <s v="G2G"/>
    <s v="P5"/>
    <s v="JB Issue"/>
    <s v="N JB Changed"/>
    <s v="Repair"/>
    <d v="2025-12-10T00:00:00"/>
    <n v="13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70272407"/>
    <s v="25"/>
    <s v="07"/>
    <s v="G2G"/>
    <s v="P5"/>
    <s v="JB Issue"/>
    <s v="N JB Soldering"/>
    <s v="Repair"/>
    <d v="2025-12-10T00:00:00"/>
    <n v="13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70307947"/>
    <s v="25"/>
    <s v="07"/>
    <s v="G2G"/>
    <s v="P5"/>
    <s v="JB Issue"/>
    <s v="N JB Soldering"/>
    <s v="Repair"/>
    <d v="2025-12-11T00:00:00"/>
    <n v="14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JB Issue"/>
    <n v="610"/>
    <s v="NSMG25070307911"/>
    <s v="25"/>
    <s v="07"/>
    <s v="G2G"/>
    <s v="P5"/>
    <s v="JB Issue"/>
    <s v="N JB Changed"/>
    <s v="Repair"/>
    <d v="2025-12-11T00:00:00"/>
    <n v="14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70300953"/>
    <s v="25"/>
    <s v="07"/>
    <s v="G2G"/>
    <s v="P5"/>
    <s v="JB Issue"/>
    <s v="N JB Soldering"/>
    <s v="Repair"/>
    <d v="2025-12-11T00:00:00"/>
    <n v="14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70300925"/>
    <s v="25"/>
    <s v="07"/>
    <s v="G2G"/>
    <s v="P5"/>
    <s v="JB Issue"/>
    <s v="N JB Soldering"/>
    <s v="Repair"/>
    <d v="2025-12-11T00:00:00"/>
    <n v="14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70299425"/>
    <s v="25"/>
    <s v="07"/>
    <s v="G2G"/>
    <s v="P5"/>
    <s v="JB Issue"/>
    <s v="N JB Soldering"/>
    <s v="Repair"/>
    <d v="2025-12-11T00:00:00"/>
    <n v="14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70301204"/>
    <s v="25"/>
    <s v="07"/>
    <s v="G2G"/>
    <s v="P5"/>
    <s v="JB Issue"/>
    <s v="N JB Soldering"/>
    <s v="Repair"/>
    <d v="2025-12-11T00:00:00"/>
    <n v="14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70299437"/>
    <s v="25"/>
    <s v="07"/>
    <s v="G2G"/>
    <s v="P5"/>
    <s v="JB Issue"/>
    <s v="N JB Soldering"/>
    <s v="Repair"/>
    <d v="2025-12-11T00:00:00"/>
    <n v="14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70301390"/>
    <s v="25"/>
    <s v="07"/>
    <s v="G2G"/>
    <s v="P5"/>
    <s v="JB Issue"/>
    <s v="N JB Soldering"/>
    <s v="Repair"/>
    <d v="2025-12-11T00:00:00"/>
    <n v="14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JB Issue"/>
    <n v="610"/>
    <s v="NSMG25070310906"/>
    <s v="25"/>
    <s v="07"/>
    <s v="G2G"/>
    <s v="P5"/>
    <s v="JB Issue"/>
    <s v="N JB Changed"/>
    <s v="Repair"/>
    <d v="2025-12-11T00:00:00"/>
    <n v="14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JB Issue"/>
    <n v="610"/>
    <s v="NSMG25080314851"/>
    <s v="25"/>
    <s v="08"/>
    <s v="G2G"/>
    <s v="P5"/>
    <s v="JB Issue"/>
    <s v="N JB Changed"/>
    <s v="Repair"/>
    <d v="2025-12-11T00:00:00"/>
    <n v="14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70241666"/>
    <s v="25"/>
    <s v="07"/>
    <s v="G2G"/>
    <s v="P5"/>
    <s v="JB Issue"/>
    <s v="N JB Soldering"/>
    <s v="Repair"/>
    <d v="2025-12-11T00:00:00"/>
    <n v="14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JB Issue"/>
    <n v="610"/>
    <s v="NSMG25070241624"/>
    <s v="25"/>
    <s v="07"/>
    <s v="G2G"/>
    <s v="P5"/>
    <s v="JB Issue"/>
    <s v="N JB Changed"/>
    <s v="Repair"/>
    <d v="2025-12-11T00:00:00"/>
    <n v="14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JB Issue"/>
    <n v="610"/>
    <s v="NSMG25040005035"/>
    <s v="25"/>
    <s v="04"/>
    <s v="G2G"/>
    <s v="P5"/>
    <s v="JB Issue"/>
    <s v="N JB Changed"/>
    <s v="Repair"/>
    <d v="2025-12-11T00:00:00"/>
    <n v="14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JB Issue"/>
    <n v="610"/>
    <s v="NSMG25060149119"/>
    <s v="25"/>
    <s v="06"/>
    <s v="G2G"/>
    <s v="P5"/>
    <s v="JB Issue"/>
    <s v="P JB Changed"/>
    <s v="Repair"/>
    <d v="2025-12-11T00:00:00"/>
    <n v="14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JB Issue"/>
    <n v="610"/>
    <s v="NSMG25060194674"/>
    <s v="25"/>
    <s v="06"/>
    <s v="G2G"/>
    <s v="P5"/>
    <s v="JB Issue"/>
    <s v="P JB Changed"/>
    <s v="Repair"/>
    <d v="2025-12-11T00:00:00"/>
    <n v="14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JB Issue"/>
    <n v="610"/>
    <s v="NSMG25050015299"/>
    <s v="25"/>
    <s v="05"/>
    <s v="G2G"/>
    <s v="P5"/>
    <s v="JB Issue"/>
    <s v="N JB Changed"/>
    <s v="Repair"/>
    <d v="2025-12-11T00:00:00"/>
    <n v="14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JB Issue"/>
    <n v="610"/>
    <s v="NSMG25070233048"/>
    <s v="25"/>
    <s v="07"/>
    <s v="G2G"/>
    <s v="P5"/>
    <s v="JB Issue"/>
    <s v="N JB Changed"/>
    <s v="Repair"/>
    <d v="2025-12-11T00:00:00"/>
    <n v="14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JB Issue"/>
    <n v="610"/>
    <s v="NSMG25060105916"/>
    <s v="25"/>
    <s v="06"/>
    <s v="G2G"/>
    <s v="P5"/>
    <s v="JB Issue"/>
    <s v="P JB Changed"/>
    <s v="Repair"/>
    <d v="2025-12-11T00:00:00"/>
    <n v="14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70295684"/>
    <s v="25"/>
    <s v="07"/>
    <s v="G2G"/>
    <s v="P5"/>
    <s v="JB Issue"/>
    <s v="N JB Soldering"/>
    <s v="Repair"/>
    <d v="2025-12-12T00:00:00"/>
    <n v="15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70258524"/>
    <s v="25"/>
    <s v="07"/>
    <s v="G2G"/>
    <s v="P5"/>
    <s v="JB Issue"/>
    <s v="N JB Soldering"/>
    <s v="Repair"/>
    <d v="2025-12-12T00:00:00"/>
    <n v="15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JB Issue"/>
    <n v="610"/>
    <s v="NSMG25070282121"/>
    <s v="25"/>
    <s v="07"/>
    <s v="G2G"/>
    <s v="P5"/>
    <s v="JB Issue"/>
    <s v="N JB Changed"/>
    <s v="Repair"/>
    <d v="2025-12-12T00:00:00"/>
    <n v="15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70279490"/>
    <s v="25"/>
    <s v="07"/>
    <s v="G2G"/>
    <s v="P5"/>
    <s v="JB Issue"/>
    <s v="N JB Soldering"/>
    <s v="Repair"/>
    <d v="2025-12-12T00:00:00"/>
    <n v="15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70255501"/>
    <s v="25"/>
    <s v="07"/>
    <s v="G2G"/>
    <s v="P5"/>
    <s v="JB Issue"/>
    <s v="N JB Soldering"/>
    <s v="Repair"/>
    <d v="2025-12-12T00:00:00"/>
    <n v="15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70261043"/>
    <s v="25"/>
    <s v="07"/>
    <s v="G2G"/>
    <s v="P5"/>
    <s v="JB Issue"/>
    <s v="N JB Soldering"/>
    <s v="Repair"/>
    <d v="2025-12-12T00:00:00"/>
    <n v="15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70272598"/>
    <s v="25"/>
    <s v="07"/>
    <s v="G2G"/>
    <s v="P5"/>
    <s v="JB Issue"/>
    <s v="N JB Soldering"/>
    <s v="Repair"/>
    <d v="2025-12-12T00:00:00"/>
    <n v="15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70286392"/>
    <s v="25"/>
    <s v="07"/>
    <s v="G2G"/>
    <s v="P5"/>
    <s v="JB Issue"/>
    <s v="N JB Soldering"/>
    <s v="Repair"/>
    <d v="2025-12-12T00:00:00"/>
    <n v="15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70286343"/>
    <s v="25"/>
    <s v="07"/>
    <s v="G2G"/>
    <s v="P5"/>
    <s v="JB Issue"/>
    <s v="N JB Soldering"/>
    <s v="Repair"/>
    <d v="2025-12-12T00:00:00"/>
    <n v="15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70285165"/>
    <s v="25"/>
    <s v="07"/>
    <s v="G2G"/>
    <s v="P5"/>
    <s v="JB Issue"/>
    <s v="N JB Soldering"/>
    <s v="Repair"/>
    <d v="2025-12-12T00:00:00"/>
    <n v="15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70282851"/>
    <s v="25"/>
    <s v="07"/>
    <s v="G2G"/>
    <s v="P5"/>
    <s v="JB Issue"/>
    <s v="N JB Soldering"/>
    <s v="Repair"/>
    <d v="2025-12-12T00:00:00"/>
    <n v="15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70284594"/>
    <s v="25"/>
    <s v="07"/>
    <s v="G2G"/>
    <s v="P5"/>
    <s v="JB Issue"/>
    <s v="N JB Soldering"/>
    <s v="Repair"/>
    <d v="2025-12-12T00:00:00"/>
    <n v="15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20930"/>
    <s v="25"/>
    <s v="06"/>
    <s v="G2G"/>
    <s v="P5"/>
    <s v="JB Issue"/>
    <s v="N JB Soldering"/>
    <s v="Repair"/>
    <d v="2025-12-13T00:00:00"/>
    <n v="16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21219"/>
    <s v="25"/>
    <s v="06"/>
    <s v="G2G"/>
    <s v="P5"/>
    <s v="JB Issue"/>
    <s v="P JB Soldering"/>
    <s v="Repair"/>
    <d v="2025-12-13T00:00:00"/>
    <n v="16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21252"/>
    <s v="25"/>
    <s v="06"/>
    <s v="G2G"/>
    <s v="P5"/>
    <s v="JB Issue"/>
    <s v="P JB Soldering"/>
    <s v="Repair"/>
    <d v="2025-12-13T00:00:00"/>
    <n v="16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21259"/>
    <s v="25"/>
    <s v="06"/>
    <s v="G2G"/>
    <s v="P5"/>
    <s v="JB Issue"/>
    <s v="N JB Soldering"/>
    <s v="Repair"/>
    <d v="2025-12-13T00:00:00"/>
    <n v="16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21317"/>
    <s v="25"/>
    <s v="06"/>
    <s v="G2G"/>
    <s v="P5"/>
    <s v="JB Issue"/>
    <s v="N JB Soldering"/>
    <s v="Repair"/>
    <d v="2025-12-13T00:00:00"/>
    <n v="16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21043"/>
    <s v="25"/>
    <s v="06"/>
    <s v="G2G"/>
    <s v="P5"/>
    <s v="JB Issue"/>
    <s v="N JB Soldering"/>
    <s v="Repair"/>
    <d v="2025-12-13T00:00:00"/>
    <n v="16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31146"/>
    <s v="25"/>
    <s v="06"/>
    <s v="G2G"/>
    <s v="P5"/>
    <s v="JB Issue"/>
    <s v="N JB Soldering"/>
    <s v="Repair"/>
    <d v="2025-12-13T00:00:00"/>
    <n v="16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03991"/>
    <s v="25"/>
    <s v="06"/>
    <s v="G2G"/>
    <s v="P5"/>
    <s v="JB Issue"/>
    <s v="N JB Soldering"/>
    <s v="Repair"/>
    <d v="2025-12-13T00:00:00"/>
    <n v="16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20726"/>
    <s v="25"/>
    <s v="06"/>
    <s v="G2G"/>
    <s v="P5"/>
    <s v="JB Issue"/>
    <s v="N JB Soldering"/>
    <s v="Repair"/>
    <d v="2025-12-13T00:00:00"/>
    <n v="16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20748"/>
    <s v="25"/>
    <s v="06"/>
    <s v="G2G"/>
    <s v="P5"/>
    <s v="JB Issue"/>
    <s v="N JB Soldering"/>
    <s v="Repair"/>
    <d v="2025-12-13T00:00:00"/>
    <n v="16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20802"/>
    <s v="25"/>
    <s v="06"/>
    <s v="G2G"/>
    <s v="P5"/>
    <s v="JB Issue"/>
    <s v="N JB Soldering"/>
    <s v="Repair"/>
    <d v="2025-12-13T00:00:00"/>
    <n v="16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20815"/>
    <s v="25"/>
    <s v="06"/>
    <s v="G2G"/>
    <s v="P5"/>
    <s v="JB Issue"/>
    <s v="N JB Soldering"/>
    <s v="Repair"/>
    <d v="2025-12-13T00:00:00"/>
    <n v="16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20807"/>
    <s v="25"/>
    <s v="06"/>
    <s v="G2G"/>
    <s v="P5"/>
    <s v="JB Issue"/>
    <s v="N JB Soldering"/>
    <s v="Repair"/>
    <d v="2025-12-13T00:00:00"/>
    <n v="16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20821"/>
    <s v="25"/>
    <s v="06"/>
    <s v="G2G"/>
    <s v="P5"/>
    <s v="JB Issue"/>
    <s v="N JB Soldering"/>
    <s v="Repair"/>
    <d v="2025-12-13T00:00:00"/>
    <n v="16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24106"/>
    <s v="25"/>
    <s v="06"/>
    <s v="G2G"/>
    <s v="P5"/>
    <s v="JB Issue"/>
    <s v="P JB Soldering"/>
    <s v="Repair"/>
    <d v="2025-12-15T00:00:00"/>
    <n v="18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24078"/>
    <s v="25"/>
    <s v="06"/>
    <s v="G2G"/>
    <s v="P5"/>
    <s v="JB Issue"/>
    <s v="P JB Soldering"/>
    <s v="Repair"/>
    <d v="2025-12-15T00:00:00"/>
    <n v="18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21557"/>
    <s v="25"/>
    <s v="06"/>
    <s v="G2G"/>
    <s v="P5"/>
    <s v="JB Issue"/>
    <s v="N JB Soldering"/>
    <s v="Repair"/>
    <d v="2025-12-15T00:00:00"/>
    <n v="18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21545"/>
    <s v="25"/>
    <s v="06"/>
    <s v="G2G"/>
    <s v="P5"/>
    <s v="JB Issue"/>
    <s v="N JB Soldering"/>
    <s v="Repair"/>
    <d v="2025-12-15T00:00:00"/>
    <n v="18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21571"/>
    <s v="25"/>
    <s v="06"/>
    <s v="G2G"/>
    <s v="P5"/>
    <s v="JB Issue"/>
    <s v="N JB Soldering"/>
    <s v="Repair"/>
    <d v="2025-12-15T00:00:00"/>
    <n v="18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21016"/>
    <s v="25"/>
    <s v="06"/>
    <s v="G2G"/>
    <s v="P5"/>
    <s v="JB Issue"/>
    <s v="N JB Soldering"/>
    <s v="Repair"/>
    <d v="2025-12-15T00:00:00"/>
    <n v="18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20556"/>
    <s v="25"/>
    <s v="06"/>
    <s v="G2G"/>
    <s v="P5"/>
    <s v="JB Issue"/>
    <s v="N JB Soldering"/>
    <s v="Repair"/>
    <d v="2025-12-15T00:00:00"/>
    <n v="18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20286"/>
    <s v="25"/>
    <s v="06"/>
    <s v="G2G"/>
    <s v="P5"/>
    <s v="JB Issue"/>
    <s v="N JB Soldering"/>
    <s v="Repair"/>
    <d v="2025-12-15T00:00:00"/>
    <n v="18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21146"/>
    <s v="25"/>
    <s v="06"/>
    <s v="G2G"/>
    <s v="P5"/>
    <s v="JB Issue"/>
    <s v="P JB Soldering"/>
    <s v="Repair"/>
    <d v="2025-12-15T00:00:00"/>
    <n v="18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50085597"/>
    <s v="25"/>
    <s v="05"/>
    <s v="G2G"/>
    <s v="P5"/>
    <s v="JB Issue"/>
    <s v="P JB Soldering"/>
    <s v="Repair"/>
    <d v="2025-12-15T00:00:00"/>
    <n v="18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JB Issue"/>
    <n v="610"/>
    <s v="NSMG25050071537"/>
    <s v="25"/>
    <s v="05"/>
    <s v="G2G"/>
    <s v="P5"/>
    <s v="JB Issue"/>
    <s v="N JB Changed"/>
    <s v="Repair"/>
    <d v="2025-12-15T00:00:00"/>
    <n v="18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JB Issue"/>
    <n v="610"/>
    <s v="NSMG25060120985"/>
    <s v="25"/>
    <s v="06"/>
    <s v="G2G"/>
    <s v="P5"/>
    <s v="JB Issue"/>
    <s v="N JB Changed"/>
    <s v="Repair"/>
    <d v="2025-12-15T00:00:00"/>
    <n v="18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50052771"/>
    <s v="25"/>
    <s v="05"/>
    <s v="G2G"/>
    <s v="P5"/>
    <s v="JB Issue"/>
    <s v="P JB Soldering"/>
    <s v="Repair"/>
    <d v="2025-12-15T00:00:00"/>
    <n v="18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JB Issue"/>
    <n v="610"/>
    <s v="NSMG25050084677"/>
    <s v="25"/>
    <s v="05"/>
    <s v="G2G"/>
    <s v="P5"/>
    <s v="JB Issue"/>
    <s v="P JB Changed"/>
    <s v="Repair"/>
    <d v="2025-12-15T00:00:00"/>
    <n v="18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50074514"/>
    <s v="25"/>
    <s v="05"/>
    <s v="G2G"/>
    <s v="P5"/>
    <s v="JB Issue"/>
    <s v="N JB Soldering"/>
    <s v="Repair"/>
    <d v="2025-12-15T00:00:00"/>
    <n v="18"/>
    <m/>
    <m/>
    <m/>
  </r>
  <r>
    <d v="2025-12-15T00:00:00"/>
    <n v="2025"/>
    <x v="11"/>
    <s v="Channel Sales"/>
    <m/>
    <s v="Closed"/>
    <s v="Madan Kumar"/>
    <n v="9900092186"/>
    <m/>
    <s v="Flux mark on the PV module"/>
    <s v="Yeshawanthapura, Bengaluru"/>
    <s v="Karnataka"/>
    <s v="Oil Marks on the module"/>
    <n v="540"/>
    <s v="NSMP25111101239"/>
    <s v="25"/>
    <s v="11"/>
    <s v="G2T"/>
    <s v="P2"/>
    <s v="These markings will not have any impact on generation or production."/>
    <s v="Rejected"/>
    <s v="Rejected"/>
    <d v="2025-12-16T00:00:00"/>
    <n v="1"/>
    <m/>
    <m/>
    <m/>
  </r>
  <r>
    <d v="2025-12-01T00:00:00"/>
    <n v="2025"/>
    <x v="12"/>
    <s v="OEM"/>
    <m/>
    <s v="Closed"/>
    <s v="Dushyant Kumar"/>
    <n v="9773989342"/>
    <m/>
    <s v="Low VOC"/>
    <s v=" Ernakulam"/>
    <s v="Kerala"/>
    <s v="Not related to Premier Complaints"/>
    <s v="N/A"/>
    <s v="26230223C3032207"/>
    <s v="23"/>
    <s v="02"/>
    <s v="N/A"/>
    <s v="N/A"/>
    <s v="Not related to Premier Complaints"/>
    <s v="Not related to Premier Complaints"/>
    <s v="Rejected"/>
    <d v="2025-12-01T00:00:00"/>
    <n v="0"/>
    <m/>
    <m/>
    <m/>
  </r>
  <r>
    <d v="2025-11-28T00:00:00"/>
    <n v="2025"/>
    <x v="12"/>
    <s v="Channel Sales"/>
    <m/>
    <s v="Closed"/>
    <s v="Dushyant Kumar"/>
    <n v="8826633540"/>
    <m/>
    <s v="Glass Discoloration"/>
    <s v="Rajagirivalley  Kakkanad"/>
    <s v="Kerala"/>
    <s v="No Issue"/>
    <n v="545"/>
    <n v="26240831016940"/>
    <n v="24"/>
    <n v="8"/>
    <s v="G2B"/>
    <s v="P2"/>
    <s v="During site visit the Glass Discoloration was not  visible "/>
    <s v="Reported to Client"/>
    <s v="Rejected"/>
    <d v="2025-12-10T00:00:00"/>
    <n v="12"/>
    <m/>
    <m/>
    <m/>
  </r>
  <r>
    <d v="2025-11-28T00:00:00"/>
    <n v="2025"/>
    <x v="12"/>
    <s v="Channel Sales"/>
    <m/>
    <s v="Closed"/>
    <s v="Dushyant Kumar"/>
    <n v="8826633540"/>
    <m/>
    <s v="Glass Discoloration"/>
    <s v="Rajagirivalley  Kakkanad"/>
    <s v="Kerala"/>
    <s v="No Issue"/>
    <n v="545"/>
    <n v="26240831013416"/>
    <n v="24"/>
    <n v="8"/>
    <s v="G2B"/>
    <s v="P2"/>
    <s v="During site visit the Glass Discoloration was not  visible "/>
    <s v="Reported to Client"/>
    <s v="Rejected"/>
    <d v="2025-12-10T00:00:00"/>
    <n v="12"/>
    <m/>
    <m/>
    <m/>
  </r>
  <r>
    <d v="2025-11-28T00:00:00"/>
    <n v="2025"/>
    <x v="12"/>
    <s v="Channel Sales"/>
    <m/>
    <s v="Closed"/>
    <s v="Dushyant Kumar"/>
    <n v="8826633540"/>
    <m/>
    <s v="Glass Discoloration"/>
    <s v="Rajagirivalley  Kakkanad"/>
    <s v="Kerala"/>
    <s v="No Issue"/>
    <n v="545"/>
    <n v="26240831015578"/>
    <n v="24"/>
    <n v="8"/>
    <s v="G2B"/>
    <s v="P2"/>
    <s v="During site visit the Glass Discoloration was not  visible "/>
    <s v="Reported to Client"/>
    <s v="Rejected"/>
    <d v="2025-12-10T00:00:00"/>
    <n v="12"/>
    <m/>
    <m/>
    <m/>
  </r>
  <r>
    <d v="2025-11-28T00:00:00"/>
    <n v="2025"/>
    <x v="12"/>
    <s v="Channel Sales"/>
    <m/>
    <s v="Closed"/>
    <s v="Dushyant Kumar"/>
    <n v="8826633540"/>
    <m/>
    <s v="Glass Discoloration"/>
    <s v="Rajagirivalley  Kakkanad"/>
    <s v="Kerala"/>
    <s v="No Issue"/>
    <n v="545"/>
    <n v="26240831013423"/>
    <n v="24"/>
    <n v="8"/>
    <s v="G2B"/>
    <s v="P2"/>
    <s v="During site visit the Glass Discoloration was not  visible "/>
    <s v="Reported to Client"/>
    <s v="Rejected"/>
    <d v="2025-12-10T00:00:00"/>
    <n v="12"/>
    <m/>
    <m/>
    <m/>
  </r>
  <r>
    <d v="2025-11-28T00:00:00"/>
    <n v="2025"/>
    <x v="12"/>
    <s v="Channel Sales"/>
    <m/>
    <s v="Closed"/>
    <s v="Dushyant Kumar"/>
    <n v="8826633540"/>
    <m/>
    <s v="Glass Discoloration"/>
    <s v="Rajagirivalley  Kakkanad"/>
    <s v="Kerala"/>
    <s v="No Issue"/>
    <n v="545"/>
    <n v="26240831015183"/>
    <n v="24"/>
    <n v="8"/>
    <s v="G2B"/>
    <s v="P2"/>
    <s v="During site visit the Glass Discoloration was not  visible "/>
    <s v="Reported to Client"/>
    <s v="Rejected"/>
    <d v="2025-12-10T00:00:00"/>
    <n v="12"/>
    <m/>
    <m/>
    <m/>
  </r>
  <r>
    <d v="2025-11-28T00:00:00"/>
    <n v="2025"/>
    <x v="12"/>
    <s v="Channel Sales"/>
    <m/>
    <s v="Closed"/>
    <s v="Dushyant Kumar"/>
    <n v="8826633540"/>
    <m/>
    <s v="Glass Discoloration"/>
    <s v="Rajagirivalley  Kakkanad"/>
    <s v="Kerala"/>
    <s v="No Issue"/>
    <n v="545"/>
    <n v="26240831017117"/>
    <n v="24"/>
    <n v="8"/>
    <s v="G2B"/>
    <s v="P2"/>
    <s v="During site visit the Glass Discoloration was not  visible "/>
    <s v="Reported to Client"/>
    <s v="Rejected"/>
    <d v="2025-12-10T00:00:00"/>
    <n v="12"/>
    <m/>
    <m/>
    <m/>
  </r>
  <r>
    <d v="2025-11-28T00:00:00"/>
    <n v="2025"/>
    <x v="12"/>
    <s v="Channel Sales"/>
    <m/>
    <s v="Closed"/>
    <s v="Dushyant Kumar"/>
    <n v="8826633540"/>
    <m/>
    <s v="Glass Discoloration"/>
    <s v="Rajagirivalley  Kakkanad"/>
    <s v="Kerala"/>
    <s v="No Issue"/>
    <n v="545"/>
    <n v="26240831017089"/>
    <n v="24"/>
    <n v="8"/>
    <s v="G2B"/>
    <s v="P2"/>
    <s v="During site visit the Glass Discoloration was not  visible "/>
    <s v="Reported to Client"/>
    <s v="Rejected"/>
    <d v="2025-12-10T00:00:00"/>
    <n v="12"/>
    <m/>
    <m/>
    <m/>
  </r>
  <r>
    <d v="2025-11-28T00:00:00"/>
    <n v="2025"/>
    <x v="12"/>
    <s v="Channel Sales"/>
    <m/>
    <s v="Closed"/>
    <s v="Dushyant Kumar"/>
    <n v="8826633540"/>
    <m/>
    <s v="Glass Discoloration"/>
    <s v="Rajagirivalley  Kakkanad"/>
    <s v="Kerala"/>
    <s v="No Issue"/>
    <n v="545"/>
    <n v="26240831017090"/>
    <n v="24"/>
    <n v="8"/>
    <s v="G2B"/>
    <s v="P2"/>
    <s v="During site visit the Glass Discoloration was not  visible "/>
    <s v="Reported to Client"/>
    <s v="Rejected"/>
    <d v="2025-12-10T00:00:00"/>
    <n v="12"/>
    <m/>
    <m/>
    <m/>
  </r>
  <r>
    <d v="2025-11-28T00:00:00"/>
    <n v="2025"/>
    <x v="12"/>
    <s v="Channel Sales"/>
    <m/>
    <s v="Closed"/>
    <s v="Dushyant Kumar"/>
    <n v="8826633540"/>
    <m/>
    <s v="Glass Discoloration"/>
    <s v="Rajagirivalley  Kakkanad"/>
    <s v="Kerala"/>
    <s v="No Issue"/>
    <n v="545"/>
    <n v="26240831017096"/>
    <n v="24"/>
    <n v="8"/>
    <s v="G2B"/>
    <s v="P2"/>
    <s v="During site visit the Glass Discoloration was not  visible "/>
    <s v="Reported to Client"/>
    <s v="Rejected"/>
    <d v="2025-12-10T00:00:00"/>
    <n v="12"/>
    <m/>
    <m/>
    <m/>
  </r>
  <r>
    <d v="2025-11-28T00:00:00"/>
    <n v="2025"/>
    <x v="12"/>
    <s v="Channel Sales"/>
    <m/>
    <s v="Closed"/>
    <s v="Dushyant Kumar"/>
    <n v="8826633540"/>
    <m/>
    <s v="Glass Discoloration"/>
    <s v="Rajagirivalley  Kakkanad"/>
    <s v="Kerala"/>
    <s v="No Issue"/>
    <n v="545"/>
    <n v="26240831017093"/>
    <n v="24"/>
    <n v="8"/>
    <s v="G2B"/>
    <s v="P2"/>
    <s v="During site visit the Glass Discoloration was not  visible "/>
    <s v="Reported to Client"/>
    <s v="Rejected"/>
    <d v="2025-12-10T00:00:00"/>
    <n v="12"/>
    <m/>
    <m/>
    <m/>
  </r>
  <r>
    <d v="2025-11-28T00:00:00"/>
    <n v="2025"/>
    <x v="12"/>
    <s v="Channel Sales"/>
    <m/>
    <s v="Closed"/>
    <s v="Dushyant Kumar"/>
    <n v="8826633540"/>
    <m/>
    <s v="Glass Discoloration"/>
    <s v="Rajagirivalley  Kakkanad"/>
    <s v="Kerala"/>
    <s v="No Issue"/>
    <n v="545"/>
    <n v="26240831016903"/>
    <n v="24"/>
    <n v="8"/>
    <s v="G2B"/>
    <s v="P2"/>
    <s v="During site visit the Glass Discoloration was not  visible "/>
    <s v="Reported to Client"/>
    <s v="Rejected"/>
    <d v="2025-12-10T00:00:00"/>
    <n v="12"/>
    <m/>
    <m/>
    <m/>
  </r>
  <r>
    <d v="2025-11-28T00:00:00"/>
    <n v="2025"/>
    <x v="12"/>
    <s v="Channel Sales"/>
    <m/>
    <s v="Closed"/>
    <s v="Dushyant Kumar"/>
    <n v="8826633540"/>
    <m/>
    <s v="Glass Discoloration"/>
    <s v="Rajagirivalley  Kakkanad"/>
    <s v="Kerala"/>
    <s v="No Issue"/>
    <n v="545"/>
    <n v="26240831013425"/>
    <n v="24"/>
    <n v="8"/>
    <s v="G2B"/>
    <s v="P2"/>
    <s v="During site visit the Glass Discoloration was not  visible "/>
    <s v="Reported to Client"/>
    <s v="Rejected"/>
    <d v="2025-12-10T00:00:00"/>
    <n v="12"/>
    <m/>
    <m/>
    <m/>
  </r>
  <r>
    <d v="2025-11-28T00:00:00"/>
    <n v="2025"/>
    <x v="12"/>
    <s v="Channel Sales"/>
    <m/>
    <s v="Closed"/>
    <s v="Dushyant Kumar"/>
    <n v="8826633540"/>
    <m/>
    <s v="Glass Discoloration"/>
    <s v="Rajagirivalley  Kakkanad"/>
    <s v="Kerala"/>
    <s v="No Issue"/>
    <n v="545"/>
    <n v="26240831015463"/>
    <n v="24"/>
    <n v="8"/>
    <s v="G2B"/>
    <s v="P2"/>
    <s v="During site visit the Glass Discoloration was not  visible "/>
    <s v="Reported to Client"/>
    <s v="Rejected"/>
    <d v="2025-12-10T00:00:00"/>
    <n v="12"/>
    <m/>
    <m/>
    <m/>
  </r>
  <r>
    <d v="2025-11-28T00:00:00"/>
    <n v="2025"/>
    <x v="12"/>
    <s v="Channel Sales"/>
    <m/>
    <s v="Closed"/>
    <s v="Dushyant Kumar"/>
    <n v="8826633540"/>
    <m/>
    <s v="Glass Discoloration"/>
    <s v="Rajagirivalley  Kakkanad"/>
    <s v="Kerala"/>
    <s v="No Issue"/>
    <n v="545"/>
    <n v="26240831016897"/>
    <n v="24"/>
    <n v="8"/>
    <s v="G2B"/>
    <s v="P2"/>
    <s v="During site visit the Glass Discoloration was not  visible "/>
    <s v="Reported to Client"/>
    <s v="Rejected"/>
    <d v="2025-12-10T00:00:00"/>
    <n v="12"/>
    <m/>
    <m/>
    <m/>
  </r>
  <r>
    <d v="2025-11-28T00:00:00"/>
    <n v="2025"/>
    <x v="12"/>
    <s v="Channel Sales"/>
    <m/>
    <s v="Closed"/>
    <s v="Dushyant Kumar"/>
    <n v="8826633540"/>
    <m/>
    <s v="Glass Discoloration"/>
    <s v="Rajagirivalley  Kakkanad"/>
    <s v="Kerala"/>
    <s v="No Issue"/>
    <n v="545"/>
    <n v="26240831017065"/>
    <n v="24"/>
    <n v="8"/>
    <s v="G2B"/>
    <s v="P2"/>
    <s v="During site visit the Glass Discoloration was not  visible "/>
    <s v="Reported to Client"/>
    <s v="Rejected"/>
    <d v="2025-12-10T00:00:00"/>
    <n v="12"/>
    <m/>
    <m/>
    <m/>
  </r>
  <r>
    <d v="2025-11-28T00:00:00"/>
    <n v="2025"/>
    <x v="12"/>
    <s v="Channel Sales"/>
    <m/>
    <s v="Closed"/>
    <s v="Dushyant Kumar"/>
    <n v="8826633540"/>
    <m/>
    <s v="Glass Discoloration"/>
    <s v="Rajagirivalley  Kakkanad"/>
    <s v="Kerala"/>
    <s v="No Issue"/>
    <n v="545"/>
    <n v="26240831017099"/>
    <n v="24"/>
    <n v="8"/>
    <s v="G2B"/>
    <s v="P2"/>
    <s v="During site visit the Glass Discoloration was not  visible "/>
    <s v="Reported to Client"/>
    <s v="Rejected"/>
    <d v="2025-12-10T00:00:00"/>
    <n v="12"/>
    <m/>
    <m/>
    <m/>
  </r>
  <r>
    <d v="2025-11-28T00:00:00"/>
    <n v="2025"/>
    <x v="12"/>
    <s v="Channel Sales"/>
    <m/>
    <s v="Closed"/>
    <s v="Dushyant Kumar"/>
    <n v="8826633540"/>
    <m/>
    <s v="Glass Discoloration"/>
    <s v="Rajagirivalley  Kakkanad"/>
    <s v="Kerala"/>
    <s v="No Issue"/>
    <n v="545"/>
    <n v="26240831016939"/>
    <n v="24"/>
    <n v="8"/>
    <s v="G2B"/>
    <s v="P2"/>
    <s v="During site visit the Glass Discoloration was not  visible "/>
    <s v="Reported to Client"/>
    <s v="Rejected"/>
    <d v="2025-12-10T00:00:00"/>
    <n v="12"/>
    <m/>
    <m/>
    <m/>
  </r>
  <r>
    <d v="2025-11-28T00:00:00"/>
    <n v="2025"/>
    <x v="12"/>
    <s v="Channel Sales"/>
    <m/>
    <s v="Closed"/>
    <s v="Dushyant Kumar"/>
    <n v="8826633540"/>
    <m/>
    <s v="Glass Discoloration"/>
    <s v="Rajagirivalley  Kakkanad"/>
    <s v="Kerala"/>
    <s v="No Issue"/>
    <n v="545"/>
    <n v="26240831016869"/>
    <n v="24"/>
    <n v="8"/>
    <s v="G2B"/>
    <s v="P2"/>
    <s v="During site visit the Glass Discoloration was not  visible "/>
    <s v="Reported to Client"/>
    <s v="Rejected"/>
    <d v="2025-12-10T00:00:00"/>
    <n v="12"/>
    <m/>
    <m/>
    <m/>
  </r>
  <r>
    <d v="2025-11-28T00:00:00"/>
    <n v="2025"/>
    <x v="12"/>
    <s v="Channel Sales"/>
    <m/>
    <s v="Closed"/>
    <s v="Dushyant Kumar"/>
    <n v="8826633540"/>
    <m/>
    <s v="Glass Discoloration"/>
    <s v="Rajagirivalley  Kakkanad"/>
    <s v="Kerala"/>
    <s v="No Issue"/>
    <n v="545"/>
    <n v="26240831016765"/>
    <n v="24"/>
    <n v="8"/>
    <s v="G2B"/>
    <s v="P2"/>
    <s v="During site visit the Glass Discoloration was not  visible "/>
    <s v="Reported to Client"/>
    <s v="Rejected"/>
    <d v="2025-12-10T00:00:00"/>
    <n v="12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JB Issue"/>
    <n v="610"/>
    <s v="NSMG25060120631"/>
    <s v="25"/>
    <s v="06"/>
    <s v="G2G"/>
    <s v="P5"/>
    <s v="JB Issue"/>
    <s v="N JB Changed"/>
    <s v="Repair"/>
    <d v="2025-12-16T00:00:00"/>
    <n v="19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50091797"/>
    <s v="25"/>
    <s v="05"/>
    <s v="G2G"/>
    <s v="P5"/>
    <s v="JB Issue"/>
    <s v="N JB Soldering"/>
    <s v="Repair"/>
    <d v="2025-12-16T00:00:00"/>
    <n v="19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93480"/>
    <s v="25"/>
    <s v="06"/>
    <s v="G2G"/>
    <s v="P5"/>
    <s v="JB Issue"/>
    <s v="P JB Soldering"/>
    <s v="Repair"/>
    <d v="2025-12-16T00:00:00"/>
    <n v="19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70228996"/>
    <s v="25"/>
    <s v="07"/>
    <s v="G2G"/>
    <s v="P5"/>
    <s v="JB Issue"/>
    <s v="P JB Soldering"/>
    <s v="Repair"/>
    <d v="2025-12-16T00:00:00"/>
    <n v="19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50035223"/>
    <s v="25"/>
    <s v="05"/>
    <s v="G2G"/>
    <s v="P5"/>
    <s v="JB Issue"/>
    <s v="P JB Soldering"/>
    <s v="Repair"/>
    <d v="2025-12-16T00:00:00"/>
    <n v="19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JB Issue"/>
    <n v="610"/>
    <s v="NSMG25060159751"/>
    <s v="25"/>
    <s v="06"/>
    <s v="G2G"/>
    <s v="P5"/>
    <s v="JB Issue"/>
    <s v="N JB Changed"/>
    <s v="Repair"/>
    <d v="2025-12-16T00:00:00"/>
    <n v="19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59841"/>
    <s v="25"/>
    <s v="06"/>
    <s v="G2G"/>
    <s v="P5"/>
    <s v="JB Issue"/>
    <s v="N JB Soldering"/>
    <s v="Repair"/>
    <d v="2025-12-16T00:00:00"/>
    <n v="19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48095"/>
    <s v="25"/>
    <s v="06"/>
    <s v="G2G"/>
    <s v="P5"/>
    <s v="JB Issue"/>
    <s v="N JB Soldering"/>
    <s v="Repair"/>
    <d v="2025-12-16T00:00:00"/>
    <n v="19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JB Issue"/>
    <n v="610"/>
    <s v="NSMG25050072317"/>
    <s v="25"/>
    <s v="05"/>
    <s v="G2G"/>
    <s v="P5"/>
    <s v="JB Issue"/>
    <s v="N JB Changed"/>
    <s v="Repair"/>
    <d v="2025-12-16T00:00:00"/>
    <n v="19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JB Issue"/>
    <n v="610"/>
    <s v="NSMG25050074518"/>
    <s v="25"/>
    <s v="05"/>
    <s v="G2G"/>
    <s v="P5"/>
    <s v="JB Issue"/>
    <s v="N JB Changed"/>
    <s v="Repair"/>
    <d v="2025-12-16T00:00:00"/>
    <n v="19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50081192"/>
    <s v="25"/>
    <s v="05"/>
    <s v="G2G"/>
    <s v="P5"/>
    <s v="JB Issue"/>
    <s v="N JB Soldering"/>
    <s v="Repair"/>
    <d v="2025-12-16T00:00:00"/>
    <n v="19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50088469"/>
    <s v="25"/>
    <s v="05"/>
    <s v="G2G"/>
    <s v="P5"/>
    <s v="JB Issue"/>
    <s v="N JB Soldering"/>
    <s v="Repair"/>
    <d v="2025-12-16T00:00:00"/>
    <n v="19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78814"/>
    <s v="25"/>
    <s v="06"/>
    <s v="G2G"/>
    <s v="P5"/>
    <s v="JB Issue"/>
    <s v="P JB Soldering"/>
    <s v="Repair"/>
    <d v="2025-12-16T00:00:00"/>
    <n v="19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50022017"/>
    <s v="25"/>
    <s v="05"/>
    <s v="G2G"/>
    <s v="P5"/>
    <s v="JB Issue"/>
    <s v="P JB Soldering"/>
    <s v="Repair"/>
    <d v="2025-12-16T00:00:00"/>
    <n v="19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50071765"/>
    <s v="25"/>
    <s v="05"/>
    <s v="G2G"/>
    <s v="P5"/>
    <s v="JB Issue"/>
    <s v="P JB Soldering"/>
    <s v="Repair"/>
    <d v="2025-12-16T00:00:00"/>
    <n v="19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50081293"/>
    <s v="25"/>
    <s v="05"/>
    <s v="G2G"/>
    <s v="P5"/>
    <s v="JB Issue"/>
    <s v="N JB Soldering"/>
    <s v="Repair"/>
    <d v="2025-12-16T00:00:00"/>
    <n v="19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50052739"/>
    <s v="25"/>
    <s v="05"/>
    <s v="G2G"/>
    <s v="P5"/>
    <s v="JB Issue"/>
    <s v="P JB Soldering"/>
    <s v="Repair"/>
    <d v="2025-12-16T00:00:00"/>
    <n v="19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63112"/>
    <s v="25"/>
    <s v="06"/>
    <s v="G2G"/>
    <s v="P5"/>
    <s v="JB Issue"/>
    <s v="P JB Soldering"/>
    <s v="Repair"/>
    <d v="2025-12-16T00:00:00"/>
    <n v="19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JB Issue"/>
    <n v="610"/>
    <s v="NSMG25050074285"/>
    <s v="25"/>
    <s v="05"/>
    <s v="G2G"/>
    <s v="P5"/>
    <s v="JB Issue"/>
    <s v="N JB Changed"/>
    <s v="Repair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50047045"/>
    <s v="25"/>
    <s v="05"/>
    <s v="G2G"/>
    <s v="P5"/>
    <s v="JB Issue"/>
    <s v="N JB Soldering"/>
    <s v="Repair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50012710"/>
    <s v="25"/>
    <s v="05"/>
    <s v="G2G"/>
    <s v="P5"/>
    <s v="JB Issue"/>
    <s v="N JB Soldering"/>
    <s v="Repair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21514"/>
    <s v="25"/>
    <s v="06"/>
    <s v="G2G"/>
    <s v="P5"/>
    <s v="JB Issue"/>
    <s v="N JB Soldering"/>
    <s v="Repair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21503"/>
    <s v="25"/>
    <s v="06"/>
    <s v="G2G"/>
    <s v="P5"/>
    <s v="JB Issue"/>
    <s v="N JB Soldering"/>
    <s v="Repair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21223"/>
    <s v="25"/>
    <s v="06"/>
    <s v="G2G"/>
    <s v="P5"/>
    <s v="JB Issue"/>
    <s v="N JB Soldering"/>
    <s v="Repair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27215"/>
    <s v="25"/>
    <s v="06"/>
    <s v="G2G"/>
    <s v="P5"/>
    <s v="JB Issue"/>
    <s v="N JB Soldering"/>
    <s v="Repair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06998"/>
    <s v="25"/>
    <s v="06"/>
    <s v="G2G"/>
    <s v="P5"/>
    <s v="JB Issue"/>
    <s v="N JB Soldering"/>
    <s v="Repair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05085"/>
    <s v="25"/>
    <s v="06"/>
    <s v="G2G"/>
    <s v="P5"/>
    <s v="JB Issue"/>
    <s v="N JB Soldering"/>
    <s v="Repair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06688"/>
    <s v="25"/>
    <s v="06"/>
    <s v="G2G"/>
    <s v="P5"/>
    <s v="JB Issue"/>
    <s v="P JB Soldering"/>
    <s v="Repair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20830"/>
    <s v="25"/>
    <s v="06"/>
    <s v="G2G"/>
    <s v="P5"/>
    <s v="JB Issue"/>
    <s v="P JB Soldering"/>
    <s v="Repair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70273574"/>
    <s v="25"/>
    <s v="07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70257056"/>
    <s v="25"/>
    <s v="07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70274817"/>
    <s v="25"/>
    <s v="07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70263035"/>
    <s v="25"/>
    <s v="07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70257689"/>
    <s v="25"/>
    <s v="07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50011131"/>
    <s v="25"/>
    <s v="05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50009410"/>
    <s v="25"/>
    <s v="05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70256484"/>
    <s v="25"/>
    <s v="07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60107920"/>
    <s v="25"/>
    <s v="06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60126165"/>
    <s v="25"/>
    <s v="06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50059300"/>
    <s v="25"/>
    <s v="05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70223649"/>
    <s v="25"/>
    <s v="07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50045748"/>
    <s v="25"/>
    <s v="05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60149304"/>
    <s v="25"/>
    <s v="06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50023176"/>
    <s v="25"/>
    <s v="05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50077160"/>
    <s v="25"/>
    <s v="05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60126160"/>
    <s v="25"/>
    <s v="06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eG25060046109"/>
    <s v="25"/>
    <s v="06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60126168"/>
    <s v="25"/>
    <s v="06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50072676"/>
    <s v="25"/>
    <s v="05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70279601"/>
    <s v="25"/>
    <s v="07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50069033"/>
    <s v="25"/>
    <s v="05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50061511"/>
    <s v="25"/>
    <s v="05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50045755"/>
    <s v="25"/>
    <s v="05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50045746"/>
    <s v="25"/>
    <s v="05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60148134"/>
    <s v="25"/>
    <s v="06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60159275"/>
    <s v="25"/>
    <s v="06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60167025"/>
    <s v="25"/>
    <s v="06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60097844"/>
    <s v="25"/>
    <s v="06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60156225"/>
    <s v="25"/>
    <s v="06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60097817"/>
    <s v="25"/>
    <s v="06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60097845"/>
    <s v="25"/>
    <s v="06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60097829"/>
    <s v="25"/>
    <s v="06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70273607"/>
    <s v="25"/>
    <s v="07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70280413"/>
    <s v="25"/>
    <s v="07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70289748"/>
    <s v="25"/>
    <s v="07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70279589"/>
    <s v="25"/>
    <s v="07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70241246"/>
    <s v="25"/>
    <s v="07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70204514"/>
    <s v="25"/>
    <s v="07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70239712"/>
    <s v="25"/>
    <s v="07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70257824"/>
    <s v="25"/>
    <s v="07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70207305"/>
    <s v="25"/>
    <s v="07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70284188"/>
    <s v="25"/>
    <s v="07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80311862"/>
    <s v="25"/>
    <s v="08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80315988"/>
    <s v="25"/>
    <s v="08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80317096"/>
    <s v="25"/>
    <s v="08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60159281"/>
    <s v="25"/>
    <s v="06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60159274"/>
    <s v="25"/>
    <s v="06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Module Damaged"/>
    <n v="610"/>
    <s v="NSMG25060156347"/>
    <s v="25"/>
    <s v="06"/>
    <s v="G2G"/>
    <s v="P5"/>
    <s v="Module Damage"/>
    <s v="Damage"/>
    <s v="Rejected"/>
    <d v="2025-12-17T00:00:00"/>
    <n v="20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JB Issue"/>
    <n v="610"/>
    <s v="NSMG25060193584"/>
    <s v="25"/>
    <s v="06"/>
    <s v="G2G"/>
    <s v="P5"/>
    <s v="JB Issue"/>
    <s v="P JB Changed"/>
    <s v="Repair"/>
    <d v="2025-12-18T00:00:00"/>
    <n v="21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93963"/>
    <s v="25"/>
    <s v="06"/>
    <s v="G2G"/>
    <s v="P5"/>
    <s v="JB Issue"/>
    <s v="N JB Soldering"/>
    <s v="Repair"/>
    <d v="2025-12-18T00:00:00"/>
    <n v="21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78822"/>
    <s v="25"/>
    <s v="06"/>
    <s v="G2G"/>
    <s v="P5"/>
    <s v="JB Issue"/>
    <s v="P JB Soldering"/>
    <s v="Repair"/>
    <d v="2025-12-18T00:00:00"/>
    <n v="21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79457"/>
    <s v="25"/>
    <s v="06"/>
    <s v="G2G"/>
    <s v="P5"/>
    <s v="JB Issue"/>
    <s v="P JB Soldering"/>
    <s v="Repair"/>
    <d v="2025-12-18T00:00:00"/>
    <n v="21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78519"/>
    <s v="25"/>
    <s v="06"/>
    <s v="G2G"/>
    <s v="P5"/>
    <s v="JB Issue"/>
    <s v="N JB Soldering"/>
    <s v="Repair"/>
    <d v="2025-12-18T00:00:00"/>
    <n v="21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73068"/>
    <s v="25"/>
    <s v="06"/>
    <s v="G2G"/>
    <s v="P5"/>
    <s v="JB Issue"/>
    <s v="P JB Soldering"/>
    <s v="Repair"/>
    <d v="2025-12-18T00:00:00"/>
    <n v="21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JB Issue"/>
    <n v="610"/>
    <s v="NSMG25070201081"/>
    <s v="25"/>
    <s v="07"/>
    <s v="G2G"/>
    <s v="P5"/>
    <s v="JB Issue"/>
    <s v="N JB Changed"/>
    <s v="Repair"/>
    <d v="2025-12-18T00:00:00"/>
    <n v="21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70204963"/>
    <s v="25"/>
    <s v="07"/>
    <s v="G2G"/>
    <s v="P5"/>
    <s v="JB Issue"/>
    <s v="N JB Soldering"/>
    <s v="Repair"/>
    <d v="2025-12-18T00:00:00"/>
    <n v="21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JB Issue"/>
    <n v="610"/>
    <s v="NSMG25060169917"/>
    <s v="25"/>
    <s v="06"/>
    <s v="G2G"/>
    <s v="P5"/>
    <s v="JB Issue"/>
    <s v="P JB Changed"/>
    <s v="Repair"/>
    <d v="2025-12-18T00:00:00"/>
    <n v="21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70205624"/>
    <s v="25"/>
    <s v="07"/>
    <s v="G2G"/>
    <s v="P5"/>
    <s v="JB Issue"/>
    <s v="N JB Soldering"/>
    <s v="Repair"/>
    <d v="2025-12-18T00:00:00"/>
    <n v="21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45384"/>
    <s v="25"/>
    <s v="06"/>
    <s v="G2G"/>
    <s v="P5"/>
    <s v="JB Issue"/>
    <s v="P JB Soldering"/>
    <s v="Repair"/>
    <d v="2025-12-18T00:00:00"/>
    <n v="21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50031459"/>
    <s v="25"/>
    <s v="05"/>
    <s v="G2G"/>
    <s v="P5"/>
    <s v="JB Issue"/>
    <s v="N JB Soldering"/>
    <s v="Repair"/>
    <d v="2025-12-18T00:00:00"/>
    <n v="21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59783"/>
    <s v="25"/>
    <s v="06"/>
    <s v="G2G"/>
    <s v="P5"/>
    <s v="JB Issue"/>
    <s v="N JB Soldering"/>
    <s v="Repair"/>
    <d v="2025-12-18T00:00:00"/>
    <n v="21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59633"/>
    <s v="25"/>
    <s v="06"/>
    <s v="G2G"/>
    <s v="P5"/>
    <s v="JB Issue"/>
    <s v="N JB Soldering"/>
    <s v="Repair"/>
    <d v="2025-12-18T00:00:00"/>
    <n v="21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JB Issue"/>
    <n v="610"/>
    <s v="NSMG25060119800"/>
    <s v="25"/>
    <s v="06"/>
    <s v="G2G"/>
    <s v="P5"/>
    <s v="JB Issue"/>
    <s v="P JB Changed"/>
    <s v="Repair"/>
    <d v="2025-12-18T00:00:00"/>
    <n v="21"/>
    <m/>
    <m/>
    <m/>
  </r>
  <r>
    <d v="2025-11-27T00:00:00"/>
    <n v="2025"/>
    <x v="10"/>
    <s v="Utility and C&amp;I"/>
    <s v="Blupine Energy"/>
    <s v="Closed"/>
    <s v="Sharad Gangwar"/>
    <n v="8909173473"/>
    <m/>
    <s v="Diode Issue"/>
    <s v="Bhopalgarh"/>
    <s v="Rajasthan"/>
    <s v="Cold Soldering"/>
    <n v="610"/>
    <s v="NSMG25060121376"/>
    <s v="25"/>
    <s v="06"/>
    <s v="G2G"/>
    <s v="P5"/>
    <s v="JB Issue"/>
    <s v="N JB Soldering"/>
    <s v="Repair"/>
    <d v="2025-12-18T00:00:00"/>
    <n v="21"/>
    <m/>
    <m/>
    <m/>
  </r>
  <r>
    <d v="2025-11-23T00:00:00"/>
    <n v="2025"/>
    <x v="13"/>
    <s v="Utility and C&amp;I"/>
    <m/>
    <s v="Inspection"/>
    <s v="Sudarshan Bhosale"/>
    <n v="9972197300"/>
    <m/>
    <s v="Module Burn"/>
    <s v="Bhuj"/>
    <s v="Gujarat"/>
    <s v="Module Damaged"/>
    <n v="580"/>
    <s v="NSMI25011276140"/>
    <s v="25"/>
    <s v="01"/>
    <s v="G2G"/>
    <s v="P4"/>
    <s v="Front glass broken "/>
    <s v="Damage"/>
    <s v="Rejected"/>
    <d v="2025-12-29T00:00:00"/>
    <n v="36"/>
    <m/>
    <m/>
    <m/>
  </r>
  <r>
    <d v="2025-11-23T00:00:00"/>
    <n v="2025"/>
    <x v="13"/>
    <s v="Utility and C&amp;I"/>
    <m/>
    <s v="Inspection"/>
    <s v="Sudarshan Bhosale"/>
    <n v="9972197300"/>
    <m/>
    <s v="Module Burn"/>
    <s v="Bhuj"/>
    <s v="Gujarat"/>
    <s v="Module Damaged"/>
    <n v="580"/>
    <s v="NSMI25011264135"/>
    <s v="25"/>
    <s v="01"/>
    <s v="G2G"/>
    <s v="P4"/>
    <s v="Front glass broken "/>
    <s v="Damage"/>
    <s v="Rejected"/>
    <d v="2025-12-29T00:00:00"/>
    <n v="36"/>
    <m/>
    <m/>
    <m/>
  </r>
  <r>
    <d v="2025-11-23T00:00:00"/>
    <n v="2025"/>
    <x v="13"/>
    <s v="Utility and C&amp;I"/>
    <m/>
    <s v="Inspection"/>
    <s v="Sudarshan Bhosale"/>
    <n v="9972197300"/>
    <m/>
    <s v="Module Burn"/>
    <s v="Bhuj"/>
    <s v="Gujarat"/>
    <s v="Module Damaged"/>
    <n v="580"/>
    <s v="NSMI25011263862"/>
    <s v="25"/>
    <s v="01"/>
    <s v="G2G"/>
    <s v="P4"/>
    <s v="Front glass broken &amp; burning "/>
    <s v="Damage"/>
    <s v="Rejected"/>
    <d v="2025-12-29T00:00:00"/>
    <n v="36"/>
    <m/>
    <m/>
    <m/>
  </r>
  <r>
    <d v="2025-11-23T00:00:00"/>
    <n v="2025"/>
    <x v="13"/>
    <s v="Utility and C&amp;I"/>
    <m/>
    <s v="Inspection"/>
    <s v="Sudarshan Bhosale"/>
    <n v="9972197300"/>
    <m/>
    <s v="Module Burn"/>
    <s v="Bhuj"/>
    <s v="Gujarat"/>
    <s v="Module Damaged"/>
    <n v="580"/>
    <s v="NSMI25011289757"/>
    <s v="25"/>
    <s v="01"/>
    <s v="G2G"/>
    <s v="P4"/>
    <s v="Front glass broken "/>
    <s v="Damage"/>
    <s v="Rejected"/>
    <d v="2025-12-29T00:00:00"/>
    <n v="36"/>
    <m/>
    <m/>
    <m/>
  </r>
  <r>
    <d v="2025-11-23T00:00:00"/>
    <n v="2025"/>
    <x v="13"/>
    <s v="Utility and C&amp;I"/>
    <m/>
    <s v="Inspection"/>
    <s v="Sudarshan Bhosale"/>
    <n v="9972197300"/>
    <m/>
    <s v="Module Burn"/>
    <s v="Bhuj"/>
    <s v="Gujarat"/>
    <s v="Module Damaged"/>
    <n v="580"/>
    <s v="NSMI25011289755"/>
    <s v="25"/>
    <s v="01"/>
    <s v="G2G"/>
    <s v="P4"/>
    <s v="Front glass broken &amp; burning "/>
    <s v="Damage"/>
    <s v="Rejected"/>
    <d v="2025-12-29T00:00:00"/>
    <n v="36"/>
    <m/>
    <m/>
    <m/>
  </r>
  <r>
    <d v="2025-11-23T00:00:00"/>
    <n v="2025"/>
    <x v="13"/>
    <s v="Utility and C&amp;I"/>
    <m/>
    <s v="Inspection"/>
    <s v="Sudarshan Bhosale"/>
    <n v="9972197300"/>
    <m/>
    <s v="Module Burn"/>
    <s v="Bhuj"/>
    <s v="Gujarat"/>
    <s v="Module Damaged"/>
    <n v="580"/>
    <s v="NSMI25040144970"/>
    <s v="25"/>
    <s v="04"/>
    <s v="G2G"/>
    <s v="P4"/>
    <s v="Front glass broken &amp; burning "/>
    <s v="Damage"/>
    <s v="Rejected"/>
    <d v="2025-12-29T00:00:00"/>
    <n v="36"/>
    <m/>
    <m/>
    <m/>
  </r>
  <r>
    <d v="2025-11-23T00:00:00"/>
    <n v="2025"/>
    <x v="13"/>
    <s v="Utility and C&amp;I"/>
    <m/>
    <s v="Inspection"/>
    <s v="Sudarshan Bhosale"/>
    <n v="9972197300"/>
    <m/>
    <s v="Module Burn"/>
    <s v="Bhuj"/>
    <s v="Gujarat"/>
    <m/>
    <n v="580"/>
    <m/>
    <s v=""/>
    <s v=""/>
    <s v="G2G"/>
    <s v="P4"/>
    <s v="Clear"/>
    <m/>
    <m/>
    <d v="2025-12-30T00:00:00"/>
    <n v="37"/>
    <m/>
    <m/>
    <m/>
  </r>
  <r>
    <d v="2025-11-23T00:00:00"/>
    <n v="2025"/>
    <x v="13"/>
    <s v="Utility and C&amp;I"/>
    <m/>
    <s v="Inspection"/>
    <s v="Sudarshan Bhosale"/>
    <n v="9972197300"/>
    <m/>
    <s v="Module Burn"/>
    <s v="Bhuj"/>
    <s v="Gujarat"/>
    <m/>
    <n v="580"/>
    <m/>
    <s v=""/>
    <s v=""/>
    <s v="G2G"/>
    <s v="P4"/>
    <s v="Clear"/>
    <m/>
    <m/>
    <d v="2025-12-30T00:00:00"/>
    <n v="37"/>
    <m/>
    <m/>
    <m/>
  </r>
  <r>
    <d v="2025-11-23T00:00:00"/>
    <n v="2025"/>
    <x v="13"/>
    <s v="Utility and C&amp;I"/>
    <m/>
    <s v="Inspection"/>
    <s v="Sudarshan Bhosale"/>
    <n v="9972197300"/>
    <m/>
    <s v="Module Burn"/>
    <s v="Bhuj"/>
    <s v="Gujarat"/>
    <m/>
    <n v="580"/>
    <m/>
    <s v=""/>
    <s v=""/>
    <s v="G2G"/>
    <s v="P4"/>
    <s v="Clear"/>
    <m/>
    <m/>
    <d v="2025-12-30T00:00:00"/>
    <n v="37"/>
    <m/>
    <m/>
    <m/>
  </r>
  <r>
    <d v="2025-11-23T00:00:00"/>
    <n v="2025"/>
    <x v="13"/>
    <s v="Utility and C&amp;I"/>
    <m/>
    <s v="Inspection"/>
    <s v="Sudarshan Bhosale"/>
    <n v="9972197300"/>
    <m/>
    <s v="Module Burn"/>
    <s v="Bhuj"/>
    <s v="Gujarat"/>
    <s v="Module Damaged"/>
    <n v="580"/>
    <s v="NSMI25011264159"/>
    <s v="25"/>
    <s v="01"/>
    <s v="G2G"/>
    <s v="P4"/>
    <s v="Module Burn"/>
    <s v="Burning"/>
    <s v="Rejected"/>
    <d v="2025-12-30T00:00:00"/>
    <n v="37"/>
    <m/>
    <m/>
    <m/>
  </r>
  <r>
    <d v="2025-11-23T00:00:00"/>
    <n v="2025"/>
    <x v="13"/>
    <s v="Utility and C&amp;I"/>
    <m/>
    <s v="Inspection"/>
    <s v="Sudarshan Bhosale"/>
    <n v="9972197300"/>
    <m/>
    <s v="Module Burn"/>
    <s v="Bhuj"/>
    <s v="Gujarat"/>
    <s v="Module Damaged"/>
    <n v="580"/>
    <s v="NSMI25011263468"/>
    <s v="25"/>
    <s v="01"/>
    <s v="G2G"/>
    <s v="P4"/>
    <s v="Module Burn"/>
    <s v="Burning"/>
    <s v="Rejected"/>
    <d v="2025-12-30T00:00:00"/>
    <n v="37"/>
    <m/>
    <m/>
    <m/>
  </r>
  <r>
    <d v="2025-11-23T00:00:00"/>
    <n v="2025"/>
    <x v="13"/>
    <s v="Utility and C&amp;I"/>
    <m/>
    <s v="Inspection"/>
    <s v="Sudarshan Bhosale"/>
    <n v="9972197300"/>
    <m/>
    <s v="Module Burn"/>
    <s v="Bhuj"/>
    <s v="Gujarat"/>
    <m/>
    <n v="580"/>
    <m/>
    <s v=""/>
    <s v=""/>
    <s v="G2G"/>
    <s v="P4"/>
    <s v="Clear"/>
    <m/>
    <m/>
    <d v="2025-12-30T00:00:00"/>
    <n v="37"/>
    <m/>
    <m/>
    <m/>
  </r>
  <r>
    <d v="2025-11-23T00:00:00"/>
    <n v="2025"/>
    <x v="13"/>
    <s v="Utility and C&amp;I"/>
    <m/>
    <s v="Inspection"/>
    <s v="Sudarshan Bhosale"/>
    <n v="9972197300"/>
    <m/>
    <s v="Module Burn"/>
    <s v="Bhuj"/>
    <s v="Gujarat"/>
    <m/>
    <n v="580"/>
    <m/>
    <s v=""/>
    <s v=""/>
    <s v="G2G"/>
    <s v="P4"/>
    <s v="Clear"/>
    <m/>
    <m/>
    <d v="2025-12-30T00:00:00"/>
    <n v="37"/>
    <m/>
    <m/>
    <m/>
  </r>
  <r>
    <d v="2025-11-23T00:00:00"/>
    <n v="2025"/>
    <x v="13"/>
    <s v="Utility and C&amp;I"/>
    <m/>
    <s v="Inspection"/>
    <s v="Sudarshan Bhosale"/>
    <n v="9972197300"/>
    <m/>
    <s v="Module Burn"/>
    <s v="Bhuj"/>
    <s v="Gujarat"/>
    <m/>
    <n v="580"/>
    <m/>
    <s v=""/>
    <s v=""/>
    <s v="G2G"/>
    <s v="P4"/>
    <s v="Clear"/>
    <m/>
    <m/>
    <d v="2025-12-30T00:00:00"/>
    <n v="37"/>
    <m/>
    <m/>
    <m/>
  </r>
  <r>
    <d v="2025-11-23T00:00:00"/>
    <n v="2025"/>
    <x v="13"/>
    <s v="Utility and C&amp;I"/>
    <m/>
    <s v="Inspection"/>
    <s v="Sudarshan Bhosale"/>
    <n v="9972197300"/>
    <m/>
    <s v="Module Burn"/>
    <s v="Bhuj"/>
    <s v="Gujarat"/>
    <s v="Module Damaged"/>
    <n v="580"/>
    <s v="NSMI25011262132"/>
    <s v="25"/>
    <s v="01"/>
    <s v="G2G"/>
    <s v="P4"/>
    <s v="Module Burn"/>
    <s v="Burning"/>
    <s v="Rejected"/>
    <d v="2025-12-30T00:00:00"/>
    <n v="37"/>
    <m/>
    <m/>
    <m/>
  </r>
  <r>
    <d v="2025-11-23T00:00:00"/>
    <n v="2025"/>
    <x v="13"/>
    <s v="Utility and C&amp;I"/>
    <m/>
    <s v="Inspection"/>
    <s v="Sudarshan Bhosale"/>
    <n v="9972197300"/>
    <m/>
    <s v="Module Burn"/>
    <s v="Bhuj"/>
    <s v="Gujarat"/>
    <s v="Module Damaged"/>
    <n v="580"/>
    <s v="NSMI25011261819"/>
    <s v="25"/>
    <s v="01"/>
    <s v="G2G"/>
    <s v="P4"/>
    <s v="Module Burn"/>
    <s v="Burning"/>
    <s v="Rejected"/>
    <d v="2025-12-30T00:00:00"/>
    <n v="37"/>
    <m/>
    <m/>
    <m/>
  </r>
  <r>
    <d v="2025-11-23T00:00:00"/>
    <n v="2025"/>
    <x v="13"/>
    <s v="Utility and C&amp;I"/>
    <m/>
    <s v="Inspection"/>
    <s v="Sudarshan Bhosale"/>
    <n v="9972197300"/>
    <m/>
    <s v="Module Burn"/>
    <s v="Bhuj"/>
    <s v="Gujarat"/>
    <s v="Module Damaged"/>
    <n v="580"/>
    <s v="NSMI25011262729"/>
    <s v="25"/>
    <s v="01"/>
    <s v="G2G"/>
    <s v="P4"/>
    <s v="Front glass broken "/>
    <s v="Damage"/>
    <s v="Rejected"/>
    <d v="2025-12-31T00:00:00"/>
    <n v="38"/>
    <m/>
    <m/>
    <m/>
  </r>
  <r>
    <d v="2025-11-23T00:00:00"/>
    <n v="2025"/>
    <x v="13"/>
    <s v="Utility and C&amp;I"/>
    <m/>
    <s v="Inspection"/>
    <s v="Sudarshan Bhosale"/>
    <n v="9972197300"/>
    <m/>
    <s v="Module Burn"/>
    <s v="Bhuj"/>
    <s v="Gujarat"/>
    <s v="Module Damaged"/>
    <n v="580"/>
    <s v="NSMI25011274946"/>
    <s v="25"/>
    <s v="01"/>
    <s v="G2G"/>
    <s v="P4"/>
    <s v="Glass Broken/Burning"/>
    <s v="Damage"/>
    <s v="Rejected"/>
    <d v="2025-12-31T00:00:00"/>
    <n v="38"/>
    <m/>
    <m/>
    <m/>
  </r>
  <r>
    <d v="2025-11-23T00:00:00"/>
    <n v="2025"/>
    <x v="13"/>
    <s v="Utility and C&amp;I"/>
    <m/>
    <s v="Inspection"/>
    <s v="Sudarshan Bhosale"/>
    <n v="9972197300"/>
    <m/>
    <s v="Module Burn"/>
    <s v="Bhuj"/>
    <s v="Gujarat"/>
    <s v="Module Damaged"/>
    <n v="580"/>
    <s v="NSMI25011262869"/>
    <s v="25"/>
    <s v="01"/>
    <s v="G2G"/>
    <s v="P4"/>
    <s v="Glass Broken/Burning"/>
    <s v="Damage"/>
    <s v="Rejected"/>
    <d v="2025-12-31T00:00:00"/>
    <n v="38"/>
    <m/>
    <m/>
    <m/>
  </r>
  <r>
    <d v="2025-11-23T00:00:00"/>
    <n v="2025"/>
    <x v="13"/>
    <s v="Utility and C&amp;I"/>
    <m/>
    <s v="Inspection"/>
    <s v="Sudarshan Bhosale"/>
    <n v="9972197300"/>
    <m/>
    <s v="Module Burn"/>
    <s v="Bhuj"/>
    <s v="Gujarat"/>
    <s v="Module Damaged"/>
    <n v="580"/>
    <s v="NSMI25040156868"/>
    <s v="25"/>
    <s v="04"/>
    <s v="G2G"/>
    <s v="P4"/>
    <s v="Front glass broken "/>
    <s v="Damage"/>
    <s v="Rejected"/>
    <d v="2025-12-31T00:00:00"/>
    <n v="38"/>
    <m/>
    <m/>
    <m/>
  </r>
  <r>
    <d v="2025-11-23T00:00:00"/>
    <n v="2025"/>
    <x v="13"/>
    <s v="Utility and C&amp;I"/>
    <m/>
    <s v="Inspection"/>
    <s v="Sudarshan Bhosale"/>
    <n v="9972197300"/>
    <m/>
    <s v="Module Burn"/>
    <s v="Bhuj"/>
    <s v="Gujarat"/>
    <s v="Module Damaged"/>
    <n v="580"/>
    <s v="NSMI25040048897"/>
    <s v="25"/>
    <s v="04"/>
    <s v="G2G"/>
    <s v="P4"/>
    <s v="Front glass broken "/>
    <s v="Damage"/>
    <s v="Rejected"/>
    <d v="2025-12-31T00:00:00"/>
    <n v="38"/>
    <m/>
    <m/>
    <m/>
  </r>
  <r>
    <d v="2025-11-23T00:00:00"/>
    <n v="2025"/>
    <x v="13"/>
    <s v="Utility and C&amp;I"/>
    <m/>
    <s v="Inspection"/>
    <s v="Sudarshan Bhosale"/>
    <n v="9972197300"/>
    <m/>
    <s v="Module Burn"/>
    <s v="Bhuj"/>
    <s v="Gujarat"/>
    <s v="Module Damaged"/>
    <n v="580"/>
    <s v="NSMI25040047113"/>
    <s v="25"/>
    <s v="04"/>
    <s v="G2G"/>
    <s v="P4"/>
    <s v="Glass Broken/Burning"/>
    <s v="Damage"/>
    <s v="Rejected"/>
    <d v="2025-12-31T00:00:00"/>
    <n v="38"/>
    <m/>
    <m/>
    <m/>
  </r>
  <r>
    <d v="2025-11-23T00:00:00"/>
    <n v="2025"/>
    <x v="13"/>
    <s v="Utility and C&amp;I"/>
    <m/>
    <s v="Inspection"/>
    <s v="Sudarshan Bhosale"/>
    <n v="9972197300"/>
    <m/>
    <s v="Module Burn"/>
    <s v="Bhuj"/>
    <s v="Gujarat"/>
    <s v="Module Damaged"/>
    <n v="580"/>
    <s v="NSMI25040144877"/>
    <s v="25"/>
    <s v="04"/>
    <s v="G2G"/>
    <s v="P4"/>
    <s v="Front glass broken "/>
    <s v="Damage"/>
    <s v="Rejected"/>
    <d v="2025-12-31T00:00:00"/>
    <n v="38"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  <r>
    <m/>
    <m/>
    <x v="5"/>
    <m/>
    <m/>
    <m/>
    <m/>
    <m/>
    <m/>
    <m/>
    <m/>
    <m/>
    <m/>
    <m/>
    <m/>
    <s v=""/>
    <s v="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27">
    <pivotField showAll="0"/>
    <pivotField showAll="0"/>
    <pivotField axis="axisRow" dataField="1" showAll="0">
      <items count="25">
        <item m="1" x="17"/>
        <item m="1" x="18"/>
        <item x="12"/>
        <item m="1" x="19"/>
        <item m="1" x="20"/>
        <item m="1" x="21"/>
        <item m="1" x="22"/>
        <item x="2"/>
        <item m="1" x="14"/>
        <item m="1" x="16"/>
        <item x="8"/>
        <item x="1"/>
        <item m="1" x="23"/>
        <item m="1" x="15"/>
        <item x="0"/>
        <item x="3"/>
        <item x="4"/>
        <item x="5"/>
        <item x="6"/>
        <item x="7"/>
        <item x="9"/>
        <item x="10"/>
        <item x="11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5">
    <i>
      <x v="2"/>
    </i>
    <i>
      <x v="7"/>
    </i>
    <i>
      <x v="10"/>
    </i>
    <i>
      <x v="11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Complaint Raised By" fld="2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0"/>
  <sheetViews>
    <sheetView showGridLines="0" tabSelected="1" zoomScale="60" zoomScaleNormal="60" workbookViewId="0">
      <selection activeCell="M40" sqref="M40"/>
    </sheetView>
  </sheetViews>
  <sheetFormatPr defaultRowHeight="14.5" outlineLevelCol="1" x14ac:dyDescent="0.35"/>
  <cols>
    <col min="1" max="1" width="3.6328125" customWidth="1"/>
    <col min="2" max="19" width="12.7265625" customWidth="1"/>
    <col min="20" max="20" width="7" customWidth="1"/>
    <col min="21" max="21" width="20.1796875" hidden="1" customWidth="1" outlineLevel="1"/>
    <col min="22" max="22" width="18.6328125" style="174" customWidth="1" outlineLevel="1"/>
    <col min="23" max="23" width="10.26953125" customWidth="1" outlineLevel="1"/>
    <col min="24" max="24" width="23" customWidth="1"/>
    <col min="25" max="25" width="5.36328125" bestFit="1" customWidth="1"/>
    <col min="26" max="26" width="8.984375E-2" customWidth="1"/>
  </cols>
  <sheetData>
    <row r="1" spans="1:26" x14ac:dyDescent="0.35">
      <c r="A1" s="169"/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U1" s="170" t="s">
        <v>0</v>
      </c>
      <c r="V1" s="182"/>
      <c r="W1" s="171"/>
      <c r="X1" s="172"/>
      <c r="Y1" s="172"/>
      <c r="Z1" s="172"/>
    </row>
    <row r="2" spans="1:26" ht="42" customHeight="1" x14ac:dyDescent="0.35">
      <c r="A2" s="169"/>
      <c r="B2" s="187" t="s">
        <v>1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69"/>
      <c r="T2" s="173"/>
      <c r="U2" s="171"/>
      <c r="V2" s="182"/>
      <c r="W2" s="171"/>
      <c r="X2" s="172"/>
      <c r="Y2" s="172"/>
      <c r="Z2" s="172"/>
    </row>
    <row r="3" spans="1:26" ht="22" customHeight="1" x14ac:dyDescent="0.35">
      <c r="A3" s="169"/>
      <c r="B3" s="191" t="s">
        <v>2</v>
      </c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69"/>
      <c r="T3" s="174"/>
      <c r="U3" s="172" t="s">
        <v>3</v>
      </c>
      <c r="V3" s="174" t="s">
        <v>4</v>
      </c>
      <c r="W3" s="171" t="s">
        <v>5</v>
      </c>
      <c r="X3" s="172" t="s">
        <v>4</v>
      </c>
      <c r="Y3" s="172"/>
      <c r="Z3" s="172"/>
    </row>
    <row r="4" spans="1:26" x14ac:dyDescent="0.35">
      <c r="A4" s="169"/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74"/>
      <c r="U4" s="172" t="s">
        <v>6</v>
      </c>
      <c r="V4" s="174">
        <v>1845</v>
      </c>
      <c r="W4" s="171" t="s">
        <v>7</v>
      </c>
      <c r="X4" s="172">
        <v>1</v>
      </c>
      <c r="Y4" s="172"/>
      <c r="Z4" s="172"/>
    </row>
    <row r="5" spans="1:26" ht="20" customHeight="1" x14ac:dyDescent="0.35">
      <c r="A5" s="169"/>
      <c r="B5" s="189" t="s">
        <v>8</v>
      </c>
      <c r="C5" s="190"/>
      <c r="D5" s="169"/>
      <c r="E5" s="189" t="s">
        <v>9</v>
      </c>
      <c r="F5" s="190"/>
      <c r="G5" s="169"/>
      <c r="H5" s="189" t="s">
        <v>10</v>
      </c>
      <c r="I5" s="190"/>
      <c r="J5" s="169"/>
      <c r="K5" s="189" t="s">
        <v>11</v>
      </c>
      <c r="L5" s="190"/>
      <c r="M5" s="169"/>
      <c r="N5" s="189" t="s">
        <v>12</v>
      </c>
      <c r="O5" s="190"/>
      <c r="P5" s="169"/>
      <c r="Q5" s="169"/>
      <c r="R5" s="169"/>
      <c r="S5" s="169"/>
      <c r="T5" s="174"/>
      <c r="U5" s="172" t="s">
        <v>13</v>
      </c>
      <c r="V5" s="174">
        <v>834</v>
      </c>
      <c r="W5" s="171" t="s">
        <v>14</v>
      </c>
      <c r="X5" s="172">
        <v>1604</v>
      </c>
      <c r="Y5" s="172"/>
      <c r="Z5" s="172"/>
    </row>
    <row r="6" spans="1:26" ht="40" customHeight="1" x14ac:dyDescent="0.35">
      <c r="A6" s="169"/>
      <c r="B6" s="192">
        <f>'MSI Report'!B6</f>
        <v>416</v>
      </c>
      <c r="C6" s="193"/>
      <c r="D6" s="169"/>
      <c r="E6" s="194">
        <f>'MSI Report'!C6</f>
        <v>416</v>
      </c>
      <c r="F6" s="193"/>
      <c r="G6" s="169"/>
      <c r="H6" s="195">
        <f>'MSI Report'!D6</f>
        <v>0</v>
      </c>
      <c r="I6" s="193"/>
      <c r="J6" s="169"/>
      <c r="K6" s="197">
        <f>'MSI Report'!F6</f>
        <v>1</v>
      </c>
      <c r="L6" s="193"/>
      <c r="M6" s="169"/>
      <c r="N6" s="196">
        <f>'MSI Report'!G6</f>
        <v>22.2</v>
      </c>
      <c r="O6" s="193"/>
      <c r="P6" s="169"/>
      <c r="Q6" s="169"/>
      <c r="R6" s="169"/>
      <c r="S6" s="169"/>
      <c r="T6" s="174"/>
      <c r="U6" s="172" t="s">
        <v>15</v>
      </c>
      <c r="V6" s="174">
        <v>596</v>
      </c>
      <c r="W6" s="171" t="s">
        <v>16</v>
      </c>
      <c r="X6" s="172">
        <v>1351</v>
      </c>
      <c r="Y6" s="172"/>
      <c r="Z6" s="172"/>
    </row>
    <row r="7" spans="1:26" ht="8" customHeight="1" x14ac:dyDescent="0.35">
      <c r="A7" s="169"/>
      <c r="B7" s="169"/>
      <c r="C7" s="169"/>
      <c r="D7" s="169"/>
      <c r="E7" s="169"/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74"/>
      <c r="U7" s="172" t="s">
        <v>17</v>
      </c>
      <c r="V7" s="174">
        <v>367</v>
      </c>
      <c r="W7" s="171"/>
      <c r="X7" s="172"/>
      <c r="Y7" s="172"/>
      <c r="Z7" s="172"/>
    </row>
    <row r="8" spans="1:26" ht="15.5" customHeight="1" x14ac:dyDescent="0.35">
      <c r="A8" s="169"/>
      <c r="B8" s="175" t="s">
        <v>18</v>
      </c>
      <c r="C8" s="169"/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74"/>
      <c r="U8" s="172" t="s">
        <v>19</v>
      </c>
      <c r="V8" s="174">
        <v>197</v>
      </c>
      <c r="W8" s="171"/>
      <c r="X8" s="172"/>
      <c r="Y8" s="172"/>
      <c r="Z8" s="172"/>
    </row>
    <row r="9" spans="1:26" x14ac:dyDescent="0.35">
      <c r="A9" s="169"/>
      <c r="B9" s="169"/>
      <c r="C9" s="169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74"/>
      <c r="U9" s="172" t="s">
        <v>20</v>
      </c>
      <c r="V9" s="174">
        <v>59</v>
      </c>
      <c r="W9" s="171"/>
      <c r="X9" s="172"/>
      <c r="Y9" s="172"/>
      <c r="Z9" s="172"/>
    </row>
    <row r="10" spans="1:26" x14ac:dyDescent="0.35">
      <c r="A10" s="169"/>
      <c r="B10" s="169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74"/>
      <c r="U10" s="172" t="s">
        <v>21</v>
      </c>
      <c r="V10" s="174">
        <v>37</v>
      </c>
      <c r="W10" s="171"/>
      <c r="X10" s="172"/>
      <c r="Y10" s="172"/>
      <c r="Z10" s="172"/>
    </row>
    <row r="11" spans="1:26" x14ac:dyDescent="0.35">
      <c r="A11" s="169"/>
      <c r="B11" s="169"/>
      <c r="C11" s="169"/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74"/>
      <c r="U11" s="172" t="s">
        <v>22</v>
      </c>
      <c r="V11" s="174">
        <v>32</v>
      </c>
      <c r="W11" s="171"/>
      <c r="X11" s="172"/>
      <c r="Y11" s="172"/>
      <c r="Z11" s="172"/>
    </row>
    <row r="12" spans="1:26" x14ac:dyDescent="0.35">
      <c r="A12" s="169"/>
      <c r="B12" s="169"/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74"/>
      <c r="U12" s="171" t="s">
        <v>23</v>
      </c>
      <c r="V12" s="182" t="s">
        <v>4</v>
      </c>
      <c r="W12" s="171" t="s">
        <v>24</v>
      </c>
      <c r="X12" s="172" t="s">
        <v>25</v>
      </c>
      <c r="Y12" s="171" t="s">
        <v>26</v>
      </c>
      <c r="Z12" s="171" t="s">
        <v>27</v>
      </c>
    </row>
    <row r="13" spans="1:26" x14ac:dyDescent="0.35">
      <c r="A13" s="169"/>
      <c r="B13" s="169"/>
      <c r="C13" s="169"/>
      <c r="D13" s="169"/>
      <c r="E13" s="169"/>
      <c r="F13" s="169"/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74"/>
      <c r="U13" s="171" t="s">
        <v>28</v>
      </c>
      <c r="V13" s="182">
        <v>1688</v>
      </c>
      <c r="W13" s="171" t="s">
        <v>29</v>
      </c>
      <c r="X13" s="172">
        <v>2182</v>
      </c>
      <c r="Y13" s="172">
        <v>250</v>
      </c>
      <c r="Z13" s="171">
        <v>82</v>
      </c>
    </row>
    <row r="14" spans="1:26" x14ac:dyDescent="0.35">
      <c r="A14" s="169"/>
      <c r="B14" s="169"/>
      <c r="C14" s="169"/>
      <c r="D14" s="169"/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74"/>
      <c r="U14" s="171" t="s">
        <v>30</v>
      </c>
      <c r="V14" s="182">
        <v>688</v>
      </c>
      <c r="W14" s="171" t="s">
        <v>31</v>
      </c>
      <c r="X14" s="172">
        <v>215</v>
      </c>
      <c r="Y14" s="172">
        <v>67</v>
      </c>
      <c r="Z14" s="171">
        <v>31</v>
      </c>
    </row>
    <row r="15" spans="1:26" x14ac:dyDescent="0.35">
      <c r="A15" s="169"/>
      <c r="B15" s="169"/>
      <c r="C15" s="169"/>
      <c r="D15" s="169"/>
      <c r="E15" s="169"/>
      <c r="F15" s="169"/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74"/>
      <c r="U15" s="171" t="s">
        <v>32</v>
      </c>
      <c r="V15" s="182">
        <v>502</v>
      </c>
      <c r="W15" s="171" t="s">
        <v>33</v>
      </c>
      <c r="X15" s="172">
        <v>110</v>
      </c>
      <c r="Y15" s="172">
        <v>11</v>
      </c>
      <c r="Z15" s="171">
        <v>12</v>
      </c>
    </row>
    <row r="16" spans="1:26" x14ac:dyDescent="0.35">
      <c r="A16" s="169"/>
      <c r="B16" s="169"/>
      <c r="C16" s="169"/>
      <c r="D16" s="169"/>
      <c r="E16" s="169"/>
      <c r="F16" s="169"/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74"/>
      <c r="U16" s="171" t="s">
        <v>34</v>
      </c>
      <c r="V16" s="182">
        <v>192</v>
      </c>
      <c r="W16" s="171" t="s">
        <v>35</v>
      </c>
      <c r="X16" s="172">
        <v>18</v>
      </c>
      <c r="Y16" s="172">
        <v>17</v>
      </c>
      <c r="Z16" s="171">
        <v>0</v>
      </c>
    </row>
    <row r="17" spans="1:26" x14ac:dyDescent="0.35">
      <c r="A17" s="169"/>
      <c r="B17" s="169"/>
      <c r="C17" s="169"/>
      <c r="D17" s="169"/>
      <c r="E17" s="169"/>
      <c r="F17" s="169"/>
      <c r="G17" s="169"/>
      <c r="H17" s="169"/>
      <c r="I17" s="169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74"/>
      <c r="U17" s="171" t="s">
        <v>36</v>
      </c>
      <c r="V17" s="182">
        <v>32</v>
      </c>
      <c r="W17" s="171" t="s">
        <v>37</v>
      </c>
      <c r="X17" s="172">
        <v>4</v>
      </c>
      <c r="Y17" s="172">
        <v>1</v>
      </c>
      <c r="Z17" s="171">
        <v>3</v>
      </c>
    </row>
    <row r="18" spans="1:26" x14ac:dyDescent="0.35">
      <c r="A18" s="169"/>
      <c r="B18" s="169"/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74"/>
      <c r="U18" s="171" t="s">
        <v>38</v>
      </c>
      <c r="V18" s="182">
        <v>21</v>
      </c>
      <c r="W18" s="171" t="s">
        <v>39</v>
      </c>
      <c r="X18" s="172">
        <v>1</v>
      </c>
      <c r="Y18" s="172">
        <v>0</v>
      </c>
      <c r="Z18" s="171">
        <v>0</v>
      </c>
    </row>
    <row r="19" spans="1:26" x14ac:dyDescent="0.35">
      <c r="A19" s="169"/>
      <c r="B19" s="169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74"/>
      <c r="U19" s="171" t="s">
        <v>40</v>
      </c>
      <c r="V19" s="182">
        <v>6</v>
      </c>
      <c r="W19" s="171"/>
      <c r="X19" s="172"/>
      <c r="Y19" s="172"/>
      <c r="Z19" s="172"/>
    </row>
    <row r="20" spans="1:26" x14ac:dyDescent="0.35">
      <c r="A20" s="169"/>
      <c r="B20" s="169"/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74"/>
      <c r="U20" s="171" t="s">
        <v>41</v>
      </c>
      <c r="V20" s="182">
        <v>1</v>
      </c>
      <c r="W20" s="171"/>
      <c r="X20" s="172"/>
      <c r="Y20" s="172"/>
      <c r="Z20" s="172"/>
    </row>
    <row r="21" spans="1:26" x14ac:dyDescent="0.35">
      <c r="A21" s="169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74"/>
      <c r="U21" s="171"/>
      <c r="V21" s="182"/>
      <c r="W21" s="171"/>
      <c r="X21" s="172"/>
      <c r="Y21" s="172"/>
      <c r="Z21" s="172"/>
    </row>
    <row r="22" spans="1:26" x14ac:dyDescent="0.35">
      <c r="A22" s="169"/>
      <c r="B22" s="169"/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74"/>
      <c r="U22" s="176" t="s">
        <v>24</v>
      </c>
      <c r="V22" s="183" t="s">
        <v>42</v>
      </c>
      <c r="W22" s="171"/>
      <c r="X22" s="172"/>
      <c r="Y22" s="172"/>
      <c r="Z22" s="172"/>
    </row>
    <row r="23" spans="1:26" ht="15.5" customHeight="1" x14ac:dyDescent="0.35">
      <c r="A23" s="169"/>
      <c r="B23" s="175" t="s">
        <v>43</v>
      </c>
      <c r="C23" s="169"/>
      <c r="D23" s="169"/>
      <c r="E23" s="169"/>
      <c r="F23" s="169"/>
      <c r="G23" s="169"/>
      <c r="H23" s="175" t="s">
        <v>44</v>
      </c>
      <c r="I23" s="169"/>
      <c r="J23" s="169"/>
      <c r="K23" s="169"/>
      <c r="L23" s="169"/>
      <c r="M23" s="169"/>
      <c r="N23" s="175" t="s">
        <v>45</v>
      </c>
      <c r="O23" s="169"/>
      <c r="P23" s="169"/>
      <c r="Q23" s="169"/>
      <c r="R23" s="169"/>
      <c r="S23" s="169"/>
      <c r="T23" s="174"/>
      <c r="U23" s="177" t="s">
        <v>29</v>
      </c>
      <c r="V23" s="184">
        <v>2514</v>
      </c>
      <c r="W23" s="171"/>
      <c r="X23" s="172"/>
      <c r="Y23" s="172"/>
      <c r="Z23" s="172"/>
    </row>
    <row r="24" spans="1:26" x14ac:dyDescent="0.35">
      <c r="A24" s="169"/>
      <c r="B24" s="169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74"/>
      <c r="U24" s="177" t="s">
        <v>31</v>
      </c>
      <c r="V24" s="184">
        <v>313</v>
      </c>
      <c r="W24" s="171"/>
      <c r="X24" s="172"/>
      <c r="Y24" s="172"/>
      <c r="Z24" s="172"/>
    </row>
    <row r="25" spans="1:26" x14ac:dyDescent="0.35">
      <c r="A25" s="169"/>
      <c r="B25" s="169"/>
      <c r="C25" s="169"/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74"/>
      <c r="U25" s="177" t="s">
        <v>35</v>
      </c>
      <c r="V25" s="184">
        <v>35</v>
      </c>
      <c r="W25" s="171"/>
      <c r="X25" s="172"/>
      <c r="Y25" s="172"/>
      <c r="Z25" s="172"/>
    </row>
    <row r="26" spans="1:26" x14ac:dyDescent="0.35">
      <c r="A26" s="169"/>
      <c r="B26" s="169"/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74"/>
      <c r="U26" s="177" t="s">
        <v>39</v>
      </c>
      <c r="V26" s="184">
        <v>1</v>
      </c>
      <c r="W26" s="171"/>
      <c r="X26" s="172"/>
      <c r="Y26" s="172"/>
      <c r="Z26" s="172"/>
    </row>
    <row r="27" spans="1:26" x14ac:dyDescent="0.35">
      <c r="A27" s="169"/>
      <c r="B27" s="169"/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74"/>
      <c r="U27" s="177" t="s">
        <v>46</v>
      </c>
      <c r="V27" s="184">
        <v>145</v>
      </c>
      <c r="W27" s="171"/>
      <c r="X27" s="172"/>
      <c r="Y27" s="172"/>
      <c r="Z27" s="172"/>
    </row>
    <row r="28" spans="1:26" x14ac:dyDescent="0.35">
      <c r="A28" s="169"/>
      <c r="B28" s="169"/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169"/>
      <c r="S28" s="169"/>
      <c r="T28" s="174"/>
      <c r="U28" s="177"/>
      <c r="V28" s="184"/>
      <c r="W28" s="171"/>
      <c r="X28" s="172"/>
      <c r="Y28" s="172"/>
      <c r="Z28" s="172"/>
    </row>
    <row r="29" spans="1:26" x14ac:dyDescent="0.35">
      <c r="A29" s="169"/>
      <c r="B29" s="169"/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69"/>
      <c r="O29" s="169"/>
      <c r="P29" s="169"/>
      <c r="Q29" s="169"/>
      <c r="R29" s="169"/>
      <c r="S29" s="169"/>
      <c r="T29" s="174"/>
      <c r="U29" s="177" t="s">
        <v>47</v>
      </c>
      <c r="V29" s="184" t="s">
        <v>4</v>
      </c>
      <c r="W29" s="171"/>
      <c r="X29" s="172"/>
      <c r="Y29" s="172"/>
      <c r="Z29" s="172"/>
    </row>
    <row r="30" spans="1:26" x14ac:dyDescent="0.35">
      <c r="A30" s="169"/>
      <c r="B30" s="169"/>
      <c r="C30" s="169"/>
      <c r="D30" s="169"/>
      <c r="E30" s="169"/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74"/>
      <c r="U30" s="177"/>
      <c r="V30" s="184"/>
      <c r="W30" s="171"/>
      <c r="X30" s="172"/>
      <c r="Y30" s="172"/>
      <c r="Z30" s="172"/>
    </row>
    <row r="31" spans="1:26" x14ac:dyDescent="0.35">
      <c r="A31" s="169"/>
      <c r="B31" s="169"/>
      <c r="C31" s="169"/>
      <c r="D31" s="169"/>
      <c r="E31" s="169"/>
      <c r="F31" s="169"/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74"/>
      <c r="U31" s="177"/>
      <c r="V31" s="184"/>
      <c r="W31" s="171"/>
      <c r="X31" s="172"/>
      <c r="Y31" s="172"/>
      <c r="Z31" s="172"/>
    </row>
    <row r="32" spans="1:26" x14ac:dyDescent="0.35">
      <c r="A32" s="169"/>
      <c r="B32" s="169"/>
      <c r="C32" s="169"/>
      <c r="D32" s="169"/>
      <c r="E32" s="169"/>
      <c r="F32" s="169"/>
      <c r="G32" s="169"/>
      <c r="H32" s="169"/>
      <c r="I32" s="169"/>
      <c r="J32" s="169"/>
      <c r="K32" s="169"/>
      <c r="L32" s="169"/>
      <c r="M32" s="169"/>
      <c r="N32" s="169"/>
      <c r="O32" s="169"/>
      <c r="P32" s="169"/>
      <c r="Q32" s="169"/>
      <c r="R32" s="169"/>
      <c r="S32" s="169"/>
      <c r="T32" s="174"/>
      <c r="U32" s="177"/>
      <c r="V32" s="184"/>
      <c r="W32" s="171"/>
      <c r="X32" s="172"/>
      <c r="Y32" s="172"/>
      <c r="Z32" s="172"/>
    </row>
    <row r="33" spans="1:26" x14ac:dyDescent="0.35">
      <c r="A33" s="169"/>
      <c r="B33" s="169"/>
      <c r="C33" s="169"/>
      <c r="D33" s="169"/>
      <c r="E33" s="169"/>
      <c r="F33" s="169"/>
      <c r="G33" s="169"/>
      <c r="H33" s="169"/>
      <c r="I33" s="169"/>
      <c r="J33" s="169"/>
      <c r="K33" s="169"/>
      <c r="L33" s="169"/>
      <c r="M33" s="169"/>
      <c r="N33" s="169"/>
      <c r="O33" s="169"/>
      <c r="P33" s="169"/>
      <c r="Q33" s="169"/>
      <c r="R33" s="169"/>
      <c r="S33" s="169"/>
      <c r="T33" s="174"/>
      <c r="U33" s="177"/>
      <c r="V33" s="184"/>
      <c r="W33" s="171"/>
      <c r="X33" s="172"/>
      <c r="Y33" s="172"/>
      <c r="Z33" s="172"/>
    </row>
    <row r="34" spans="1:26" x14ac:dyDescent="0.35">
      <c r="A34" s="169"/>
      <c r="B34" s="169"/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  <c r="S34" s="169"/>
      <c r="T34" s="174"/>
      <c r="U34" s="177"/>
      <c r="V34" s="184"/>
      <c r="W34" s="171"/>
      <c r="X34" s="172"/>
      <c r="Y34" s="172"/>
      <c r="Z34" s="172"/>
    </row>
    <row r="35" spans="1:26" x14ac:dyDescent="0.35">
      <c r="A35" s="169"/>
      <c r="B35" s="169"/>
      <c r="C35" s="169"/>
      <c r="D35" s="169"/>
      <c r="E35" s="169"/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74"/>
      <c r="U35" s="171"/>
      <c r="V35" s="182"/>
      <c r="W35" s="171"/>
      <c r="X35" s="172"/>
      <c r="Y35" s="172"/>
      <c r="Z35" s="172"/>
    </row>
    <row r="36" spans="1:26" x14ac:dyDescent="0.35">
      <c r="A36" s="169"/>
      <c r="B36" s="169"/>
      <c r="C36" s="169"/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74"/>
      <c r="U36" s="171"/>
      <c r="V36" s="182"/>
      <c r="W36" s="171"/>
      <c r="X36" s="172"/>
      <c r="Y36" s="172"/>
      <c r="Z36" s="172"/>
    </row>
    <row r="37" spans="1:26" x14ac:dyDescent="0.35">
      <c r="A37" s="169"/>
      <c r="B37" s="169"/>
      <c r="C37" s="169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74"/>
      <c r="U37" s="178" t="s">
        <v>48</v>
      </c>
      <c r="V37" s="185" t="s">
        <v>4</v>
      </c>
      <c r="W37" s="171"/>
      <c r="X37" s="172"/>
      <c r="Y37" s="172"/>
      <c r="Z37" s="172"/>
    </row>
    <row r="38" spans="1:26" x14ac:dyDescent="0.35">
      <c r="A38" s="169"/>
      <c r="B38" s="169"/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169"/>
      <c r="S38" s="169"/>
      <c r="T38" s="174"/>
      <c r="U38" s="179" t="s">
        <v>49</v>
      </c>
      <c r="V38" s="186">
        <f>SUMIFS('MSI Report'!B40:B70,'MSI Report'!A40:A70,"&gt;="&amp;DATE(2025,12,1),'MSI Report'!A40:A70,"&lt;="&amp;DATE(2025,12,7))</f>
        <v>97</v>
      </c>
      <c r="W38" s="171"/>
      <c r="X38" s="172"/>
      <c r="Y38" s="172"/>
      <c r="Z38" s="172"/>
    </row>
    <row r="39" spans="1:26" x14ac:dyDescent="0.35">
      <c r="A39" s="169"/>
      <c r="B39" s="169"/>
      <c r="C39" s="169"/>
      <c r="D39" s="169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69"/>
      <c r="P39" s="169"/>
      <c r="Q39" s="169"/>
      <c r="R39" s="169"/>
      <c r="S39" s="169"/>
      <c r="T39" s="174"/>
      <c r="U39" s="179" t="s">
        <v>50</v>
      </c>
      <c r="V39" s="186">
        <f>SUMIFS('MSI Report'!B40:B70,'MSI Report'!A40:A70,"&gt;="&amp;DATE(2025,12,8),'MSI Report'!A40:A70,"&lt;="&amp;DATE(2025,12,14))</f>
        <v>117</v>
      </c>
      <c r="W39" s="171"/>
      <c r="X39" s="172"/>
      <c r="Y39" s="172"/>
      <c r="Z39" s="172"/>
    </row>
    <row r="40" spans="1:26" ht="15.5" customHeight="1" x14ac:dyDescent="0.35">
      <c r="A40" s="169"/>
      <c r="B40" s="175" t="s">
        <v>51</v>
      </c>
      <c r="C40" s="169"/>
      <c r="D40" s="169"/>
      <c r="E40" s="169"/>
      <c r="F40" s="169"/>
      <c r="G40" s="169"/>
      <c r="H40" s="175" t="s">
        <v>52</v>
      </c>
      <c r="I40" s="169"/>
      <c r="J40" s="169"/>
      <c r="K40" s="169"/>
      <c r="L40" s="169"/>
      <c r="M40" s="169"/>
      <c r="N40" s="169"/>
      <c r="O40" s="169"/>
      <c r="P40" s="169"/>
      <c r="Q40" s="169"/>
      <c r="R40" s="169"/>
      <c r="S40" s="169"/>
      <c r="T40" s="174"/>
      <c r="U40" s="179" t="s">
        <v>53</v>
      </c>
      <c r="V40" s="186">
        <f>SUMIFS('MSI Report'!B40:B70,'MSI Report'!A40:A70,"&gt;="&amp;DATE(2025,12,15),'MSI Report'!A40:A70,"&lt;="&amp;DATE(2025,12,21))</f>
        <v>149</v>
      </c>
      <c r="W40" s="171"/>
      <c r="X40" s="172"/>
      <c r="Y40" s="172"/>
      <c r="Z40" s="172"/>
    </row>
    <row r="41" spans="1:26" x14ac:dyDescent="0.35">
      <c r="A41" s="169"/>
      <c r="B41" s="169"/>
      <c r="C41" s="169"/>
      <c r="D41" s="169"/>
      <c r="E41" s="169"/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69"/>
      <c r="R41" s="169"/>
      <c r="S41" s="169"/>
      <c r="T41" s="174"/>
      <c r="U41" s="179" t="s">
        <v>54</v>
      </c>
      <c r="V41" s="186">
        <f>SUMIFS('MSI Report'!B40:B70,'MSI Report'!A40:A70,"&gt;="&amp;DATE(2025,12,22),'MSI Report'!A40:A70,"&lt;="&amp;DATE(2025,12,28))</f>
        <v>30</v>
      </c>
      <c r="W41" s="171"/>
      <c r="X41" s="172"/>
      <c r="Y41" s="172"/>
      <c r="Z41" s="172"/>
    </row>
    <row r="42" spans="1:26" x14ac:dyDescent="0.35">
      <c r="A42" s="169"/>
      <c r="B42" s="169"/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69"/>
      <c r="S42" s="169"/>
      <c r="T42" s="174"/>
      <c r="U42" s="179" t="s">
        <v>55</v>
      </c>
      <c r="V42" s="186">
        <f>SUMIFS('MSI Report'!B40:B70,'MSI Report'!A40:A70,"&gt;="&amp;DATE(2025,12,29),'MSI Report'!A40:A70,"&lt;="&amp;DATE(2025,12,31))</f>
        <v>23</v>
      </c>
      <c r="W42" s="171"/>
      <c r="X42" s="172"/>
      <c r="Y42" s="172"/>
      <c r="Z42" s="172"/>
    </row>
    <row r="43" spans="1:26" x14ac:dyDescent="0.35">
      <c r="A43" s="169"/>
      <c r="B43" s="169"/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T43" s="174"/>
      <c r="U43" s="171"/>
      <c r="V43" s="182"/>
      <c r="W43" s="171"/>
      <c r="X43" s="172"/>
      <c r="Y43" s="172"/>
      <c r="Z43" s="172"/>
    </row>
    <row r="44" spans="1:26" x14ac:dyDescent="0.35">
      <c r="A44" s="169"/>
      <c r="B44" s="169"/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T44" s="174"/>
      <c r="U44" s="171"/>
      <c r="V44" s="182"/>
      <c r="W44" s="171"/>
      <c r="X44" s="172"/>
      <c r="Y44" s="172"/>
      <c r="Z44" s="172"/>
    </row>
    <row r="45" spans="1:26" x14ac:dyDescent="0.35">
      <c r="A45" s="169"/>
      <c r="B45" s="169"/>
      <c r="C45" s="169"/>
      <c r="D45" s="169"/>
      <c r="E45" s="169"/>
      <c r="F45" s="169"/>
      <c r="G45" s="169"/>
      <c r="H45" s="169"/>
      <c r="I45" s="169"/>
      <c r="J45" s="169"/>
      <c r="K45" s="169"/>
      <c r="L45" s="169"/>
      <c r="M45" s="169"/>
      <c r="N45" s="169"/>
      <c r="O45" s="169"/>
      <c r="P45" s="169"/>
      <c r="Q45" s="169"/>
      <c r="R45" s="169"/>
      <c r="S45" s="169"/>
      <c r="T45" s="174"/>
      <c r="U45" s="180"/>
      <c r="V45" s="182"/>
      <c r="W45" s="171"/>
      <c r="X45" s="172"/>
      <c r="Y45" s="172"/>
      <c r="Z45" s="172"/>
    </row>
    <row r="46" spans="1:26" x14ac:dyDescent="0.35">
      <c r="A46" s="169"/>
      <c r="B46" s="169"/>
      <c r="C46" s="169"/>
      <c r="D46" s="169"/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69"/>
      <c r="S46" s="169"/>
      <c r="T46" s="174"/>
      <c r="U46" s="180"/>
      <c r="V46" s="182"/>
      <c r="W46" s="171"/>
      <c r="X46" s="172"/>
      <c r="Y46" s="172"/>
      <c r="Z46" s="172"/>
    </row>
    <row r="47" spans="1:26" x14ac:dyDescent="0.35">
      <c r="A47" s="169"/>
      <c r="B47" s="169"/>
      <c r="C47" s="169"/>
      <c r="D47" s="169"/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T47" s="174"/>
      <c r="U47" s="180"/>
      <c r="V47" s="182"/>
      <c r="W47" s="171"/>
      <c r="X47" s="172"/>
      <c r="Y47" s="172"/>
      <c r="Z47" s="172"/>
    </row>
    <row r="48" spans="1:26" x14ac:dyDescent="0.35">
      <c r="A48" s="169"/>
      <c r="B48" s="169"/>
      <c r="C48" s="169"/>
      <c r="D48" s="169"/>
      <c r="E48" s="169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74"/>
      <c r="U48" s="180"/>
      <c r="V48" s="182"/>
      <c r="W48" s="171"/>
      <c r="X48" s="172"/>
      <c r="Y48" s="172"/>
      <c r="Z48" s="172"/>
    </row>
    <row r="49" spans="1:26" x14ac:dyDescent="0.35">
      <c r="A49" s="169"/>
      <c r="B49" s="169"/>
      <c r="C49" s="169"/>
      <c r="D49" s="169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  <c r="S49" s="169"/>
      <c r="T49" s="174"/>
      <c r="U49" s="180"/>
      <c r="V49" s="182"/>
      <c r="W49" s="171"/>
      <c r="X49" s="172"/>
      <c r="Y49" s="172"/>
      <c r="Z49" s="172"/>
    </row>
    <row r="50" spans="1:26" x14ac:dyDescent="0.35">
      <c r="A50" s="169"/>
      <c r="B50" s="169"/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69"/>
      <c r="R50" s="169"/>
      <c r="S50" s="169"/>
      <c r="T50" s="174"/>
      <c r="U50" s="180"/>
      <c r="V50" s="182"/>
      <c r="W50" s="171"/>
      <c r="X50" s="172"/>
      <c r="Y50" s="172"/>
      <c r="Z50" s="172"/>
    </row>
    <row r="51" spans="1:26" x14ac:dyDescent="0.35">
      <c r="A51" s="169"/>
      <c r="B51" s="169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69"/>
      <c r="N51" s="169"/>
      <c r="O51" s="169"/>
      <c r="P51" s="169"/>
      <c r="Q51" s="169"/>
      <c r="R51" s="169"/>
      <c r="S51" s="169"/>
      <c r="T51" s="174"/>
      <c r="U51" s="180"/>
      <c r="V51" s="182"/>
      <c r="W51" s="171"/>
      <c r="X51" s="172"/>
      <c r="Y51" s="172"/>
      <c r="Z51" s="172"/>
    </row>
    <row r="52" spans="1:26" x14ac:dyDescent="0.35">
      <c r="A52" s="169"/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74"/>
      <c r="U52" s="180"/>
      <c r="V52" s="182"/>
      <c r="W52" s="171"/>
      <c r="X52" s="172"/>
      <c r="Y52" s="172"/>
      <c r="Z52" s="172"/>
    </row>
    <row r="53" spans="1:26" x14ac:dyDescent="0.35">
      <c r="A53" s="169"/>
      <c r="B53" s="169"/>
      <c r="C53" s="169"/>
      <c r="D53" s="169"/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P53" s="169"/>
      <c r="Q53" s="169"/>
      <c r="R53" s="169"/>
      <c r="S53" s="169"/>
      <c r="T53" s="174"/>
      <c r="U53" s="180"/>
      <c r="V53" s="182"/>
      <c r="W53" s="171"/>
      <c r="X53" s="172"/>
      <c r="Y53" s="172"/>
      <c r="Z53" s="172"/>
    </row>
    <row r="54" spans="1:26" x14ac:dyDescent="0.35">
      <c r="A54" s="169"/>
      <c r="B54" s="169"/>
      <c r="C54" s="169"/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9"/>
      <c r="Q54" s="169"/>
      <c r="R54" s="169"/>
      <c r="S54" s="169"/>
      <c r="T54" s="174"/>
      <c r="U54" s="180"/>
      <c r="V54" s="182"/>
      <c r="W54" s="171"/>
      <c r="X54" s="172"/>
      <c r="Y54" s="172"/>
      <c r="Z54" s="172"/>
    </row>
    <row r="55" spans="1:26" x14ac:dyDescent="0.35">
      <c r="A55" s="169"/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74"/>
      <c r="U55" s="180"/>
      <c r="V55" s="182"/>
      <c r="W55" s="171"/>
      <c r="X55" s="172"/>
      <c r="Y55" s="172"/>
      <c r="Z55" s="172"/>
    </row>
    <row r="56" spans="1:26" x14ac:dyDescent="0.35">
      <c r="A56" s="169"/>
      <c r="B56" s="169"/>
      <c r="C56" s="169"/>
      <c r="D56" s="169"/>
      <c r="E56" s="169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 s="169"/>
      <c r="T56" s="174"/>
      <c r="U56" s="180"/>
      <c r="V56" s="182"/>
      <c r="W56" s="171"/>
      <c r="X56" s="172"/>
      <c r="Y56" s="172"/>
      <c r="Z56" s="172"/>
    </row>
    <row r="57" spans="1:26" x14ac:dyDescent="0.35">
      <c r="A57" s="169"/>
      <c r="B57" s="169"/>
      <c r="C57" s="169"/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  <c r="S57" s="169"/>
      <c r="T57" s="174"/>
      <c r="U57" s="180"/>
      <c r="V57" s="182"/>
      <c r="W57" s="171"/>
      <c r="X57" s="172"/>
      <c r="Y57" s="172"/>
      <c r="Z57" s="172"/>
    </row>
    <row r="58" spans="1:26" ht="15.5" customHeight="1" x14ac:dyDescent="0.35">
      <c r="A58" s="169"/>
      <c r="B58" s="181" t="s">
        <v>56</v>
      </c>
      <c r="C58" s="169"/>
      <c r="D58" s="169"/>
      <c r="E58" s="169"/>
      <c r="F58" s="169"/>
      <c r="G58" s="169"/>
      <c r="H58" s="169"/>
      <c r="I58" s="169"/>
      <c r="J58" s="169"/>
      <c r="K58" s="181" t="s">
        <v>57</v>
      </c>
      <c r="L58" s="169"/>
      <c r="M58" s="169"/>
      <c r="N58" s="169"/>
      <c r="O58" s="169"/>
      <c r="P58" s="169"/>
      <c r="Q58" s="169"/>
      <c r="R58" s="169"/>
      <c r="S58" s="169"/>
      <c r="T58" s="174"/>
      <c r="U58" s="180"/>
      <c r="V58" s="182"/>
      <c r="W58" s="171"/>
      <c r="X58" s="172"/>
      <c r="Y58" s="172"/>
      <c r="Z58" s="172"/>
    </row>
    <row r="59" spans="1:26" x14ac:dyDescent="0.35">
      <c r="A59" s="169"/>
      <c r="B59" s="169"/>
      <c r="C59" s="169"/>
      <c r="D59" s="169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74"/>
      <c r="U59" s="180"/>
      <c r="V59" s="182"/>
      <c r="W59" s="171"/>
      <c r="X59" s="172"/>
      <c r="Y59" s="172"/>
      <c r="Z59" s="172"/>
    </row>
    <row r="60" spans="1:26" x14ac:dyDescent="0.35">
      <c r="A60" s="169"/>
      <c r="B60" s="169"/>
      <c r="C60" s="169"/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  <c r="S60" s="169"/>
      <c r="T60" s="174"/>
      <c r="U60" s="180"/>
      <c r="V60" s="182"/>
      <c r="W60" s="171"/>
      <c r="X60" s="172"/>
      <c r="Y60" s="172"/>
      <c r="Z60" s="172"/>
    </row>
    <row r="61" spans="1:26" x14ac:dyDescent="0.35">
      <c r="A61" s="16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74"/>
      <c r="U61" s="180"/>
      <c r="V61" s="182"/>
      <c r="W61" s="171"/>
      <c r="X61" s="172"/>
      <c r="Y61" s="172"/>
      <c r="Z61" s="172"/>
    </row>
    <row r="62" spans="1:26" x14ac:dyDescent="0.35">
      <c r="A62" s="169"/>
      <c r="B62" s="169"/>
      <c r="C62" s="169"/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P62" s="169"/>
      <c r="Q62" s="169"/>
      <c r="R62" s="169"/>
      <c r="S62" s="169"/>
      <c r="T62" s="174"/>
      <c r="U62" s="180"/>
      <c r="V62" s="182"/>
      <c r="W62" s="171"/>
      <c r="X62" s="172"/>
      <c r="Y62" s="172"/>
      <c r="Z62" s="172"/>
    </row>
    <row r="63" spans="1:26" x14ac:dyDescent="0.35">
      <c r="A63" s="169"/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 s="169"/>
      <c r="T63" s="174"/>
      <c r="U63" s="180"/>
      <c r="V63" s="182"/>
      <c r="W63" s="171"/>
      <c r="X63" s="172"/>
      <c r="Y63" s="172"/>
      <c r="Z63" s="172"/>
    </row>
    <row r="64" spans="1:26" x14ac:dyDescent="0.35">
      <c r="A64" s="169"/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69"/>
      <c r="R64" s="169"/>
      <c r="S64" s="169"/>
      <c r="T64" s="174"/>
      <c r="U64" s="180"/>
      <c r="V64" s="182"/>
      <c r="W64" s="171"/>
      <c r="X64" s="172"/>
      <c r="Y64" s="172"/>
      <c r="Z64" s="172"/>
    </row>
    <row r="65" spans="1:26" x14ac:dyDescent="0.35">
      <c r="A65" s="169"/>
      <c r="B65" s="169"/>
      <c r="C65" s="169"/>
      <c r="D65" s="169"/>
      <c r="E65" s="169"/>
      <c r="F65" s="169"/>
      <c r="G65" s="169"/>
      <c r="H65" s="169"/>
      <c r="I65" s="169"/>
      <c r="J65" s="169"/>
      <c r="K65" s="169"/>
      <c r="L65" s="169"/>
      <c r="M65" s="169"/>
      <c r="N65" s="169"/>
      <c r="O65" s="169"/>
      <c r="P65" s="169"/>
      <c r="Q65" s="169"/>
      <c r="R65" s="169"/>
      <c r="S65" s="169"/>
      <c r="T65" s="174"/>
      <c r="U65" s="180"/>
      <c r="V65" s="182"/>
      <c r="W65" s="171"/>
      <c r="X65" s="172"/>
      <c r="Y65" s="172"/>
      <c r="Z65" s="172"/>
    </row>
    <row r="66" spans="1:26" x14ac:dyDescent="0.35">
      <c r="A66" s="169"/>
      <c r="B66" s="169"/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69"/>
      <c r="R66" s="169"/>
      <c r="S66" s="169"/>
      <c r="T66" s="174"/>
      <c r="U66" s="180"/>
      <c r="V66" s="182"/>
      <c r="W66" s="171"/>
      <c r="X66" s="172"/>
      <c r="Y66" s="172"/>
      <c r="Z66" s="172"/>
    </row>
    <row r="67" spans="1:26" x14ac:dyDescent="0.35">
      <c r="A67" s="169"/>
      <c r="B67" s="169"/>
      <c r="C67" s="169"/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69"/>
      <c r="R67" s="169"/>
      <c r="S67" s="169"/>
      <c r="T67" s="174"/>
      <c r="U67" s="180"/>
      <c r="V67" s="182"/>
      <c r="W67" s="171"/>
      <c r="X67" s="172"/>
      <c r="Y67" s="172"/>
      <c r="Z67" s="172"/>
    </row>
    <row r="68" spans="1:26" x14ac:dyDescent="0.35">
      <c r="A68" s="169"/>
      <c r="B68" s="169"/>
      <c r="C68" s="169"/>
      <c r="D68" s="169"/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69"/>
      <c r="R68" s="169"/>
      <c r="S68" s="169"/>
      <c r="T68" s="174"/>
      <c r="U68" s="180"/>
      <c r="V68" s="182"/>
      <c r="W68" s="171"/>
      <c r="X68" s="172"/>
      <c r="Y68" s="172"/>
      <c r="Z68" s="172"/>
    </row>
    <row r="69" spans="1:26" x14ac:dyDescent="0.35">
      <c r="A69" s="169"/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69"/>
      <c r="Q69" s="169"/>
      <c r="R69" s="169"/>
      <c r="S69" s="169"/>
      <c r="T69" s="174"/>
      <c r="U69" s="180"/>
      <c r="V69" s="182"/>
      <c r="W69" s="171"/>
      <c r="X69" s="172"/>
      <c r="Y69" s="172"/>
      <c r="Z69" s="172"/>
    </row>
    <row r="70" spans="1:26" x14ac:dyDescent="0.35">
      <c r="A70" s="169"/>
      <c r="B70" s="169"/>
      <c r="C70" s="169"/>
      <c r="D70" s="169"/>
      <c r="E70" s="169"/>
      <c r="F70" s="169"/>
      <c r="G70" s="169"/>
      <c r="H70" s="169"/>
      <c r="I70" s="169"/>
      <c r="J70" s="169"/>
      <c r="K70" s="169"/>
      <c r="L70" s="169"/>
      <c r="M70" s="169"/>
      <c r="N70" s="169"/>
      <c r="O70" s="169"/>
      <c r="P70" s="169"/>
      <c r="Q70" s="169"/>
      <c r="R70" s="169"/>
      <c r="S70" s="169"/>
      <c r="T70" s="174"/>
      <c r="U70" s="180"/>
      <c r="V70" s="182"/>
      <c r="W70" s="171"/>
      <c r="X70" s="172"/>
      <c r="Y70" s="172"/>
      <c r="Z70" s="172"/>
    </row>
    <row r="71" spans="1:26" x14ac:dyDescent="0.35">
      <c r="A71" s="169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74"/>
      <c r="U71" s="180"/>
      <c r="V71" s="182"/>
      <c r="W71" s="171"/>
      <c r="X71" s="172"/>
      <c r="Y71" s="172"/>
      <c r="Z71" s="172"/>
    </row>
    <row r="72" spans="1:26" x14ac:dyDescent="0.35">
      <c r="A72" s="169"/>
      <c r="B72" s="169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74"/>
      <c r="U72" s="180"/>
      <c r="V72" s="182"/>
      <c r="W72" s="171"/>
      <c r="X72" s="172"/>
      <c r="Y72" s="172"/>
      <c r="Z72" s="172"/>
    </row>
    <row r="73" spans="1:26" x14ac:dyDescent="0.35">
      <c r="A73" s="169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74"/>
      <c r="U73" s="180"/>
      <c r="V73" s="182"/>
      <c r="W73" s="171"/>
      <c r="X73" s="172"/>
      <c r="Y73" s="172"/>
      <c r="Z73" s="172"/>
    </row>
    <row r="74" spans="1:26" x14ac:dyDescent="0.35">
      <c r="A74" s="169"/>
      <c r="B74" s="169"/>
      <c r="C74" s="169"/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74"/>
      <c r="U74" s="180"/>
      <c r="V74" s="182"/>
      <c r="W74" s="171"/>
      <c r="X74" s="172"/>
      <c r="Y74" s="172"/>
      <c r="Z74" s="172"/>
    </row>
    <row r="75" spans="1:26" x14ac:dyDescent="0.35">
      <c r="A75" s="169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74"/>
      <c r="U75" s="171"/>
      <c r="V75" s="182"/>
      <c r="W75" s="171"/>
      <c r="X75" s="172"/>
      <c r="Y75" s="172"/>
      <c r="Z75" s="172"/>
    </row>
    <row r="76" spans="1:26" x14ac:dyDescent="0.35">
      <c r="A76" s="169"/>
      <c r="B76" s="169"/>
      <c r="C76" s="169"/>
      <c r="D76" s="169"/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74"/>
      <c r="U76" s="171"/>
      <c r="V76" s="182"/>
      <c r="W76" s="171"/>
      <c r="X76" s="172"/>
      <c r="Y76" s="172"/>
      <c r="Z76" s="172"/>
    </row>
    <row r="77" spans="1:26" x14ac:dyDescent="0.35">
      <c r="A77" s="169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74"/>
      <c r="U77" s="171"/>
      <c r="V77" s="182"/>
      <c r="W77" s="171"/>
      <c r="X77" s="172"/>
      <c r="Y77" s="172"/>
      <c r="Z77" s="172"/>
    </row>
    <row r="78" spans="1:26" x14ac:dyDescent="0.35">
      <c r="A78" s="169"/>
      <c r="B78" s="169"/>
      <c r="C78" s="169"/>
      <c r="D78" s="169"/>
      <c r="E78" s="169"/>
      <c r="F78" s="169"/>
      <c r="G78" s="169"/>
      <c r="H78" s="169"/>
      <c r="I78" s="169"/>
      <c r="K78" s="169"/>
      <c r="L78" s="169"/>
      <c r="M78" s="169"/>
      <c r="N78" s="169"/>
      <c r="O78" s="169"/>
      <c r="P78" s="169"/>
      <c r="Q78" s="169"/>
      <c r="R78" s="169"/>
      <c r="S78" s="169"/>
      <c r="T78" s="174"/>
      <c r="U78" s="171"/>
      <c r="V78" s="182"/>
      <c r="W78" s="171"/>
      <c r="X78" s="172"/>
      <c r="Y78" s="172"/>
      <c r="Z78" s="172"/>
    </row>
    <row r="79" spans="1:26" x14ac:dyDescent="0.35">
      <c r="A79" s="169"/>
      <c r="B79" s="169"/>
      <c r="C79" s="169"/>
      <c r="D79" s="169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74"/>
      <c r="U79" s="171"/>
      <c r="V79" s="182"/>
      <c r="W79" s="171"/>
      <c r="X79" s="172"/>
      <c r="Y79" s="172"/>
      <c r="Z79" s="172"/>
    </row>
    <row r="80" spans="1:26" x14ac:dyDescent="0.35">
      <c r="U80" s="171"/>
      <c r="V80" s="182"/>
      <c r="W80" s="171"/>
      <c r="X80" s="172"/>
      <c r="Y80" s="172"/>
      <c r="Z80" s="172"/>
    </row>
  </sheetData>
  <mergeCells count="12">
    <mergeCell ref="B6:C6"/>
    <mergeCell ref="E6:F6"/>
    <mergeCell ref="H6:I6"/>
    <mergeCell ref="N6:O6"/>
    <mergeCell ref="B5:C5"/>
    <mergeCell ref="K6:L6"/>
    <mergeCell ref="B2:R2"/>
    <mergeCell ref="E5:F5"/>
    <mergeCell ref="H5:I5"/>
    <mergeCell ref="K5:L5"/>
    <mergeCell ref="B3:R3"/>
    <mergeCell ref="N5:O5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U102"/>
  <sheetViews>
    <sheetView showGridLines="0" zoomScale="81" zoomScaleNormal="81" workbookViewId="0">
      <selection activeCell="C6" sqref="C6"/>
    </sheetView>
  </sheetViews>
  <sheetFormatPr defaultRowHeight="14.5" x14ac:dyDescent="0.35"/>
  <cols>
    <col min="1" max="1" width="28.453125" customWidth="1"/>
    <col min="2" max="2" width="17.81640625" customWidth="1"/>
    <col min="3" max="3" width="12.36328125" bestFit="1" customWidth="1"/>
    <col min="4" max="4" width="9.453125" bestFit="1" customWidth="1"/>
    <col min="5" max="5" width="14.6328125" customWidth="1"/>
    <col min="6" max="6" width="13.6328125" bestFit="1" customWidth="1"/>
    <col min="7" max="7" width="14.453125" customWidth="1"/>
    <col min="8" max="8" width="34.81640625" customWidth="1"/>
    <col min="9" max="9" width="14.81640625" bestFit="1" customWidth="1"/>
    <col min="10" max="10" width="14.26953125" bestFit="1" customWidth="1"/>
    <col min="15" max="15" width="36.36328125" style="125" customWidth="1"/>
  </cols>
  <sheetData>
    <row r="1" spans="1:21" ht="21" customHeight="1" x14ac:dyDescent="0.35">
      <c r="A1" s="200" t="s">
        <v>58</v>
      </c>
      <c r="B1" s="188"/>
      <c r="C1" s="188"/>
      <c r="D1" s="188"/>
      <c r="E1" s="188"/>
      <c r="F1" s="188"/>
      <c r="G1" s="188"/>
      <c r="H1" s="188"/>
      <c r="I1" s="188"/>
      <c r="J1" s="81"/>
      <c r="K1" s="81"/>
      <c r="L1" s="81"/>
      <c r="M1" s="81"/>
      <c r="N1" s="81"/>
      <c r="O1" s="82"/>
      <c r="P1" s="80"/>
      <c r="Q1" s="80"/>
      <c r="R1" s="80"/>
      <c r="S1" s="80"/>
      <c r="T1" s="80"/>
      <c r="U1" s="80"/>
    </row>
    <row r="2" spans="1:21" ht="14.5" customHeight="1" x14ac:dyDescent="0.35">
      <c r="A2" s="188"/>
      <c r="B2" s="188"/>
      <c r="C2" s="188"/>
      <c r="D2" s="188"/>
      <c r="E2" s="188"/>
      <c r="F2" s="188"/>
      <c r="G2" s="188"/>
      <c r="H2" s="188"/>
      <c r="I2" s="188"/>
      <c r="J2" s="81"/>
      <c r="K2" s="81"/>
      <c r="L2" s="81"/>
      <c r="M2" s="81"/>
      <c r="N2" s="81"/>
      <c r="O2" s="83"/>
      <c r="P2" s="80"/>
      <c r="Q2" s="80"/>
      <c r="R2" s="80"/>
      <c r="S2" s="80"/>
      <c r="T2" s="80"/>
      <c r="U2" s="80"/>
    </row>
    <row r="3" spans="1:21" ht="15" customHeight="1" thickBot="1" x14ac:dyDescent="0.4">
      <c r="O3" s="84"/>
    </row>
    <row r="4" spans="1:21" ht="16" customHeight="1" thickBot="1" x14ac:dyDescent="0.4">
      <c r="B4" s="201" t="s">
        <v>59</v>
      </c>
      <c r="C4" s="202"/>
      <c r="D4" s="202"/>
      <c r="E4" s="202"/>
      <c r="F4" s="202"/>
      <c r="G4" s="203"/>
      <c r="H4" s="85"/>
      <c r="I4" s="85"/>
      <c r="O4" s="84"/>
    </row>
    <row r="5" spans="1:21" x14ac:dyDescent="0.35">
      <c r="B5" s="86" t="s">
        <v>8</v>
      </c>
      <c r="C5" s="87" t="s">
        <v>60</v>
      </c>
      <c r="D5" s="88" t="s">
        <v>10</v>
      </c>
      <c r="E5" s="89" t="s">
        <v>61</v>
      </c>
      <c r="F5" s="90" t="s">
        <v>11</v>
      </c>
      <c r="G5" s="91" t="s">
        <v>62</v>
      </c>
      <c r="H5" s="92"/>
      <c r="I5" s="93"/>
      <c r="O5" s="94"/>
    </row>
    <row r="6" spans="1:21" ht="26.5" customHeight="1" thickBot="1" x14ac:dyDescent="0.65">
      <c r="B6" s="95">
        <f>B10</f>
        <v>416</v>
      </c>
      <c r="C6" s="96">
        <f>B11</f>
        <v>416</v>
      </c>
      <c r="D6" s="97">
        <f>B12</f>
        <v>0</v>
      </c>
      <c r="E6" s="98">
        <f>COUNTIFS('Monthly Report Dec-25'!V:V,"Repair",'Monthly Report Dec-25'!W:W,"&gt;="&amp;DATE(2025,12,1),'Monthly Report Dec-25'!W:W,"&lt;="&amp;DATE(2025,12,31))</f>
        <v>293</v>
      </c>
      <c r="F6" s="99">
        <f>D10</f>
        <v>1</v>
      </c>
      <c r="G6" s="100">
        <f>ROUND(AVERAGEIF('Monthly Report Dec-25'!X:X,"&gt;=0"),1)</f>
        <v>22.2</v>
      </c>
      <c r="H6" s="101"/>
      <c r="I6" s="102"/>
      <c r="O6" s="84"/>
    </row>
    <row r="7" spans="1:21" x14ac:dyDescent="0.35">
      <c r="O7" s="84"/>
    </row>
    <row r="8" spans="1:21" ht="17.5" customHeight="1" thickBot="1" x14ac:dyDescent="0.4">
      <c r="A8" s="198" t="s">
        <v>63</v>
      </c>
      <c r="B8" s="188"/>
      <c r="C8" s="188"/>
      <c r="D8" s="188"/>
      <c r="O8" s="84"/>
    </row>
    <row r="9" spans="1:21" x14ac:dyDescent="0.35">
      <c r="A9" s="103" t="s">
        <v>64</v>
      </c>
      <c r="B9" s="104" t="s">
        <v>65</v>
      </c>
      <c r="C9" s="104" t="s">
        <v>64</v>
      </c>
      <c r="D9" s="105" t="s">
        <v>65</v>
      </c>
      <c r="O9" s="84"/>
    </row>
    <row r="10" spans="1:21" x14ac:dyDescent="0.35">
      <c r="A10" s="106" t="s">
        <v>66</v>
      </c>
      <c r="B10" s="107">
        <f>SUM(B11,B12)</f>
        <v>416</v>
      </c>
      <c r="C10" s="108" t="s">
        <v>11</v>
      </c>
      <c r="D10" s="109">
        <f>B11/B10</f>
        <v>1</v>
      </c>
      <c r="O10" s="84"/>
    </row>
    <row r="11" spans="1:21" x14ac:dyDescent="0.35">
      <c r="A11" s="110" t="s">
        <v>9</v>
      </c>
      <c r="B11" s="111">
        <f>COUNTIFS('Monthly Report Dec-25'!F:F,"Closed",'Monthly Report Dec-25'!W:W,"&gt;="&amp;DATE(2025,12,1),'Monthly Report Dec-25'!W:W,"&lt;="&amp;DATE(2025,12,31))</f>
        <v>416</v>
      </c>
      <c r="C11" s="108" t="s">
        <v>67</v>
      </c>
      <c r="D11" s="112">
        <f>B12/B10</f>
        <v>0</v>
      </c>
      <c r="O11" s="84"/>
    </row>
    <row r="12" spans="1:21" x14ac:dyDescent="0.35">
      <c r="A12" s="113" t="s">
        <v>68</v>
      </c>
      <c r="B12" s="111">
        <f>COUNTIFS('Monthly Report Dec-25'!F:F,"WIP",'Monthly Report Dec-25'!A:A,"&gt;="&amp;DATE(2025,12,1),'Monthly Report Dec-25'!A:A,"&lt;="&amp;DATE(2025,12,31))</f>
        <v>0</v>
      </c>
      <c r="D12" s="114"/>
      <c r="E12" s="115"/>
      <c r="O12" s="84"/>
    </row>
    <row r="13" spans="1:21" ht="15" customHeight="1" thickBot="1" x14ac:dyDescent="0.4">
      <c r="A13" s="116" t="s">
        <v>69</v>
      </c>
      <c r="B13" s="117">
        <f>COUNTA(_xlfn.UNIQUE('Monthly Report Dec-25'!L2:L417))</f>
        <v>8</v>
      </c>
      <c r="C13" s="118"/>
      <c r="D13" s="119"/>
      <c r="O13" s="84"/>
    </row>
    <row r="14" spans="1:21" x14ac:dyDescent="0.35">
      <c r="F14" s="120"/>
      <c r="O14" s="84"/>
    </row>
    <row r="15" spans="1:21" x14ac:dyDescent="0.35">
      <c r="F15" s="120"/>
      <c r="O15" s="84"/>
    </row>
    <row r="16" spans="1:21" ht="15" customHeight="1" thickBot="1" x14ac:dyDescent="0.4">
      <c r="A16" s="121" t="s">
        <v>70</v>
      </c>
      <c r="H16" s="121" t="s">
        <v>71</v>
      </c>
      <c r="O16" s="84"/>
    </row>
    <row r="17" spans="1:15" ht="15.5" customHeight="1" x14ac:dyDescent="0.35">
      <c r="A17" s="204" t="s">
        <v>72</v>
      </c>
      <c r="B17" s="205"/>
      <c r="C17" s="205"/>
      <c r="D17" s="205"/>
      <c r="E17" s="206"/>
      <c r="H17" s="204" t="s">
        <v>73</v>
      </c>
      <c r="I17" s="205"/>
      <c r="J17" s="206"/>
      <c r="O17" s="84"/>
    </row>
    <row r="18" spans="1:15" x14ac:dyDescent="0.35">
      <c r="A18" s="122" t="s">
        <v>3</v>
      </c>
      <c r="B18" s="122" t="s">
        <v>4</v>
      </c>
      <c r="C18" s="122" t="s">
        <v>60</v>
      </c>
      <c r="D18" s="122" t="s">
        <v>74</v>
      </c>
      <c r="E18" s="123"/>
      <c r="H18" s="124" t="s">
        <v>23</v>
      </c>
      <c r="I18" s="122" t="s">
        <v>4</v>
      </c>
      <c r="J18" s="123" t="s">
        <v>75</v>
      </c>
      <c r="O18" s="125" t="e">
        <f>COUNTIFS(#REF!,H19,#REF!,"Closed",#REF!,"&gt;="&amp;DATE(2026,4,1),#REF!,"&lt;="&amp;DATE(2026,4,30))</f>
        <v>#REF!</v>
      </c>
    </row>
    <row r="19" spans="1:15" x14ac:dyDescent="0.35">
      <c r="A19" s="159" t="s">
        <v>21</v>
      </c>
      <c r="B19" s="127">
        <f>COUNTIF('Monthly Report Dec-25'!$C$2:$C$417,A19)</f>
        <v>98</v>
      </c>
      <c r="C19" s="111">
        <f>COUNTIFS('Monthly Report Dec-25'!$C:$C,A19,'Monthly Report Dec-25'!$F:$F,"Closed",'Monthly Report Dec-25'!$W:$W,"&gt;="&amp;DATE(2025,12,1),'Monthly Report Dec-25'!$W:$W,"&lt;="&amp;DATE(2025,12,31))</f>
        <v>98</v>
      </c>
      <c r="D19" s="111">
        <f>COUNTIFS('Monthly Report Dec-25'!$C:$C,B19,'Monthly Report Dec-25'!$F:$F,"WIP",'Monthly Report Dec-25'!$W:$W,"&gt;="&amp;DATE(2025,12,1),'Monthly Report Dec-25'!$W:$W,"&lt;="&amp;DATE(2025,12,31))</f>
        <v>0</v>
      </c>
      <c r="E19" s="128"/>
      <c r="H19" s="161" t="s">
        <v>28</v>
      </c>
      <c r="I19" s="127">
        <f>COUNTIFS('Monthly Report Dec-25'!$L:$L,H19,'Monthly Report Dec-25'!$F:$F,"Closed",'Monthly Report Dec-25'!$W:$W,"&gt;="&amp;DATE(2025,12,1),'Monthly Report Dec-25'!$W:$W,"&lt;="&amp;DATE(2025,12,31))</f>
        <v>133</v>
      </c>
      <c r="J19" s="129">
        <f t="shared" ref="J19:J26" si="0">I19/$I$27</f>
        <v>0.31971153846153844</v>
      </c>
    </row>
    <row r="20" spans="1:15" x14ac:dyDescent="0.35">
      <c r="A20" s="134" t="s">
        <v>76</v>
      </c>
      <c r="B20" s="127">
        <f>COUNTIF('Monthly Report Dec-25'!$C$2:$C$417,A20)</f>
        <v>2</v>
      </c>
      <c r="C20" s="111">
        <f>COUNTIFS('Monthly Report Dec-25'!$C:$C,A20,'Monthly Report Dec-25'!$F:$F,"Closed",'Monthly Report Dec-25'!$W:$W,"&gt;="&amp;DATE(2025,12,1),'Monthly Report Dec-25'!$W:$W,"&lt;="&amp;DATE(2025,12,31))</f>
        <v>2</v>
      </c>
      <c r="D20" s="111">
        <f>COUNTIFS('Monthly Report Dec-25'!$C:$C,B20,'Monthly Report Dec-25'!$F:$F,"WIP",'Monthly Report Dec-25'!$W:$W,"&gt;="&amp;DATE(2025,12,1),'Monthly Report Dec-25'!$W:$W,"&lt;="&amp;DATE(2025,12,31))</f>
        <v>0</v>
      </c>
      <c r="E20" s="128"/>
      <c r="H20" s="162" t="s">
        <v>40</v>
      </c>
      <c r="I20" s="127">
        <f>COUNTIFS('Monthly Report Dec-25'!$L:$L,H20,'Monthly Report Dec-25'!$F:$F,"Closed",'Monthly Report Dec-25'!$W:$W,"&gt;="&amp;DATE(2025,12,1),'Monthly Report Dec-25'!$W:$W,"&lt;="&amp;DATE(2025,12,31))</f>
        <v>4</v>
      </c>
      <c r="J20" s="129">
        <f t="shared" si="0"/>
        <v>9.6153846153846159E-3</v>
      </c>
    </row>
    <row r="21" spans="1:15" x14ac:dyDescent="0.35">
      <c r="A21" s="151" t="s">
        <v>77</v>
      </c>
      <c r="B21" s="127">
        <f>COUNTIF('Monthly Report Dec-25'!$C$2:$C$417,A21)</f>
        <v>5</v>
      </c>
      <c r="C21" s="111">
        <f>COUNTIFS('Monthly Report Dec-25'!$C:$C,A21,'Monthly Report Dec-25'!$F:$F,"Closed",'Monthly Report Dec-25'!$W:$W,"&gt;="&amp;DATE(2025,12,1),'Monthly Report Dec-25'!$W:$W,"&lt;="&amp;DATE(2025,12,31))</f>
        <v>5</v>
      </c>
      <c r="D21" s="111">
        <f>COUNTIFS('Monthly Report Dec-25'!$C:$C,B21,'Monthly Report Dec-25'!$F:$F,"WIP",'Monthly Report Dec-25'!$W:$W,"&gt;="&amp;DATE(2025,12,1),'Monthly Report Dec-25'!$W:$W,"&lt;="&amp;DATE(2025,12,31))</f>
        <v>0</v>
      </c>
      <c r="E21" s="128"/>
      <c r="H21" s="163" t="s">
        <v>38</v>
      </c>
      <c r="I21" s="127">
        <f>COUNTIFS('Monthly Report Dec-25'!$L:$L,H21,'Monthly Report Dec-25'!$F:$F,"Closed",'Monthly Report Dec-25'!$W:$W,"&gt;="&amp;DATE(2025,12,1),'Monthly Report Dec-25'!$W:$W,"&lt;="&amp;DATE(2025,12,31))</f>
        <v>22</v>
      </c>
      <c r="J21" s="129">
        <f t="shared" si="0"/>
        <v>5.2884615384615384E-2</v>
      </c>
      <c r="O21" s="130"/>
    </row>
    <row r="22" spans="1:15" x14ac:dyDescent="0.35">
      <c r="A22" s="134" t="s">
        <v>15</v>
      </c>
      <c r="B22" s="127">
        <f>COUNTIF('Monthly Report Dec-25'!$C$2:$C$417,A22)</f>
        <v>34</v>
      </c>
      <c r="C22" s="111">
        <f>COUNTIFS('Monthly Report Dec-25'!$C:$C,A22,'Monthly Report Dec-25'!$F:$F,"Closed",'Monthly Report Dec-25'!$W:$W,"&gt;="&amp;DATE(2025,12,1),'Monthly Report Dec-25'!$W:$W,"&lt;="&amp;DATE(2025,12,31))</f>
        <v>34</v>
      </c>
      <c r="D22" s="111">
        <f>COUNTIFS('Monthly Report Dec-25'!$C:$C,B22,'Monthly Report Dec-25'!$F:$F,"WIP",'Monthly Report Dec-25'!$W:$W,"&gt;="&amp;DATE(2025,12,1),'Monthly Report Dec-25'!$W:$W,"&lt;="&amp;DATE(2025,12,31))</f>
        <v>0</v>
      </c>
      <c r="E22" s="128"/>
      <c r="H22" s="163" t="s">
        <v>78</v>
      </c>
      <c r="I22" s="127">
        <f>COUNTIFS('Monthly Report Dec-25'!$L:$L,H22,'Monthly Report Dec-25'!$F:$F,"Closed",'Monthly Report Dec-25'!$W:$W,"&gt;="&amp;DATE(2025,12,1),'Monthly Report Dec-25'!$W:$W,"&lt;="&amp;DATE(2025,12,31))</f>
        <v>1</v>
      </c>
      <c r="J22" s="129">
        <f t="shared" si="0"/>
        <v>2.403846153846154E-3</v>
      </c>
      <c r="O22" s="84"/>
    </row>
    <row r="23" spans="1:15" x14ac:dyDescent="0.35">
      <c r="A23" s="134" t="s">
        <v>79</v>
      </c>
      <c r="B23" s="127">
        <f>COUNTIF('Monthly Report Dec-25'!$C$2:$C$417,A23)</f>
        <v>1</v>
      </c>
      <c r="C23" s="111">
        <f>COUNTIFS('Monthly Report Dec-25'!$C:$C,A23,'Monthly Report Dec-25'!$F:$F,"Closed",'Monthly Report Dec-25'!$W:$W,"&gt;="&amp;DATE(2025,12,1),'Monthly Report Dec-25'!$W:$W,"&lt;="&amp;DATE(2025,12,31))</f>
        <v>1</v>
      </c>
      <c r="D23" s="111">
        <f>COUNTIFS('Monthly Report Dec-25'!$C:$C,B23,'Monthly Report Dec-25'!$F:$F,"WIP",'Monthly Report Dec-25'!$W:$W,"&gt;="&amp;DATE(2025,12,1),'Monthly Report Dec-25'!$W:$W,"&lt;="&amp;DATE(2025,12,31))</f>
        <v>0</v>
      </c>
      <c r="E23" s="128"/>
      <c r="H23" s="164" t="s">
        <v>80</v>
      </c>
      <c r="I23" s="127">
        <f>COUNTIFS('Monthly Report Dec-25'!$L:$L,H23,'Monthly Report Dec-25'!$F:$F,"Closed",'Monthly Report Dec-25'!$W:$W,"&gt;="&amp;DATE(2025,12,1),'Monthly Report Dec-25'!$W:$W,"&lt;="&amp;DATE(2025,12,31))</f>
        <v>58</v>
      </c>
      <c r="J23" s="129">
        <f t="shared" si="0"/>
        <v>0.13942307692307693</v>
      </c>
      <c r="O23" s="84"/>
    </row>
    <row r="24" spans="1:15" x14ac:dyDescent="0.35">
      <c r="A24" s="134" t="s">
        <v>81</v>
      </c>
      <c r="B24" s="127">
        <f>COUNTIF('Monthly Report Dec-25'!$C$2:$C$417,A24)</f>
        <v>58</v>
      </c>
      <c r="C24" s="111">
        <f>COUNTIFS('Monthly Report Dec-25'!$C:$C,A24,'Monthly Report Dec-25'!$F:$F,"Closed",'Monthly Report Dec-25'!$W:$W,"&gt;="&amp;DATE(2025,12,1),'Monthly Report Dec-25'!$W:$W,"&lt;="&amp;DATE(2025,12,31))</f>
        <v>58</v>
      </c>
      <c r="D24" s="111">
        <f>COUNTIFS('Monthly Report Dec-25'!$C:$C,B24,'Monthly Report Dec-25'!$F:$F,"WIP",'Monthly Report Dec-25'!$W:$W,"&gt;="&amp;DATE(2025,12,1),'Monthly Report Dec-25'!$W:$W,"&lt;="&amp;DATE(2025,12,31))</f>
        <v>0</v>
      </c>
      <c r="E24" s="128"/>
      <c r="H24" s="139" t="s">
        <v>82</v>
      </c>
      <c r="I24" s="127">
        <f>COUNTIFS('Monthly Report Dec-25'!$L:$L,H24,'Monthly Report Dec-25'!$F:$F,"Closed",'Monthly Report Dec-25'!$W:$W,"&gt;="&amp;DATE(2025,12,1),'Monthly Report Dec-25'!$W:$W,"&lt;="&amp;DATE(2025,12,31))</f>
        <v>15</v>
      </c>
      <c r="J24" s="129">
        <f t="shared" si="0"/>
        <v>3.6057692307692304E-2</v>
      </c>
      <c r="O24" s="84"/>
    </row>
    <row r="25" spans="1:15" x14ac:dyDescent="0.35">
      <c r="A25" s="134" t="s">
        <v>83</v>
      </c>
      <c r="B25" s="127">
        <f>COUNTIF('Monthly Report Dec-25'!$C$2:$C$417,A25)</f>
        <v>9</v>
      </c>
      <c r="C25" s="111">
        <f>COUNTIFS('Monthly Report Dec-25'!$C:$C,A25,'Monthly Report Dec-25'!$F:$F,"Closed",'Monthly Report Dec-25'!$W:$W,"&gt;="&amp;DATE(2025,12,1),'Monthly Report Dec-25'!$W:$W,"&lt;="&amp;DATE(2025,12,31))</f>
        <v>9</v>
      </c>
      <c r="D25" s="111">
        <f>COUNTIFS('Monthly Report Dec-25'!$C:$C,B25,'Monthly Report Dec-25'!$F:$F,"WIP",'Monthly Report Dec-25'!$W:$W,"&gt;="&amp;DATE(2025,12,1),'Monthly Report Dec-25'!$W:$W,"&lt;="&amp;DATE(2025,12,31))</f>
        <v>0</v>
      </c>
      <c r="E25" s="128"/>
      <c r="H25" s="139" t="s">
        <v>84</v>
      </c>
      <c r="I25" s="127">
        <f>COUNTIFS('Monthly Report Dec-25'!$L:$L,H25,'Monthly Report Dec-25'!$F:$F,"Closed",'Monthly Report Dec-25'!$W:$W,"&gt;="&amp;DATE(2025,12,1),'Monthly Report Dec-25'!$W:$W,"&lt;="&amp;DATE(2025,12,31))</f>
        <v>182</v>
      </c>
      <c r="J25" s="129">
        <f t="shared" si="0"/>
        <v>0.4375</v>
      </c>
      <c r="O25" s="84"/>
    </row>
    <row r="26" spans="1:15" x14ac:dyDescent="0.35">
      <c r="A26" s="134" t="s">
        <v>85</v>
      </c>
      <c r="B26" s="127">
        <f>COUNTIF('Monthly Report Dec-25'!$C$2:$C$417,A26)</f>
        <v>6</v>
      </c>
      <c r="C26" s="111">
        <f>COUNTIFS('Monthly Report Dec-25'!$C:$C,A26,'Monthly Report Dec-25'!$F:$F,"Closed",'Monthly Report Dec-25'!$W:$W,"&gt;="&amp;DATE(2025,12,1),'Monthly Report Dec-25'!$W:$W,"&lt;="&amp;DATE(2025,12,31))</f>
        <v>6</v>
      </c>
      <c r="D26" s="111">
        <f>COUNTIFS('Monthly Report Dec-25'!$C:$C,B26,'Monthly Report Dec-25'!$F:$F,"WIP",'Monthly Report Dec-25'!$W:$W,"&gt;="&amp;DATE(2025,12,1),'Monthly Report Dec-25'!$W:$W,"&lt;="&amp;DATE(2025,12,31))</f>
        <v>0</v>
      </c>
      <c r="E26" s="128"/>
      <c r="H26" s="139" t="s">
        <v>30</v>
      </c>
      <c r="I26" s="127">
        <f>COUNTIFS('Monthly Report Dec-25'!$L:$L,H26,'Monthly Report Dec-25'!$F:$F,"Closed",'Monthly Report Dec-25'!$W:$W,"&gt;="&amp;DATE(2025,12,1),'Monthly Report Dec-25'!$W:$W,"&lt;="&amp;DATE(2025,12,31))</f>
        <v>1</v>
      </c>
      <c r="J26" s="129">
        <f t="shared" si="0"/>
        <v>2.403846153846154E-3</v>
      </c>
    </row>
    <row r="27" spans="1:15" ht="15" customHeight="1" thickBot="1" x14ac:dyDescent="0.4">
      <c r="A27" s="160" t="s">
        <v>86</v>
      </c>
      <c r="B27" s="127">
        <f>COUNTIF('Monthly Report Dec-25'!$C$2:$C$417,A27)</f>
        <v>1</v>
      </c>
      <c r="C27" s="111">
        <f>COUNTIFS('Monthly Report Dec-25'!$C:$C,A27,'Monthly Report Dec-25'!$F:$F,"Closed",'Monthly Report Dec-25'!$W:$W,"&gt;="&amp;DATE(2025,12,1),'Monthly Report Dec-25'!$W:$W,"&lt;="&amp;DATE(2025,12,31))</f>
        <v>1</v>
      </c>
      <c r="D27" s="111">
        <f>COUNTIFS('Monthly Report Dec-25'!$C:$C,B27,'Monthly Report Dec-25'!$F:$F,"WIP",'Monthly Report Dec-25'!$W:$W,"&gt;="&amp;DATE(2025,12,1),'Monthly Report Dec-25'!$W:$W,"&lt;="&amp;DATE(2025,12,31))</f>
        <v>0</v>
      </c>
      <c r="E27" s="128"/>
      <c r="H27" s="131" t="s">
        <v>87</v>
      </c>
      <c r="I27" s="132">
        <f>SUM(I19:I26)</f>
        <v>416</v>
      </c>
      <c r="J27" s="133">
        <f>SUM(J19:J26)</f>
        <v>0.99999999999999989</v>
      </c>
    </row>
    <row r="28" spans="1:15" x14ac:dyDescent="0.35">
      <c r="A28" s="160" t="s">
        <v>88</v>
      </c>
      <c r="B28" s="127">
        <f>COUNTIF('Monthly Report Dec-25'!$C$2:$C$417,A28)</f>
        <v>181</v>
      </c>
      <c r="C28" s="111">
        <f>COUNTIFS('Monthly Report Dec-25'!$C:$C,A28,'Monthly Report Dec-25'!$F:$F,"Closed",'Monthly Report Dec-25'!$W:$W,"&gt;="&amp;DATE(2025,12,1),'Monthly Report Dec-25'!$W:$W,"&lt;="&amp;DATE(2025,12,31))</f>
        <v>181</v>
      </c>
      <c r="D28" s="111">
        <f>COUNTIFS('Monthly Report Dec-25'!$C:$C,B28,'Monthly Report Dec-25'!$F:$F,"WIP",'Monthly Report Dec-25'!$W:$W,"&gt;="&amp;DATE(2025,12,1),'Monthly Report Dec-25'!$W:$W,"&lt;="&amp;DATE(2025,12,31))</f>
        <v>0</v>
      </c>
      <c r="E28" s="128"/>
      <c r="H28" s="134"/>
      <c r="I28" s="127"/>
      <c r="J28" s="135"/>
    </row>
    <row r="29" spans="1:15" x14ac:dyDescent="0.35">
      <c r="A29" s="134" t="s">
        <v>89</v>
      </c>
      <c r="B29" s="127">
        <f>COUNTIF('Monthly Report Dec-25'!$C$2:$C$417,A29)</f>
        <v>1</v>
      </c>
      <c r="C29" s="111">
        <f>COUNTIFS('Monthly Report Dec-25'!$C:$C,A29,'Monthly Report Dec-25'!$F:$F,"Closed",'Monthly Report Dec-25'!$W:$W,"&gt;="&amp;DATE(2025,12,1),'Monthly Report Dec-25'!$W:$W,"&lt;="&amp;DATE(2025,12,31))</f>
        <v>1</v>
      </c>
      <c r="D29" s="111">
        <f>COUNTIFS('Monthly Report Dec-25'!$C:$C,B29,'Monthly Report Dec-25'!$F:$F,"WIP",'Monthly Report Dec-25'!$W:$W,"&gt;="&amp;DATE(2025,12,1),'Monthly Report Dec-25'!$W:$W,"&lt;="&amp;DATE(2025,12,31))</f>
        <v>0</v>
      </c>
      <c r="E29" s="128"/>
      <c r="H29" s="134"/>
      <c r="I29" s="127"/>
      <c r="J29" s="135"/>
    </row>
    <row r="30" spans="1:15" x14ac:dyDescent="0.35">
      <c r="A30" s="160" t="s">
        <v>90</v>
      </c>
      <c r="B30" s="127">
        <f>COUNTIF('Monthly Report Dec-25'!$C$2:$C$417,A30)</f>
        <v>20</v>
      </c>
      <c r="C30" s="111">
        <f>COUNTIFS('Monthly Report Dec-25'!$C:$C,A30,'Monthly Report Dec-25'!$F:$F,"Closed",'Monthly Report Dec-25'!$W:$W,"&gt;="&amp;DATE(2025,12,1),'Monthly Report Dec-25'!$W:$W,"&lt;="&amp;DATE(2025,12,31))</f>
        <v>20</v>
      </c>
      <c r="D30" s="111">
        <f>COUNTIFS('Monthly Report Dec-25'!$C:$C,B30,'Monthly Report Dec-25'!$F:$F,"WIP",'Monthly Report Dec-25'!$W:$W,"&gt;="&amp;DATE(2025,12,1),'Monthly Report Dec-25'!$W:$W,"&lt;="&amp;DATE(2025,12,31))</f>
        <v>0</v>
      </c>
      <c r="E30" s="128"/>
    </row>
    <row r="31" spans="1:15" ht="15" customHeight="1" thickBot="1" x14ac:dyDescent="0.4">
      <c r="A31" s="136" t="s">
        <v>87</v>
      </c>
      <c r="B31" s="132" t="str">
        <f ca="1">SUM(B19:B31)</f>
        <v/>
      </c>
      <c r="C31" s="132" t="str">
        <f ca="1">SUM(C19:C31)</f>
        <v/>
      </c>
      <c r="D31" s="132" t="str">
        <f ca="1">SUM(D19:D31)</f>
        <v/>
      </c>
      <c r="E31" s="133"/>
    </row>
    <row r="32" spans="1:15" x14ac:dyDescent="0.35">
      <c r="H32" s="84"/>
    </row>
    <row r="33" spans="1:10" ht="15" customHeight="1" thickBot="1" x14ac:dyDescent="0.4">
      <c r="A33" s="126"/>
      <c r="B33" s="127"/>
      <c r="C33" s="111"/>
      <c r="D33" s="111"/>
      <c r="E33" s="141"/>
      <c r="H33" s="84"/>
    </row>
    <row r="34" spans="1:10" ht="15.5" customHeight="1" x14ac:dyDescent="0.35">
      <c r="H34" s="204" t="s">
        <v>91</v>
      </c>
      <c r="I34" s="205"/>
      <c r="J34" s="206"/>
    </row>
    <row r="35" spans="1:10" x14ac:dyDescent="0.35">
      <c r="H35" s="137" t="s">
        <v>92</v>
      </c>
      <c r="I35" s="122" t="s">
        <v>4</v>
      </c>
      <c r="J35" s="123" t="s">
        <v>75</v>
      </c>
    </row>
    <row r="36" spans="1:10" x14ac:dyDescent="0.35">
      <c r="H36" s="138" t="s">
        <v>93</v>
      </c>
      <c r="I36" s="127">
        <f>COUNTIFS('Monthly Report Dec-25'!$V:$V,H36,'Monthly Report Dec-25'!$W:$W,"&gt;="&amp;DATE(2025,12,1),'Monthly Report Dec-25'!$W:$W,"&lt;="&amp;DATE(2025,12,31))</f>
        <v>293</v>
      </c>
      <c r="J36" s="128">
        <f>I36/$I$41</f>
        <v>0.71463414634146338</v>
      </c>
    </row>
    <row r="37" spans="1:10" ht="15" customHeight="1" thickBot="1" x14ac:dyDescent="0.4">
      <c r="H37" s="139" t="s">
        <v>94</v>
      </c>
      <c r="I37" s="127">
        <f>COUNTIFS('Monthly Report Dec-25'!$V:$V,H37,'Monthly Report Dec-25'!$W:$W,"&gt;="&amp;DATE(2025,12,1),'Monthly Report Dec-25'!$W:$W,"&lt;="&amp;DATE(2025,12,31))</f>
        <v>116</v>
      </c>
      <c r="J37" s="128">
        <f>I37/$I$41</f>
        <v>0.28292682926829266</v>
      </c>
    </row>
    <row r="38" spans="1:10" ht="16" customHeight="1" thickBot="1" x14ac:dyDescent="0.4">
      <c r="A38" s="207" t="s">
        <v>95</v>
      </c>
      <c r="B38" s="202"/>
      <c r="C38" s="203"/>
      <c r="D38" s="85"/>
      <c r="H38" s="139" t="s">
        <v>96</v>
      </c>
      <c r="I38" s="127">
        <f>COUNTIFS('Monthly Report Dec-25'!$V:$V,H38,'Monthly Report Dec-25'!$W:$W,"&gt;="&amp;DATE(2025,12,1),'Monthly Report Dec-25'!$W:$W,"&lt;="&amp;DATE(2025,12,31))</f>
        <v>1</v>
      </c>
      <c r="J38" s="128">
        <f>I38/$I$41</f>
        <v>2.4390243902439024E-3</v>
      </c>
    </row>
    <row r="39" spans="1:10" x14ac:dyDescent="0.35">
      <c r="A39" s="124" t="s">
        <v>97</v>
      </c>
      <c r="B39" s="122" t="s">
        <v>60</v>
      </c>
      <c r="C39" s="123" t="s">
        <v>74</v>
      </c>
      <c r="H39" s="139" t="s">
        <v>98</v>
      </c>
      <c r="I39" s="127">
        <f>COUNTIFS('Monthly Report Dec-25'!$V:$V,H39,'Monthly Report Dec-25'!$W:$W,"&gt;="&amp;DATE(2025,12,1),'Monthly Report Dec-25'!$W:$W,"&lt;="&amp;DATE(2025,12,31))</f>
        <v>0</v>
      </c>
      <c r="J39" s="128">
        <f>I39/$I$41</f>
        <v>0</v>
      </c>
    </row>
    <row r="40" spans="1:10" x14ac:dyDescent="0.35">
      <c r="A40" s="140">
        <v>45992</v>
      </c>
      <c r="B40" s="127">
        <f>COUNTIFS('Monthly Report Dec-25'!$W:W,A40,'Monthly Report Dec-25'!F:F,"Closed")</f>
        <v>1</v>
      </c>
      <c r="C40" s="114">
        <v>0</v>
      </c>
      <c r="H40" s="139" t="s">
        <v>99</v>
      </c>
      <c r="I40" s="127">
        <f>COUNTIFS('Monthly Report Dec-25'!$V:$V,H40,'Monthly Report Dec-25'!$W:$W,"&gt;="&amp;DATE(2025,12,1),'Monthly Report Dec-25'!$W:$W,"&lt;="&amp;DATE(2025,12,31))</f>
        <v>0</v>
      </c>
      <c r="J40" s="128">
        <f>I40/$I$41</f>
        <v>0</v>
      </c>
    </row>
    <row r="41" spans="1:10" ht="15" customHeight="1" thickBot="1" x14ac:dyDescent="0.4">
      <c r="A41" s="140">
        <v>45993</v>
      </c>
      <c r="B41" s="127">
        <f>COUNTIFS('Monthly Report Dec-25'!$W:W,A41,'Monthly Report Dec-25'!F:F,"Closed")</f>
        <v>0</v>
      </c>
      <c r="C41" s="114">
        <v>0</v>
      </c>
      <c r="H41" s="131" t="s">
        <v>87</v>
      </c>
      <c r="I41" s="132">
        <f>SUM(I36:I40)</f>
        <v>410</v>
      </c>
      <c r="J41" s="133">
        <f>SUM(J34:J40)</f>
        <v>1</v>
      </c>
    </row>
    <row r="42" spans="1:10" x14ac:dyDescent="0.35">
      <c r="A42" s="140">
        <v>45994</v>
      </c>
      <c r="B42" s="127">
        <f>COUNTIFS('Monthly Report Dec-25'!$W:W,A42,'Monthly Report Dec-25'!F:F,"Closed")</f>
        <v>0</v>
      </c>
      <c r="C42" s="114">
        <v>0</v>
      </c>
      <c r="I42" s="127"/>
      <c r="J42" s="141"/>
    </row>
    <row r="43" spans="1:10" x14ac:dyDescent="0.35">
      <c r="A43" s="140">
        <v>45995</v>
      </c>
      <c r="B43" s="127">
        <f>COUNTIFS('Monthly Report Dec-25'!$W:W,A43,'Monthly Report Dec-25'!F:F,"Closed")</f>
        <v>0</v>
      </c>
      <c r="C43" s="114">
        <v>0</v>
      </c>
    </row>
    <row r="44" spans="1:10" ht="16" customHeight="1" thickBot="1" x14ac:dyDescent="0.4">
      <c r="A44" s="140">
        <v>45996</v>
      </c>
      <c r="B44" s="127">
        <f>COUNTIFS('Monthly Report Dec-25'!$W:W,A44,'Monthly Report Dec-25'!F:F,"Closed")</f>
        <v>0</v>
      </c>
      <c r="C44" s="114">
        <v>0</v>
      </c>
      <c r="H44" s="142" t="s">
        <v>56</v>
      </c>
    </row>
    <row r="45" spans="1:10" x14ac:dyDescent="0.35">
      <c r="A45" s="140">
        <v>45997</v>
      </c>
      <c r="B45" s="127">
        <f>COUNTIFS('Monthly Report Dec-25'!$W:W,A45,'Monthly Report Dec-25'!F:F,"Closed")</f>
        <v>0</v>
      </c>
      <c r="C45" s="114">
        <v>0</v>
      </c>
      <c r="H45" s="103" t="s">
        <v>5</v>
      </c>
      <c r="I45" s="104" t="s">
        <v>4</v>
      </c>
      <c r="J45" s="105" t="s">
        <v>75</v>
      </c>
    </row>
    <row r="46" spans="1:10" x14ac:dyDescent="0.35">
      <c r="A46" s="140">
        <v>45998</v>
      </c>
      <c r="B46" s="127">
        <f>COUNTIFS('Monthly Report Dec-25'!$W:W,A46,'Monthly Report Dec-25'!F:F,"Closed")</f>
        <v>96</v>
      </c>
      <c r="C46" s="114">
        <v>0</v>
      </c>
      <c r="H46" s="143" t="s">
        <v>100</v>
      </c>
      <c r="I46" s="127">
        <f>COUNTIFS('Monthly Report Dec-25'!$S:$S,H46,'Monthly Report Dec-25'!$F:$F,"Closed",'Monthly Report Dec-25'!$W:$W,"&gt;="&amp;DATE(2025,12,1),'Monthly Report Dec-25'!$W:$W,"&lt;="&amp;DATE(2025,12,31))</f>
        <v>92</v>
      </c>
      <c r="J46" s="128">
        <f>I46/$I$50</f>
        <v>0.22276029055690072</v>
      </c>
    </row>
    <row r="47" spans="1:10" x14ac:dyDescent="0.35">
      <c r="A47" s="140">
        <v>45999</v>
      </c>
      <c r="B47" s="127">
        <f>COUNTIFS('Monthly Report Dec-25'!$W:W,A47,'Monthly Report Dec-25'!F:F,"Closed")</f>
        <v>17</v>
      </c>
      <c r="C47" s="114">
        <v>0</v>
      </c>
      <c r="H47" s="143" t="s">
        <v>101</v>
      </c>
      <c r="I47" s="127">
        <f>COUNTIFS('Monthly Report Dec-25'!$S:$S,H47,'Monthly Report Dec-25'!$F:$F,"Closed",'Monthly Report Dec-25'!$W:$W,"&gt;="&amp;DATE(2025,12,1),'Monthly Report Dec-25'!$W:$W,"&lt;="&amp;DATE(2025,12,31))</f>
        <v>137</v>
      </c>
      <c r="J47" s="128">
        <f>I47/$I$50</f>
        <v>0.33171912832929784</v>
      </c>
    </row>
    <row r="48" spans="1:10" x14ac:dyDescent="0.35">
      <c r="A48" s="140">
        <v>46000</v>
      </c>
      <c r="B48" s="127">
        <f>COUNTIFS('Monthly Report Dec-25'!$W:W,A48,'Monthly Report Dec-25'!F:F,"Closed")</f>
        <v>0</v>
      </c>
      <c r="C48" s="114">
        <v>0</v>
      </c>
      <c r="H48" s="143" t="s">
        <v>102</v>
      </c>
      <c r="I48" s="127">
        <f>COUNTIFS('Monthly Report Dec-25'!$S:$S,H48,'Monthly Report Dec-25'!$F:$F,"Closed",'Monthly Report Dec-25'!$W:$W,"&gt;="&amp;DATE(2025,12,1),'Monthly Report Dec-25'!$W:$W,"&lt;="&amp;DATE(2025,12,31))</f>
        <v>184</v>
      </c>
      <c r="J48" s="128">
        <f>I48/$I$50</f>
        <v>0.44552058111380144</v>
      </c>
    </row>
    <row r="49" spans="1:10" x14ac:dyDescent="0.35">
      <c r="A49" s="140">
        <v>46001</v>
      </c>
      <c r="B49" s="127">
        <f>COUNTIFS('Monthly Report Dec-25'!$W:W,A49,'Monthly Report Dec-25'!F:F,"Closed")</f>
        <v>39</v>
      </c>
      <c r="C49" s="114">
        <v>0</v>
      </c>
      <c r="H49" s="144" t="s">
        <v>103</v>
      </c>
      <c r="I49" s="127">
        <f>COUNTIFS('Monthly Report Dec-25'!$S:$S,H49,'Monthly Report Dec-25'!$F:$F,"Closed",'Monthly Report Dec-25'!$W:$W,"&gt;="&amp;DATE(2025,12,1),'Monthly Report Dec-25'!$W:$W,"&lt;="&amp;DATE(2025,12,31))</f>
        <v>0</v>
      </c>
      <c r="J49" s="128">
        <f>I49/$I$50</f>
        <v>0</v>
      </c>
    </row>
    <row r="50" spans="1:10" ht="15" customHeight="1" thickBot="1" x14ac:dyDescent="0.4">
      <c r="A50" s="140">
        <v>46002</v>
      </c>
      <c r="B50" s="127">
        <f>COUNTIFS('Monthly Report Dec-25'!$W:W,A50,'Monthly Report Dec-25'!F:F,"Closed")</f>
        <v>18</v>
      </c>
      <c r="C50" s="114">
        <v>0</v>
      </c>
      <c r="H50" s="131" t="s">
        <v>87</v>
      </c>
      <c r="I50" s="132">
        <f>SUM(I46:I49)</f>
        <v>413</v>
      </c>
      <c r="J50" s="133">
        <f>SUM(J46:J49)</f>
        <v>1</v>
      </c>
    </row>
    <row r="51" spans="1:10" x14ac:dyDescent="0.35">
      <c r="A51" s="140">
        <v>46003</v>
      </c>
      <c r="B51" s="127">
        <f>COUNTIFS('Monthly Report Dec-25'!$W:W,A51,'Monthly Report Dec-25'!F:F,"Closed")</f>
        <v>18</v>
      </c>
      <c r="C51" s="114">
        <v>0</v>
      </c>
    </row>
    <row r="52" spans="1:10" x14ac:dyDescent="0.35">
      <c r="A52" s="140">
        <v>46004</v>
      </c>
      <c r="B52" s="127">
        <f>COUNTIFS('Monthly Report Dec-25'!$W:W,A52,'Monthly Report Dec-25'!F:F,"Closed")</f>
        <v>25</v>
      </c>
      <c r="C52" s="114">
        <v>0</v>
      </c>
    </row>
    <row r="53" spans="1:10" ht="16" customHeight="1" thickBot="1" x14ac:dyDescent="0.4">
      <c r="A53" s="140">
        <v>46005</v>
      </c>
      <c r="B53" s="127">
        <f>COUNTIFS('Monthly Report Dec-25'!$W:W,A53,'Monthly Report Dec-25'!F:F,"Closed")</f>
        <v>0</v>
      </c>
      <c r="C53" s="114">
        <v>0</v>
      </c>
      <c r="H53" s="142" t="s">
        <v>104</v>
      </c>
    </row>
    <row r="54" spans="1:10" x14ac:dyDescent="0.35">
      <c r="A54" s="140">
        <v>46006</v>
      </c>
      <c r="B54" s="127">
        <f>COUNTIFS('Monthly Report Dec-25'!$W:W,A54,'Monthly Report Dec-25'!F:F,"Closed")</f>
        <v>25</v>
      </c>
      <c r="C54" s="114">
        <v>0</v>
      </c>
      <c r="H54" s="103" t="s">
        <v>105</v>
      </c>
      <c r="I54" s="104" t="s">
        <v>4</v>
      </c>
      <c r="J54" s="105" t="s">
        <v>75</v>
      </c>
    </row>
    <row r="55" spans="1:10" x14ac:dyDescent="0.35">
      <c r="A55" s="140">
        <v>46007</v>
      </c>
      <c r="B55" s="127">
        <f>COUNTIFS('Monthly Report Dec-25'!$W:W,A55,'Monthly Report Dec-25'!F:F,"Closed")</f>
        <v>24</v>
      </c>
      <c r="C55" s="114">
        <v>0</v>
      </c>
      <c r="H55" s="144" t="s">
        <v>106</v>
      </c>
      <c r="I55" s="127">
        <f>COUNTIFS('Monthly Report Dec-25'!$X:$X,"&gt;=0",'Monthly Report Dec-25'!$X:$X,"&lt;=3",'Monthly Report Dec-25'!$F:$F,"Closed",'Monthly Report Dec-25'!$W:$W,"&gt;="&amp;DATE(2025,12,1),'Monthly Report Dec-25'!$W:$W,"&lt;="&amp;DATE(2025,12,31))</f>
        <v>5</v>
      </c>
      <c r="J55" s="128">
        <f>I55/$I$60</f>
        <v>7.3964497041420114E-3</v>
      </c>
    </row>
    <row r="56" spans="1:10" x14ac:dyDescent="0.35">
      <c r="A56" s="140">
        <v>46008</v>
      </c>
      <c r="B56" s="127">
        <f>COUNTIFS('Monthly Report Dec-25'!$W:W,A56,'Monthly Report Dec-25'!F:F,"Closed")</f>
        <v>64</v>
      </c>
      <c r="C56" s="114">
        <v>0</v>
      </c>
      <c r="H56" s="144" t="s">
        <v>107</v>
      </c>
      <c r="I56" s="127">
        <f>COUNTIFS('Monthly Report Dec-25'!$X:$X,"&gt;=4",'Monthly Report Dec-25'!$X:$X,"&lt;=7",'Monthly Report Dec-25'!$F:$F,"Closed",'Monthly Report Dec-25'!$W:$W,"&gt;="&amp;DATE(2025,12,1),'Monthly Report Dec-25'!$W:$W,"&lt;="&amp;DATE(2025,12,31))</f>
        <v>15</v>
      </c>
      <c r="J56" s="128">
        <f>I56/$I$60</f>
        <v>2.2189349112426034E-2</v>
      </c>
    </row>
    <row r="57" spans="1:10" x14ac:dyDescent="0.35">
      <c r="A57" s="140">
        <v>46009</v>
      </c>
      <c r="B57" s="127">
        <f>COUNTIFS('Monthly Report Dec-25'!$W:W,A57,'Monthly Report Dec-25'!F:F,"Closed")</f>
        <v>22</v>
      </c>
      <c r="C57" s="114">
        <v>0</v>
      </c>
      <c r="H57" s="144" t="s">
        <v>108</v>
      </c>
      <c r="I57" s="127">
        <f>COUNTIFS('Monthly Report Dec-25'!$X:$X,"&gt;=8",'Monthly Report Dec-25'!$X:$X,"&lt;=15",'Monthly Report Dec-25'!$F:$F,"Closed",'Monthly Report Dec-25'!$W:$W,"&gt;="&amp;DATE(2025,12,1),'Monthly Report Dec-25'!$W:$W,"&lt;="&amp;DATE(2025,12,31))</f>
        <v>78</v>
      </c>
      <c r="J57" s="128">
        <f>I57/$I$60</f>
        <v>0.11538461538461539</v>
      </c>
    </row>
    <row r="58" spans="1:10" x14ac:dyDescent="0.35">
      <c r="A58" s="140">
        <v>46010</v>
      </c>
      <c r="B58" s="127">
        <f>COUNTIFS('Monthly Report Dec-25'!$W:W,A58,'Monthly Report Dec-25'!F:F,"Closed")</f>
        <v>3</v>
      </c>
      <c r="C58" s="114">
        <v>0</v>
      </c>
      <c r="H58" s="144" t="s">
        <v>109</v>
      </c>
      <c r="I58" s="127">
        <f>COUNTIFS('Monthly Report Dec-25'!$X:$X,"&gt;=16",'Monthly Report Dec-25'!$X:$X,"&lt;=30",'Monthly Report Dec-25'!$F:$F,"Closed",'Monthly Report Dec-25'!$W:$W,"&gt;="&amp;DATE(2025,12,1),'Monthly Report Dec-25'!$W:$W,"&lt;="&amp;DATE(2025,12,31))</f>
        <v>240</v>
      </c>
      <c r="J58" s="128">
        <f>I58/$I$60</f>
        <v>0.35502958579881655</v>
      </c>
    </row>
    <row r="59" spans="1:10" x14ac:dyDescent="0.35">
      <c r="A59" s="140">
        <v>46011</v>
      </c>
      <c r="B59" s="127">
        <f>COUNTIFS('Monthly Report Dec-25'!$W:W,A59,'Monthly Report Dec-25'!F:F,"Closed")</f>
        <v>11</v>
      </c>
      <c r="C59" s="114">
        <v>0</v>
      </c>
      <c r="H59" s="144" t="s">
        <v>110</v>
      </c>
      <c r="I59" s="127">
        <f>COUNTIFS('Monthly Report Dec-25'!$X:$X,"&lt;=30",'Monthly Report Dec-25'!$F:$F,"Closed",'Monthly Report Dec-25'!$W:$W,"&gt;="&amp;DATE(2025,12,1),'Monthly Report Dec-25'!$W:$W,"&lt;="&amp;DATE(2025,12,31))</f>
        <v>338</v>
      </c>
      <c r="J59" s="128">
        <f>I59/$I$60</f>
        <v>0.5</v>
      </c>
    </row>
    <row r="60" spans="1:10" ht="15" customHeight="1" thickBot="1" x14ac:dyDescent="0.4">
      <c r="A60" s="140">
        <v>46012</v>
      </c>
      <c r="B60" s="127">
        <f>COUNTIFS('Monthly Report Dec-25'!$W:W,A60,'Monthly Report Dec-25'!F:F,"Closed")</f>
        <v>0</v>
      </c>
      <c r="C60" s="114">
        <v>0</v>
      </c>
      <c r="H60" s="131" t="s">
        <v>87</v>
      </c>
      <c r="I60" s="132">
        <f>SUM(I55:I59)</f>
        <v>676</v>
      </c>
      <c r="J60" s="133">
        <f>SUM(J55:J59)</f>
        <v>1</v>
      </c>
    </row>
    <row r="61" spans="1:10" x14ac:dyDescent="0.35">
      <c r="A61" s="140">
        <v>46013</v>
      </c>
      <c r="B61" s="127">
        <f>COUNTIFS('Monthly Report Dec-25'!$W:W,A61,'Monthly Report Dec-25'!F:F,"Closed")</f>
        <v>23</v>
      </c>
      <c r="C61" s="114">
        <v>0</v>
      </c>
      <c r="H61" s="108" t="s">
        <v>111</v>
      </c>
      <c r="I61" s="145">
        <f>ROUND(AVERAGEIFS('Monthly Report Dec-25'!$X:$X,'Monthly Report Dec-25'!$X:$X,"&gt;=0",'Monthly Report Dec-25'!$F:$F,"Closed",'Monthly Report Dec-25'!$W:$W,"&gt;="&amp;DATE(2025,12,1),'Monthly Report Dec-25'!W:W,"&lt;="&amp;DATE(2026,12,31)),1)</f>
        <v>22.2</v>
      </c>
    </row>
    <row r="62" spans="1:10" x14ac:dyDescent="0.35">
      <c r="A62" s="140">
        <v>46014</v>
      </c>
      <c r="B62" s="127">
        <f>COUNTIFS('Monthly Report Dec-25'!$W:W,A62,'Monthly Report Dec-25'!F:F,"Closed")</f>
        <v>6</v>
      </c>
      <c r="C62" s="114">
        <v>0</v>
      </c>
    </row>
    <row r="63" spans="1:10" x14ac:dyDescent="0.35">
      <c r="A63" s="140">
        <v>46015</v>
      </c>
      <c r="B63" s="127">
        <f>COUNTIFS('Monthly Report Dec-25'!$W:W,A63,'Monthly Report Dec-25'!F:F,"Closed")</f>
        <v>1</v>
      </c>
      <c r="C63" s="114">
        <v>0</v>
      </c>
    </row>
    <row r="64" spans="1:10" x14ac:dyDescent="0.35">
      <c r="A64" s="140">
        <v>46016</v>
      </c>
      <c r="B64" s="127">
        <f>COUNTIFS('Monthly Report Dec-25'!$W:W,A64,'Monthly Report Dec-25'!F:F,"Closed")</f>
        <v>0</v>
      </c>
      <c r="C64" s="114">
        <v>0</v>
      </c>
    </row>
    <row r="65" spans="1:5" x14ac:dyDescent="0.35">
      <c r="A65" s="140">
        <v>46017</v>
      </c>
      <c r="B65" s="127">
        <f>COUNTIFS('Monthly Report Dec-25'!$W:W,A65,'Monthly Report Dec-25'!F:F,"Closed")</f>
        <v>0</v>
      </c>
      <c r="C65" s="114">
        <v>0</v>
      </c>
    </row>
    <row r="66" spans="1:5" x14ac:dyDescent="0.35">
      <c r="A66" s="140">
        <v>46018</v>
      </c>
      <c r="B66" s="127">
        <f>COUNTIFS('Monthly Report Dec-25'!$W:W,A66,'Monthly Report Dec-25'!F:F,"Closed")</f>
        <v>0</v>
      </c>
      <c r="C66" s="114">
        <v>0</v>
      </c>
    </row>
    <row r="67" spans="1:5" x14ac:dyDescent="0.35">
      <c r="A67" s="140">
        <v>46019</v>
      </c>
      <c r="B67" s="127">
        <f>COUNTIFS('Monthly Report Dec-25'!$W:W,A67,'Monthly Report Dec-25'!F:F,"Closed")</f>
        <v>0</v>
      </c>
      <c r="C67" s="114">
        <v>0</v>
      </c>
    </row>
    <row r="68" spans="1:5" x14ac:dyDescent="0.35">
      <c r="A68" s="140">
        <v>46020</v>
      </c>
      <c r="B68" s="127">
        <f>COUNTIFS('Monthly Report Dec-25'!$W:W,A68,'Monthly Report Dec-25'!F:F,"Closed")</f>
        <v>6</v>
      </c>
      <c r="C68" s="114">
        <v>0</v>
      </c>
    </row>
    <row r="69" spans="1:5" x14ac:dyDescent="0.35">
      <c r="A69" s="140">
        <v>46021</v>
      </c>
      <c r="B69" s="127">
        <f>COUNTIFS('Monthly Report Dec-25'!$W:W,A69,'Monthly Report Dec-25'!F:F,"Closed")</f>
        <v>10</v>
      </c>
      <c r="C69" s="114">
        <v>0</v>
      </c>
    </row>
    <row r="70" spans="1:5" ht="15" customHeight="1" thickBot="1" x14ac:dyDescent="0.4">
      <c r="A70" s="146">
        <v>46022</v>
      </c>
      <c r="B70" s="117">
        <f>COUNTIFS('Monthly Report Dec-25'!$W:W,A70,'Monthly Report Dec-25'!F:F,"Closed")</f>
        <v>7</v>
      </c>
      <c r="C70" s="119">
        <v>0</v>
      </c>
      <c r="D70" s="127"/>
    </row>
    <row r="72" spans="1:5" ht="16" customHeight="1" thickBot="1" x14ac:dyDescent="0.4">
      <c r="A72" s="199" t="s">
        <v>112</v>
      </c>
      <c r="B72" s="188"/>
      <c r="C72" s="188"/>
      <c r="D72" s="188"/>
      <c r="E72" s="188"/>
    </row>
    <row r="73" spans="1:5" x14ac:dyDescent="0.35">
      <c r="A73" s="147" t="s">
        <v>113</v>
      </c>
      <c r="B73" s="148" t="s">
        <v>25</v>
      </c>
      <c r="C73" s="148" t="s">
        <v>26</v>
      </c>
      <c r="D73" s="148" t="s">
        <v>27</v>
      </c>
      <c r="E73" s="149" t="s">
        <v>114</v>
      </c>
    </row>
    <row r="74" spans="1:5" x14ac:dyDescent="0.35">
      <c r="A74" s="160" t="s">
        <v>31</v>
      </c>
      <c r="B74" s="151">
        <f>COUNTIFS('Monthly Report Dec-25'!$M:$M,A74,'Monthly Report Dec-25'!$R:$R,B$73,'Monthly Report Dec-25'!$AB:$AB,"Closed in Dec")</f>
        <v>95</v>
      </c>
      <c r="C74" s="151">
        <f>COUNTIFS('Monthly Report Dec-25'!$M:$M,$A74,'Monthly Report Dec-25'!$R:$R,$C$73,'Monthly Report Dec-25'!$AB:$AB,"Closed in Dec")</f>
        <v>12</v>
      </c>
      <c r="D74" s="151">
        <f>COUNTIFS('Monthly Report Dec-25'!$M:$M,$A74,'Monthly Report Dec-25'!$R:$R,$D$73,'Monthly Report Dec-25'!$AB:$AB,"Closed in Dec")</f>
        <v>44</v>
      </c>
      <c r="E74" s="152">
        <f t="shared" ref="E74:E89" si="1">SUM(B74:D74)</f>
        <v>151</v>
      </c>
    </row>
    <row r="75" spans="1:5" x14ac:dyDescent="0.35">
      <c r="A75" s="165" t="s">
        <v>115</v>
      </c>
      <c r="B75" s="151">
        <f>COUNTIFS('Monthly Report Dec-25'!$M:$M,A75,'Monthly Report Dec-25'!$R:$R,B$73,'Monthly Report Dec-25'!$AB:$AB,"Closed in Dec")</f>
        <v>1</v>
      </c>
      <c r="C75" s="151">
        <f>COUNTIFS('Monthly Report Dec-25'!$M:$M,$A75,'Monthly Report Dec-25'!$R:$R,$C$73,'Monthly Report Dec-25'!$AB:$AB,"Closed in Dec")</f>
        <v>0</v>
      </c>
      <c r="D75" s="151">
        <f>COUNTIFS('Monthly Report Dec-25'!$M:$M,$A75,'Monthly Report Dec-25'!$R:$R,$D$73,'Monthly Report Dec-25'!$AB:$AB,"Closed in Dec")</f>
        <v>66</v>
      </c>
      <c r="E75" s="152">
        <f t="shared" si="1"/>
        <v>67</v>
      </c>
    </row>
    <row r="76" spans="1:5" x14ac:dyDescent="0.35">
      <c r="A76" s="160" t="s">
        <v>29</v>
      </c>
      <c r="B76" s="151">
        <f>COUNTIFS('Monthly Report Dec-25'!$M:$M,A76,'Monthly Report Dec-25'!$R:$R,B$73,'Monthly Report Dec-25'!$AB:$AB,"Closed in Dec")</f>
        <v>5</v>
      </c>
      <c r="C76" s="151">
        <f>COUNTIFS('Monthly Report Dec-25'!$M:$M,$A76,'Monthly Report Dec-25'!$R:$R,$C$73,'Monthly Report Dec-25'!$AB:$AB,"Closed in Dec")</f>
        <v>3</v>
      </c>
      <c r="D76" s="151">
        <f>COUNTIFS('Monthly Report Dec-25'!$M:$M,$A76,'Monthly Report Dec-25'!$R:$R,$D$73,'Monthly Report Dec-25'!$AB:$AB,"Closed in Dec")</f>
        <v>119</v>
      </c>
      <c r="E76" s="152">
        <f t="shared" si="1"/>
        <v>127</v>
      </c>
    </row>
    <row r="77" spans="1:5" x14ac:dyDescent="0.35">
      <c r="A77" s="160" t="s">
        <v>33</v>
      </c>
      <c r="B77" s="151">
        <f>COUNTIFS('Monthly Report Dec-25'!$M:$M,A77,'Monthly Report Dec-25'!$R:$R,B$73,'Monthly Report Dec-25'!$AB:$AB,"Closed in Dec")</f>
        <v>20</v>
      </c>
      <c r="C77" s="151">
        <f>COUNTIFS('Monthly Report Dec-25'!$M:$M,$A77,'Monthly Report Dec-25'!$R:$R,$C$73,'Monthly Report Dec-25'!$AB:$AB,"Closed in Dec")</f>
        <v>0</v>
      </c>
      <c r="D77" s="151">
        <f>COUNTIFS('Monthly Report Dec-25'!$M:$M,$A77,'Monthly Report Dec-25'!$R:$R,$D$73,'Monthly Report Dec-25'!$AB:$AB,"Closed in Dec")</f>
        <v>2</v>
      </c>
      <c r="E77" s="152">
        <f t="shared" si="1"/>
        <v>22</v>
      </c>
    </row>
    <row r="78" spans="1:5" x14ac:dyDescent="0.35">
      <c r="A78" s="166" t="s">
        <v>116</v>
      </c>
      <c r="B78" s="151">
        <f>COUNTIFS('Monthly Report Dec-25'!$M:$M,A78,'Monthly Report Dec-25'!$R:$R,B$73,'Monthly Report Dec-25'!$AB:$AB,"Closed in Dec")</f>
        <v>0</v>
      </c>
      <c r="C78" s="151">
        <f>COUNTIFS('Monthly Report Dec-25'!$M:$M,$A78,'Monthly Report Dec-25'!$R:$R,$C$73,'Monthly Report Dec-25'!$AB:$AB,"Closed in Dec")</f>
        <v>0</v>
      </c>
      <c r="D78" s="151">
        <f>COUNTIFS('Monthly Report Dec-25'!$M:$M,$A78,'Monthly Report Dec-25'!$R:$R,$D$73,'Monthly Report Dec-25'!$AB:$AB,"Closed in Dec")</f>
        <v>11</v>
      </c>
      <c r="E78" s="152">
        <f t="shared" si="1"/>
        <v>11</v>
      </c>
    </row>
    <row r="79" spans="1:5" x14ac:dyDescent="0.35">
      <c r="A79" s="166" t="s">
        <v>117</v>
      </c>
      <c r="B79" s="151">
        <f>COUNTIFS('Monthly Report Dec-25'!$M:$M,A79,'Monthly Report Dec-25'!$R:$R,B$73,'Monthly Report Dec-25'!$AB:$AB,"Closed in Dec")</f>
        <v>0</v>
      </c>
      <c r="C79" s="151">
        <f>COUNTIFS('Monthly Report Dec-25'!$M:$M,$A79,'Monthly Report Dec-25'!$R:$R,$C$73,'Monthly Report Dec-25'!$AB:$AB,"Closed in Dec")</f>
        <v>0</v>
      </c>
      <c r="D79" s="151">
        <f>COUNTIFS('Monthly Report Dec-25'!$M:$M,$A79,'Monthly Report Dec-25'!$R:$R,$D$73,'Monthly Report Dec-25'!$AB:$AB,"Closed in Dec")</f>
        <v>28</v>
      </c>
      <c r="E79" s="152">
        <f t="shared" si="1"/>
        <v>28</v>
      </c>
    </row>
    <row r="80" spans="1:5" x14ac:dyDescent="0.35">
      <c r="A80" s="167" t="s">
        <v>118</v>
      </c>
      <c r="B80" s="151">
        <f>COUNTIFS('Monthly Report Dec-25'!$M:$M,A80,'Monthly Report Dec-25'!$R:$R,B$73,'Monthly Report Dec-25'!$AB:$AB,"Closed in Dec")</f>
        <v>1</v>
      </c>
      <c r="C80" s="151">
        <f>COUNTIFS('Monthly Report Dec-25'!$M:$M,$A80,'Monthly Report Dec-25'!$R:$R,$C$73,'Monthly Report Dec-25'!$AB:$AB,"Closed in Dec")</f>
        <v>0</v>
      </c>
      <c r="D80" s="151">
        <f>COUNTIFS('Monthly Report Dec-25'!$M:$M,$A80,'Monthly Report Dec-25'!$R:$R,$D$73,'Monthly Report Dec-25'!$AB:$AB,"Closed in Dec")</f>
        <v>0</v>
      </c>
      <c r="E80" s="152">
        <f t="shared" si="1"/>
        <v>1</v>
      </c>
    </row>
    <row r="81" spans="1:5" x14ac:dyDescent="0.35">
      <c r="A81" s="159" t="s">
        <v>119</v>
      </c>
      <c r="B81" s="151">
        <f>COUNTIFS('Monthly Report Dec-25'!$M:$M,A81,'Monthly Report Dec-25'!$R:$R,B$73,'Monthly Report Dec-25'!$AB:$AB,"Closed in Dec")</f>
        <v>0</v>
      </c>
      <c r="C81" s="151">
        <f>COUNTIFS('Monthly Report Dec-25'!$M:$M,$A81,'Monthly Report Dec-25'!$R:$R,$C$73,'Monthly Report Dec-25'!$AB:$AB,"Closed in Dec")</f>
        <v>1</v>
      </c>
      <c r="D81" s="151">
        <f>COUNTIFS('Monthly Report Dec-25'!$M:$M,$A81,'Monthly Report Dec-25'!$R:$R,$D$73,'Monthly Report Dec-25'!$AB:$AB,"Closed in Dec")</f>
        <v>0</v>
      </c>
      <c r="E81" s="152">
        <f t="shared" si="1"/>
        <v>1</v>
      </c>
    </row>
    <row r="82" spans="1:5" ht="15" customHeight="1" thickBot="1" x14ac:dyDescent="0.4">
      <c r="A82" s="160" t="s">
        <v>120</v>
      </c>
      <c r="B82" s="151">
        <f>COUNTIFS('Monthly Report Dec-25'!$M:$M,A82,'Monthly Report Dec-25'!$R:$R,B$73,'Monthly Report Dec-25'!$AB:$AB,"Closed in Dec")</f>
        <v>0</v>
      </c>
      <c r="C82" s="151">
        <f>COUNTIFS('Monthly Report Dec-25'!$M:$M,$A82,'Monthly Report Dec-25'!$R:$R,$C$73,'Monthly Report Dec-25'!$AB:$AB,"Closed in Dec")</f>
        <v>0</v>
      </c>
      <c r="D82" s="151">
        <f>COUNTIFS('Monthly Report Dec-25'!$M:$M,$A82,'Monthly Report Dec-25'!$R:$R,$D$73,'Monthly Report Dec-25'!$AB:$AB,"Closed in Dec")</f>
        <v>0</v>
      </c>
      <c r="E82" s="152">
        <f t="shared" si="1"/>
        <v>0</v>
      </c>
    </row>
    <row r="83" spans="1:5" hidden="1" x14ac:dyDescent="0.35">
      <c r="A83" s="153" t="s">
        <v>121</v>
      </c>
      <c r="B83" s="151">
        <f>COUNTIFS('Monthly Report Dec-25'!$M:$M,A83,'Monthly Report Dec-25'!$S:$S,B$73,'Monthly Report Dec-25'!$AE:$AE,"Closed in June")</f>
        <v>0</v>
      </c>
      <c r="C83" s="151">
        <f>COUNTIFS('Monthly Report Dec-25'!$N:$N,$A83,'Monthly Report Dec-25'!$S:$S,C$73,'Monthly Report Dec-25'!$AE:$AE,"Closed in June")</f>
        <v>0</v>
      </c>
      <c r="D83" s="151">
        <f>COUNTIFS('Monthly Report Dec-25'!$N:$N,$A83,'Monthly Report Dec-25'!$S:$S,D$73,'Monthly Report Dec-25'!$AE:$AE,"Closed in June")</f>
        <v>0</v>
      </c>
      <c r="E83" s="152">
        <f t="shared" si="1"/>
        <v>0</v>
      </c>
    </row>
    <row r="84" spans="1:5" hidden="1" x14ac:dyDescent="0.35">
      <c r="A84" s="150" t="s">
        <v>122</v>
      </c>
      <c r="B84" s="151">
        <f>COUNTIFS('Monthly Report Dec-25'!$M:$M,A84,'Monthly Report Dec-25'!$S:$S,B$73,'Monthly Report Dec-25'!$AE:$AE,"Closed in June")</f>
        <v>0</v>
      </c>
      <c r="C84" s="151">
        <f>COUNTIFS('Monthly Report Dec-25'!$N:$N,$A84,'Monthly Report Dec-25'!$S:$S,C$73,'Monthly Report Dec-25'!$AE:$AE,"Closed in June")</f>
        <v>0</v>
      </c>
      <c r="D84" s="151">
        <f>COUNTIFS('Monthly Report Dec-25'!$N:$N,$A84,'Monthly Report Dec-25'!$S:$S,D$73,'Monthly Report Dec-25'!$AE:$AE,"Closed in June")</f>
        <v>0</v>
      </c>
      <c r="E84" s="152">
        <f t="shared" si="1"/>
        <v>0</v>
      </c>
    </row>
    <row r="85" spans="1:5" hidden="1" x14ac:dyDescent="0.35">
      <c r="A85" s="153" t="s">
        <v>123</v>
      </c>
      <c r="B85" s="151">
        <f>COUNTIFS('Monthly Report Dec-25'!$M:$M,A85,'Monthly Report Dec-25'!$S:$S,B$73,'Monthly Report Dec-25'!$AE:$AE,"Closed in June")</f>
        <v>0</v>
      </c>
      <c r="C85" s="151">
        <f>COUNTIFS('Monthly Report Dec-25'!$N:$N,$A85,'Monthly Report Dec-25'!$S:$S,C$73,'Monthly Report Dec-25'!$AE:$AE,"Closed in June")</f>
        <v>0</v>
      </c>
      <c r="D85" s="151">
        <f>COUNTIFS('Monthly Report Dec-25'!$N:$N,$A85,'Monthly Report Dec-25'!$S:$S,D$73,'Monthly Report Dec-25'!$AE:$AE,"Closed in June")</f>
        <v>0</v>
      </c>
      <c r="E85" s="152">
        <f t="shared" si="1"/>
        <v>0</v>
      </c>
    </row>
    <row r="86" spans="1:5" hidden="1" x14ac:dyDescent="0.35">
      <c r="A86" s="150" t="s">
        <v>35</v>
      </c>
      <c r="B86" s="151">
        <f>COUNTIFS('Monthly Report Dec-25'!$M:$M,A86,'Monthly Report Dec-25'!$S:$S,B$73,'Monthly Report Dec-25'!$AE:$AE,"Closed in June")</f>
        <v>0</v>
      </c>
      <c r="C86" s="151">
        <f>COUNTIFS('Monthly Report Dec-25'!$N:$N,$A86,'Monthly Report Dec-25'!$S:$S,C$73,'Monthly Report Dec-25'!$AE:$AE,"Closed in June")</f>
        <v>0</v>
      </c>
      <c r="D86" s="151">
        <f>COUNTIFS('Monthly Report Dec-25'!$N:$N,$A86,'Monthly Report Dec-25'!$S:$S,D$73,'Monthly Report Dec-25'!$AE:$AE,"Closed in June")</f>
        <v>0</v>
      </c>
      <c r="E86" s="152">
        <f t="shared" si="1"/>
        <v>0</v>
      </c>
    </row>
    <row r="87" spans="1:5" hidden="1" x14ac:dyDescent="0.35">
      <c r="A87" s="154" t="s">
        <v>124</v>
      </c>
      <c r="B87" s="151">
        <f>COUNTIFS('Monthly Report Dec-25'!$M:$M,A87,'Monthly Report Dec-25'!$S:$S,B$73,'Monthly Report Dec-25'!$AE:$AE,"Closed in June")</f>
        <v>0</v>
      </c>
      <c r="C87" s="151">
        <f>COUNTIFS('Monthly Report Dec-25'!$N:$N,$A87,'Monthly Report Dec-25'!$S:$S,C$73,'Monthly Report Dec-25'!$AE:$AE,"Closed in June")</f>
        <v>0</v>
      </c>
      <c r="D87" s="151">
        <f>COUNTIFS('Monthly Report Dec-25'!$N:$N,$A87,'Monthly Report Dec-25'!$S:$S,D$73,'Monthly Report Dec-25'!$AE:$AE,"Closed in June")</f>
        <v>0</v>
      </c>
      <c r="E87" s="152">
        <f t="shared" si="1"/>
        <v>0</v>
      </c>
    </row>
    <row r="88" spans="1:5" hidden="1" x14ac:dyDescent="0.35">
      <c r="A88" s="155" t="s">
        <v>125</v>
      </c>
      <c r="B88" s="151">
        <f>COUNTIFS('Monthly Report Dec-25'!$M:$M,A88,'Monthly Report Dec-25'!$S:$S,B$73,'Monthly Report Dec-25'!$AE:$AE,"Closed in June")</f>
        <v>0</v>
      </c>
      <c r="C88" s="151">
        <f>COUNTIFS('Monthly Report Dec-25'!$N:$N,$A88,'Monthly Report Dec-25'!$S:$S,C$73,'Monthly Report Dec-25'!$AE:$AE,"Closed in June")</f>
        <v>0</v>
      </c>
      <c r="D88" s="151">
        <f>COUNTIFS('Monthly Report Dec-25'!$N:$N,$A88,'Monthly Report Dec-25'!$S:$S,D$73,'Monthly Report Dec-25'!$AE:$AE,"Closed in June")</f>
        <v>0</v>
      </c>
      <c r="E88" s="152">
        <f t="shared" si="1"/>
        <v>0</v>
      </c>
    </row>
    <row r="89" spans="1:5" hidden="1" x14ac:dyDescent="0.35">
      <c r="A89" s="155" t="s">
        <v>126</v>
      </c>
      <c r="B89" s="151">
        <f>COUNTIFS('Monthly Report Dec-25'!$M:$M,A89,'Monthly Report Dec-25'!$S:$S,B$73,'Monthly Report Dec-25'!$AE:$AE,"Closed in June")</f>
        <v>0</v>
      </c>
      <c r="C89" s="151">
        <f>COUNTIFS('Monthly Report Dec-25'!$N:$N,$A89,'Monthly Report Dec-25'!$S:$S,C$73,'Monthly Report Dec-25'!$AE:$AE,"Closed in June")</f>
        <v>0</v>
      </c>
      <c r="D89" s="151">
        <f>COUNTIFS('Monthly Report Dec-25'!$N:$N,$A89,'Monthly Report Dec-25'!$S:$S,D$73,'Monthly Report Dec-25'!$AE:$AE,"Closed in June")</f>
        <v>0</v>
      </c>
      <c r="E89" s="152">
        <f t="shared" si="1"/>
        <v>0</v>
      </c>
    </row>
    <row r="90" spans="1:5" ht="15" customHeight="1" thickBot="1" x14ac:dyDescent="0.4">
      <c r="A90" s="156" t="s">
        <v>114</v>
      </c>
      <c r="B90" s="157">
        <f>SUM(B74:B88)</f>
        <v>122</v>
      </c>
      <c r="C90" s="157">
        <f>SUM(C74:C88)</f>
        <v>16</v>
      </c>
      <c r="D90" s="157">
        <f>SUM(D74:D88)</f>
        <v>270</v>
      </c>
      <c r="E90" s="158">
        <f>SUM(E74:E89)</f>
        <v>408</v>
      </c>
    </row>
    <row r="91" spans="1:5" x14ac:dyDescent="0.35">
      <c r="A91" s="150"/>
      <c r="B91" s="151"/>
      <c r="C91" s="151"/>
      <c r="D91" s="151"/>
      <c r="E91" s="168"/>
    </row>
    <row r="92" spans="1:5" x14ac:dyDescent="0.35">
      <c r="A92" s="153"/>
      <c r="B92" s="151"/>
      <c r="C92" s="151"/>
      <c r="D92" s="151"/>
      <c r="E92" s="168"/>
    </row>
    <row r="93" spans="1:5" x14ac:dyDescent="0.35">
      <c r="A93" s="150"/>
      <c r="B93" s="151"/>
      <c r="C93" s="151"/>
      <c r="D93" s="151"/>
      <c r="E93" s="168"/>
    </row>
    <row r="94" spans="1:5" x14ac:dyDescent="0.35">
      <c r="A94" s="154"/>
      <c r="B94" s="151"/>
      <c r="C94" s="151"/>
      <c r="D94" s="151"/>
      <c r="E94" s="168"/>
    </row>
    <row r="102" spans="5:5" x14ac:dyDescent="0.35">
      <c r="E102" t="s">
        <v>127</v>
      </c>
    </row>
  </sheetData>
  <mergeCells count="8">
    <mergeCell ref="A8:D8"/>
    <mergeCell ref="A72:E72"/>
    <mergeCell ref="A1:I2"/>
    <mergeCell ref="B4:G4"/>
    <mergeCell ref="H34:J34"/>
    <mergeCell ref="H17:J17"/>
    <mergeCell ref="A17:E17"/>
    <mergeCell ref="A38:C38"/>
  </mergeCells>
  <pageMargins left="0.7" right="0.7" top="0.75" bottom="0.75" header="0.3" footer="0.3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4"/>
  <sheetViews>
    <sheetView zoomScale="80" zoomScaleNormal="80" workbookViewId="0">
      <pane ySplit="1" topLeftCell="A8" activePane="bottomLeft" state="frozen"/>
      <selection pane="bottomLeft" activeCell="E30" sqref="E30"/>
    </sheetView>
  </sheetViews>
  <sheetFormatPr defaultRowHeight="12" x14ac:dyDescent="0.3"/>
  <cols>
    <col min="1" max="1" width="10.6328125" style="5" customWidth="1"/>
    <col min="2" max="2" width="30.453125" style="5" bestFit="1" customWidth="1"/>
    <col min="3" max="3" width="18.90625" style="5" bestFit="1" customWidth="1"/>
    <col min="4" max="4" width="10.08984375" style="5" bestFit="1" customWidth="1"/>
    <col min="5" max="5" width="21.90625" style="5" bestFit="1" customWidth="1"/>
    <col min="6" max="6" width="15.08984375" style="5" bestFit="1" customWidth="1"/>
    <col min="7" max="7" width="17.81640625" style="5" bestFit="1" customWidth="1"/>
    <col min="8" max="8" width="14.08984375" style="5" bestFit="1" customWidth="1"/>
    <col min="9" max="9" width="8.7265625" style="5" customWidth="1"/>
    <col min="10" max="16384" width="8.7265625" style="5"/>
  </cols>
  <sheetData>
    <row r="1" spans="1:8" ht="21" customHeight="1" x14ac:dyDescent="0.3">
      <c r="A1" s="7" t="s">
        <v>97</v>
      </c>
      <c r="B1" s="7" t="s">
        <v>3</v>
      </c>
      <c r="C1" s="7" t="s">
        <v>128</v>
      </c>
      <c r="D1" s="7" t="s">
        <v>23</v>
      </c>
      <c r="E1" s="7" t="s">
        <v>129</v>
      </c>
      <c r="F1" s="7" t="s">
        <v>130</v>
      </c>
      <c r="G1" s="7" t="s">
        <v>131</v>
      </c>
      <c r="H1" s="7" t="s">
        <v>132</v>
      </c>
    </row>
    <row r="2" spans="1:8" x14ac:dyDescent="0.3">
      <c r="A2" s="4">
        <v>45995</v>
      </c>
      <c r="B2" s="6" t="s">
        <v>21</v>
      </c>
      <c r="C2" s="31" t="s">
        <v>133</v>
      </c>
      <c r="D2" s="44" t="s">
        <v>28</v>
      </c>
      <c r="E2" s="3">
        <v>26</v>
      </c>
      <c r="F2" s="3" t="s">
        <v>134</v>
      </c>
      <c r="G2" s="3" t="s">
        <v>135</v>
      </c>
      <c r="H2" s="3" t="s">
        <v>136</v>
      </c>
    </row>
    <row r="3" spans="1:8" x14ac:dyDescent="0.3">
      <c r="A3" s="4">
        <v>45996</v>
      </c>
      <c r="B3" s="6" t="s">
        <v>21</v>
      </c>
      <c r="C3" s="31" t="s">
        <v>133</v>
      </c>
      <c r="D3" s="44" t="s">
        <v>28</v>
      </c>
      <c r="E3" s="3">
        <v>25</v>
      </c>
      <c r="F3" s="3" t="s">
        <v>134</v>
      </c>
      <c r="G3" s="3" t="s">
        <v>135</v>
      </c>
      <c r="H3" s="3" t="s">
        <v>136</v>
      </c>
    </row>
    <row r="4" spans="1:8" x14ac:dyDescent="0.3">
      <c r="A4" s="4">
        <v>45997</v>
      </c>
      <c r="B4" s="6" t="s">
        <v>21</v>
      </c>
      <c r="C4" s="31" t="s">
        <v>133</v>
      </c>
      <c r="D4" s="44" t="s">
        <v>28</v>
      </c>
      <c r="E4" s="3">
        <v>29</v>
      </c>
      <c r="F4" s="3" t="s">
        <v>134</v>
      </c>
      <c r="G4" s="3" t="s">
        <v>135</v>
      </c>
      <c r="H4" s="3" t="s">
        <v>136</v>
      </c>
    </row>
    <row r="5" spans="1:8" x14ac:dyDescent="0.3">
      <c r="A5" s="4">
        <v>45998</v>
      </c>
      <c r="B5" s="6" t="s">
        <v>21</v>
      </c>
      <c r="C5" s="31" t="s">
        <v>133</v>
      </c>
      <c r="D5" s="44" t="s">
        <v>28</v>
      </c>
      <c r="E5" s="3">
        <v>18</v>
      </c>
      <c r="F5" s="3" t="s">
        <v>134</v>
      </c>
      <c r="G5" s="3" t="s">
        <v>135</v>
      </c>
      <c r="H5" s="3" t="s">
        <v>136</v>
      </c>
    </row>
    <row r="6" spans="1:8" x14ac:dyDescent="0.3">
      <c r="A6" s="4">
        <v>45999</v>
      </c>
      <c r="B6" s="2" t="s">
        <v>77</v>
      </c>
      <c r="C6" s="2" t="s">
        <v>137</v>
      </c>
      <c r="D6" s="2" t="s">
        <v>38</v>
      </c>
      <c r="E6" s="3">
        <v>1</v>
      </c>
      <c r="F6" s="3" t="s">
        <v>138</v>
      </c>
      <c r="G6" s="3" t="s">
        <v>135</v>
      </c>
      <c r="H6" s="3" t="s">
        <v>136</v>
      </c>
    </row>
    <row r="7" spans="1:8" x14ac:dyDescent="0.3">
      <c r="A7" s="4">
        <v>45999</v>
      </c>
      <c r="B7" s="2" t="s">
        <v>77</v>
      </c>
      <c r="C7" s="1" t="s">
        <v>139</v>
      </c>
      <c r="D7" s="1" t="s">
        <v>40</v>
      </c>
      <c r="E7" s="3">
        <v>1</v>
      </c>
      <c r="F7" s="3" t="s">
        <v>140</v>
      </c>
      <c r="G7" s="3" t="s">
        <v>135</v>
      </c>
      <c r="H7" s="3" t="s">
        <v>136</v>
      </c>
    </row>
    <row r="8" spans="1:8" x14ac:dyDescent="0.3">
      <c r="A8" s="4">
        <v>45999</v>
      </c>
      <c r="B8" s="2" t="s">
        <v>77</v>
      </c>
      <c r="C8" s="1" t="s">
        <v>141</v>
      </c>
      <c r="D8" s="1" t="s">
        <v>40</v>
      </c>
      <c r="E8" s="3">
        <v>3</v>
      </c>
      <c r="F8" s="3" t="s">
        <v>140</v>
      </c>
      <c r="G8" s="3" t="s">
        <v>135</v>
      </c>
      <c r="H8" s="3" t="s">
        <v>136</v>
      </c>
    </row>
    <row r="9" spans="1:8" x14ac:dyDescent="0.3">
      <c r="A9" s="4">
        <v>45999</v>
      </c>
      <c r="B9" s="2" t="s">
        <v>76</v>
      </c>
      <c r="C9" s="9" t="s">
        <v>142</v>
      </c>
      <c r="D9" s="33" t="s">
        <v>28</v>
      </c>
      <c r="E9" s="3">
        <v>1</v>
      </c>
      <c r="F9" s="3" t="s">
        <v>143</v>
      </c>
      <c r="G9" s="3" t="s">
        <v>135</v>
      </c>
      <c r="H9" s="3" t="s">
        <v>136</v>
      </c>
    </row>
    <row r="10" spans="1:8" x14ac:dyDescent="0.3">
      <c r="A10" s="4">
        <v>45999</v>
      </c>
      <c r="B10" s="1" t="s">
        <v>6</v>
      </c>
      <c r="C10" s="32" t="s">
        <v>144</v>
      </c>
      <c r="D10" s="32" t="s">
        <v>84</v>
      </c>
      <c r="E10" s="3">
        <v>9</v>
      </c>
      <c r="F10" s="3" t="s">
        <v>145</v>
      </c>
      <c r="G10" s="3" t="s">
        <v>135</v>
      </c>
      <c r="H10" s="3" t="s">
        <v>136</v>
      </c>
    </row>
    <row r="11" spans="1:8" x14ac:dyDescent="0.3">
      <c r="A11" s="4">
        <v>46001</v>
      </c>
      <c r="B11" s="1" t="s">
        <v>6</v>
      </c>
      <c r="C11" s="32" t="s">
        <v>144</v>
      </c>
      <c r="D11" s="32" t="s">
        <v>84</v>
      </c>
      <c r="E11" s="3">
        <v>19</v>
      </c>
      <c r="F11" s="3" t="s">
        <v>145</v>
      </c>
      <c r="G11" s="3" t="s">
        <v>135</v>
      </c>
      <c r="H11" s="3" t="s">
        <v>136</v>
      </c>
    </row>
    <row r="12" spans="1:8" x14ac:dyDescent="0.3">
      <c r="A12" s="4">
        <v>46001</v>
      </c>
      <c r="B12" s="1" t="s">
        <v>76</v>
      </c>
      <c r="C12" s="1" t="s">
        <v>146</v>
      </c>
      <c r="D12" s="1" t="s">
        <v>38</v>
      </c>
      <c r="E12" s="3">
        <v>1</v>
      </c>
      <c r="F12" s="3" t="s">
        <v>138</v>
      </c>
      <c r="G12" s="1" t="s">
        <v>147</v>
      </c>
      <c r="H12" s="3" t="s">
        <v>136</v>
      </c>
    </row>
    <row r="13" spans="1:8" x14ac:dyDescent="0.3">
      <c r="A13" s="4">
        <v>45992</v>
      </c>
      <c r="B13" s="1" t="s">
        <v>90</v>
      </c>
      <c r="C13" s="9" t="s">
        <v>148</v>
      </c>
      <c r="D13" s="16" t="s">
        <v>38</v>
      </c>
      <c r="E13" s="3">
        <v>1</v>
      </c>
      <c r="F13" s="3" t="s">
        <v>149</v>
      </c>
      <c r="G13" s="3" t="s">
        <v>135</v>
      </c>
      <c r="H13" s="3" t="s">
        <v>149</v>
      </c>
    </row>
    <row r="14" spans="1:8" x14ac:dyDescent="0.3">
      <c r="A14" s="4">
        <v>46001</v>
      </c>
      <c r="B14" s="1" t="s">
        <v>90</v>
      </c>
      <c r="C14" s="1" t="s">
        <v>150</v>
      </c>
      <c r="D14" s="1" t="s">
        <v>38</v>
      </c>
      <c r="E14" s="3">
        <v>19</v>
      </c>
      <c r="F14" s="3" t="s">
        <v>138</v>
      </c>
      <c r="G14" s="3" t="s">
        <v>135</v>
      </c>
      <c r="H14" s="3" t="s">
        <v>151</v>
      </c>
    </row>
    <row r="15" spans="1:8" x14ac:dyDescent="0.3">
      <c r="A15" s="4">
        <v>46002</v>
      </c>
      <c r="B15" s="1" t="s">
        <v>6</v>
      </c>
      <c r="C15" s="32" t="s">
        <v>144</v>
      </c>
      <c r="D15" s="32" t="s">
        <v>84</v>
      </c>
      <c r="E15" s="3">
        <v>18</v>
      </c>
      <c r="F15" s="3" t="s">
        <v>145</v>
      </c>
      <c r="G15" s="3" t="s">
        <v>135</v>
      </c>
      <c r="H15" s="3" t="s">
        <v>136</v>
      </c>
    </row>
    <row r="16" spans="1:8" x14ac:dyDescent="0.3">
      <c r="A16" s="4">
        <v>46003</v>
      </c>
      <c r="B16" s="1" t="s">
        <v>6</v>
      </c>
      <c r="C16" s="32" t="s">
        <v>144</v>
      </c>
      <c r="D16" s="32" t="s">
        <v>84</v>
      </c>
      <c r="E16" s="3">
        <v>12</v>
      </c>
      <c r="F16" s="3" t="s">
        <v>145</v>
      </c>
      <c r="G16" s="3" t="s">
        <v>135</v>
      </c>
      <c r="H16" s="3" t="s">
        <v>136</v>
      </c>
    </row>
    <row r="17" spans="1:8" x14ac:dyDescent="0.3">
      <c r="A17" s="4">
        <v>46003</v>
      </c>
      <c r="B17" s="1" t="s">
        <v>152</v>
      </c>
      <c r="C17" s="32" t="s">
        <v>153</v>
      </c>
      <c r="D17" s="32" t="s">
        <v>28</v>
      </c>
      <c r="E17" s="3">
        <v>6</v>
      </c>
      <c r="F17" s="3" t="s">
        <v>154</v>
      </c>
      <c r="G17" s="3" t="s">
        <v>135</v>
      </c>
      <c r="H17" s="3" t="s">
        <v>136</v>
      </c>
    </row>
    <row r="18" spans="1:8" x14ac:dyDescent="0.3">
      <c r="A18" s="4">
        <v>46004</v>
      </c>
      <c r="B18" s="1" t="s">
        <v>6</v>
      </c>
      <c r="C18" s="32" t="s">
        <v>144</v>
      </c>
      <c r="D18" s="32" t="s">
        <v>84</v>
      </c>
      <c r="E18" s="3">
        <v>14</v>
      </c>
      <c r="F18" s="3" t="s">
        <v>145</v>
      </c>
      <c r="G18" s="3" t="s">
        <v>135</v>
      </c>
      <c r="H18" s="3" t="s">
        <v>136</v>
      </c>
    </row>
    <row r="19" spans="1:8" x14ac:dyDescent="0.3">
      <c r="A19" s="4">
        <v>46004</v>
      </c>
      <c r="B19" s="1" t="s">
        <v>81</v>
      </c>
      <c r="C19" s="32" t="s">
        <v>155</v>
      </c>
      <c r="D19" s="32" t="s">
        <v>156</v>
      </c>
      <c r="E19" s="3">
        <v>6</v>
      </c>
      <c r="F19" s="3" t="s">
        <v>157</v>
      </c>
      <c r="G19" s="3" t="s">
        <v>135</v>
      </c>
      <c r="H19" s="3" t="s">
        <v>136</v>
      </c>
    </row>
    <row r="20" spans="1:8" x14ac:dyDescent="0.3">
      <c r="A20" s="4">
        <v>46004</v>
      </c>
      <c r="B20" s="1" t="s">
        <v>152</v>
      </c>
      <c r="C20" s="32" t="s">
        <v>153</v>
      </c>
      <c r="D20" s="32" t="s">
        <v>28</v>
      </c>
      <c r="E20" s="3">
        <v>5</v>
      </c>
      <c r="F20" s="3" t="s">
        <v>154</v>
      </c>
      <c r="G20" s="3" t="s">
        <v>135</v>
      </c>
      <c r="H20" s="3" t="s">
        <v>136</v>
      </c>
    </row>
    <row r="21" spans="1:8" x14ac:dyDescent="0.3">
      <c r="A21" s="4">
        <v>46006</v>
      </c>
      <c r="B21" s="1" t="s">
        <v>6</v>
      </c>
      <c r="C21" s="32" t="s">
        <v>144</v>
      </c>
      <c r="D21" s="32" t="s">
        <v>84</v>
      </c>
      <c r="E21" s="3">
        <v>15</v>
      </c>
      <c r="F21" s="3" t="s">
        <v>145</v>
      </c>
      <c r="G21" s="3" t="s">
        <v>135</v>
      </c>
      <c r="H21" s="3" t="s">
        <v>136</v>
      </c>
    </row>
    <row r="22" spans="1:8" x14ac:dyDescent="0.3">
      <c r="A22" s="4">
        <v>46006</v>
      </c>
      <c r="B22" s="1" t="s">
        <v>81</v>
      </c>
      <c r="C22" s="32" t="s">
        <v>155</v>
      </c>
      <c r="D22" s="32" t="s">
        <v>156</v>
      </c>
      <c r="E22" s="3">
        <v>10</v>
      </c>
      <c r="F22" s="3" t="s">
        <v>157</v>
      </c>
      <c r="G22" s="3" t="s">
        <v>135</v>
      </c>
      <c r="H22" s="3" t="s">
        <v>136</v>
      </c>
    </row>
    <row r="23" spans="1:8" x14ac:dyDescent="0.3">
      <c r="A23" s="4">
        <v>46006</v>
      </c>
      <c r="B23" s="9" t="s">
        <v>89</v>
      </c>
      <c r="C23" s="25" t="s">
        <v>158</v>
      </c>
      <c r="D23" s="9" t="s">
        <v>30</v>
      </c>
      <c r="E23" s="3">
        <v>1</v>
      </c>
      <c r="F23" s="3" t="s">
        <v>149</v>
      </c>
      <c r="G23" s="3" t="s">
        <v>135</v>
      </c>
      <c r="H23" s="3" t="s">
        <v>149</v>
      </c>
    </row>
    <row r="24" spans="1:8" x14ac:dyDescent="0.3">
      <c r="A24" s="4">
        <v>46007</v>
      </c>
      <c r="B24" s="1" t="s">
        <v>6</v>
      </c>
      <c r="C24" s="32" t="s">
        <v>144</v>
      </c>
      <c r="D24" s="32" t="s">
        <v>84</v>
      </c>
      <c r="E24" s="3">
        <v>18</v>
      </c>
      <c r="F24" s="3" t="s">
        <v>145</v>
      </c>
      <c r="G24" s="3" t="s">
        <v>135</v>
      </c>
      <c r="H24" s="3" t="s">
        <v>136</v>
      </c>
    </row>
    <row r="25" spans="1:8" x14ac:dyDescent="0.3">
      <c r="A25" s="4">
        <v>46007</v>
      </c>
      <c r="B25" s="1" t="s">
        <v>81</v>
      </c>
      <c r="C25" s="32" t="s">
        <v>144</v>
      </c>
      <c r="D25" s="32" t="s">
        <v>84</v>
      </c>
      <c r="E25" s="3">
        <v>5</v>
      </c>
      <c r="F25" s="3" t="s">
        <v>157</v>
      </c>
      <c r="G25" s="3" t="s">
        <v>135</v>
      </c>
      <c r="H25" s="3" t="s">
        <v>136</v>
      </c>
    </row>
    <row r="26" spans="1:8" x14ac:dyDescent="0.3">
      <c r="A26" s="4">
        <v>46008</v>
      </c>
      <c r="B26" s="1" t="s">
        <v>81</v>
      </c>
      <c r="C26" s="32" t="s">
        <v>155</v>
      </c>
      <c r="D26" s="32" t="s">
        <v>156</v>
      </c>
      <c r="E26" s="3">
        <v>4</v>
      </c>
      <c r="F26" s="3" t="s">
        <v>157</v>
      </c>
      <c r="G26" s="3" t="s">
        <v>135</v>
      </c>
      <c r="H26" s="3" t="s">
        <v>136</v>
      </c>
    </row>
    <row r="27" spans="1:8" x14ac:dyDescent="0.3">
      <c r="A27" s="4">
        <v>46008</v>
      </c>
      <c r="B27" s="1" t="s">
        <v>6</v>
      </c>
      <c r="C27" s="32" t="s">
        <v>144</v>
      </c>
      <c r="D27" s="32" t="s">
        <v>84</v>
      </c>
      <c r="E27" s="3">
        <v>60</v>
      </c>
      <c r="F27" s="3" t="s">
        <v>145</v>
      </c>
      <c r="G27" s="3" t="s">
        <v>135</v>
      </c>
      <c r="H27" s="3" t="s">
        <v>136</v>
      </c>
    </row>
    <row r="28" spans="1:8" x14ac:dyDescent="0.3">
      <c r="A28" s="4">
        <v>46009</v>
      </c>
      <c r="B28" s="1" t="s">
        <v>81</v>
      </c>
      <c r="C28" s="32" t="s">
        <v>155</v>
      </c>
      <c r="D28" s="32" t="s">
        <v>156</v>
      </c>
      <c r="E28" s="3">
        <v>6</v>
      </c>
      <c r="F28" s="3" t="s">
        <v>157</v>
      </c>
      <c r="G28" s="3" t="s">
        <v>135</v>
      </c>
      <c r="H28" s="3" t="s">
        <v>136</v>
      </c>
    </row>
    <row r="29" spans="1:8" x14ac:dyDescent="0.3">
      <c r="A29" s="4">
        <v>46009</v>
      </c>
      <c r="B29" s="1" t="s">
        <v>6</v>
      </c>
      <c r="C29" s="32" t="s">
        <v>144</v>
      </c>
      <c r="D29" s="32" t="s">
        <v>84</v>
      </c>
      <c r="E29" s="3">
        <v>16</v>
      </c>
      <c r="F29" s="3" t="s">
        <v>145</v>
      </c>
      <c r="G29" s="3" t="s">
        <v>135</v>
      </c>
      <c r="H29" s="3" t="s">
        <v>136</v>
      </c>
    </row>
    <row r="30" spans="1:8" x14ac:dyDescent="0.3">
      <c r="A30" s="4">
        <v>46010</v>
      </c>
      <c r="B30" s="1" t="s">
        <v>81</v>
      </c>
      <c r="C30" s="32" t="s">
        <v>155</v>
      </c>
      <c r="D30" s="32" t="s">
        <v>156</v>
      </c>
      <c r="E30" s="3">
        <v>3</v>
      </c>
      <c r="F30" s="3" t="s">
        <v>157</v>
      </c>
      <c r="G30" s="3" t="s">
        <v>135</v>
      </c>
      <c r="H30" s="3" t="s">
        <v>136</v>
      </c>
    </row>
    <row r="31" spans="1:8" x14ac:dyDescent="0.3">
      <c r="A31" s="4">
        <v>46011</v>
      </c>
      <c r="B31" s="1" t="s">
        <v>81</v>
      </c>
      <c r="C31" s="32" t="s">
        <v>155</v>
      </c>
      <c r="D31" s="32" t="s">
        <v>156</v>
      </c>
      <c r="E31" s="3">
        <v>10</v>
      </c>
      <c r="F31" s="3" t="s">
        <v>157</v>
      </c>
      <c r="G31" s="3" t="s">
        <v>135</v>
      </c>
      <c r="H31" s="3" t="s">
        <v>136</v>
      </c>
    </row>
    <row r="32" spans="1:8" x14ac:dyDescent="0.3">
      <c r="A32" s="4">
        <v>46011</v>
      </c>
      <c r="B32" s="1" t="s">
        <v>79</v>
      </c>
      <c r="C32" s="1" t="s">
        <v>159</v>
      </c>
      <c r="D32" s="1" t="s">
        <v>160</v>
      </c>
      <c r="E32" s="3">
        <v>1</v>
      </c>
      <c r="F32" s="3" t="s">
        <v>154</v>
      </c>
      <c r="G32" s="3" t="s">
        <v>135</v>
      </c>
      <c r="H32" s="3" t="s">
        <v>136</v>
      </c>
    </row>
    <row r="33" spans="1:8" x14ac:dyDescent="0.3">
      <c r="A33" s="4">
        <v>46013</v>
      </c>
      <c r="B33" s="1" t="s">
        <v>81</v>
      </c>
      <c r="C33" s="32" t="s">
        <v>155</v>
      </c>
      <c r="D33" s="32" t="s">
        <v>156</v>
      </c>
      <c r="E33" s="3">
        <v>14</v>
      </c>
      <c r="F33" s="3" t="s">
        <v>157</v>
      </c>
      <c r="G33" s="3" t="s">
        <v>135</v>
      </c>
      <c r="H33" s="3" t="s">
        <v>136</v>
      </c>
    </row>
    <row r="34" spans="1:8" x14ac:dyDescent="0.3">
      <c r="A34" s="70">
        <v>46013</v>
      </c>
      <c r="B34" s="1" t="s">
        <v>83</v>
      </c>
      <c r="C34" s="1" t="s">
        <v>161</v>
      </c>
      <c r="D34" s="1" t="s">
        <v>162</v>
      </c>
      <c r="E34" s="3">
        <v>9</v>
      </c>
      <c r="F34" s="3" t="s">
        <v>145</v>
      </c>
      <c r="G34" s="3" t="s">
        <v>135</v>
      </c>
      <c r="H34" s="3" t="s">
        <v>136</v>
      </c>
    </row>
    <row r="35" spans="1:8" x14ac:dyDescent="0.3">
      <c r="A35" s="4">
        <v>46014</v>
      </c>
      <c r="B35" s="3" t="s">
        <v>85</v>
      </c>
      <c r="C35" s="9" t="s">
        <v>163</v>
      </c>
      <c r="D35" s="9" t="s">
        <v>162</v>
      </c>
      <c r="E35" s="3">
        <v>6</v>
      </c>
      <c r="F35" s="3" t="s">
        <v>145</v>
      </c>
      <c r="G35" s="3" t="s">
        <v>135</v>
      </c>
      <c r="H35" s="3" t="s">
        <v>136</v>
      </c>
    </row>
    <row r="36" spans="1:8" x14ac:dyDescent="0.3">
      <c r="A36" s="4">
        <v>46015</v>
      </c>
      <c r="B36" s="3" t="s">
        <v>86</v>
      </c>
      <c r="C36" s="9" t="s">
        <v>164</v>
      </c>
      <c r="D36" s="9" t="s">
        <v>84</v>
      </c>
      <c r="E36" s="3">
        <v>1</v>
      </c>
      <c r="F36" s="3" t="s">
        <v>165</v>
      </c>
      <c r="G36" s="3" t="s">
        <v>135</v>
      </c>
      <c r="H36" s="3" t="s">
        <v>149</v>
      </c>
    </row>
    <row r="37" spans="1:8" x14ac:dyDescent="0.3">
      <c r="A37" s="4">
        <v>46020</v>
      </c>
      <c r="B37" s="9" t="s">
        <v>15</v>
      </c>
      <c r="C37" s="9" t="s">
        <v>166</v>
      </c>
      <c r="D37" s="9" t="s">
        <v>28</v>
      </c>
      <c r="E37" s="3">
        <v>6</v>
      </c>
      <c r="F37" s="3" t="s">
        <v>167</v>
      </c>
      <c r="G37" s="3" t="s">
        <v>135</v>
      </c>
      <c r="H37" s="3" t="s">
        <v>136</v>
      </c>
    </row>
    <row r="38" spans="1:8" x14ac:dyDescent="0.3">
      <c r="A38" s="4">
        <v>46021</v>
      </c>
      <c r="B38" s="9" t="s">
        <v>15</v>
      </c>
      <c r="C38" s="9" t="s">
        <v>166</v>
      </c>
      <c r="D38" s="9" t="s">
        <v>28</v>
      </c>
      <c r="E38" s="3">
        <v>10</v>
      </c>
      <c r="F38" s="3" t="s">
        <v>167</v>
      </c>
      <c r="G38" s="3" t="s">
        <v>135</v>
      </c>
      <c r="H38" s="3" t="s">
        <v>136</v>
      </c>
    </row>
    <row r="39" spans="1:8" x14ac:dyDescent="0.3">
      <c r="A39" s="4">
        <v>46022</v>
      </c>
      <c r="B39" s="9" t="s">
        <v>15</v>
      </c>
      <c r="C39" s="9" t="s">
        <v>166</v>
      </c>
      <c r="D39" s="9" t="s">
        <v>28</v>
      </c>
      <c r="E39" s="3">
        <v>7</v>
      </c>
      <c r="F39" s="3" t="s">
        <v>167</v>
      </c>
      <c r="G39" s="3" t="s">
        <v>135</v>
      </c>
      <c r="H39" s="3" t="s">
        <v>136</v>
      </c>
    </row>
    <row r="40" spans="1:8" x14ac:dyDescent="0.3">
      <c r="A40" s="4"/>
      <c r="B40" s="3"/>
      <c r="C40" s="3"/>
      <c r="D40" s="3"/>
      <c r="E40" s="3"/>
      <c r="F40" s="3"/>
      <c r="G40" s="3"/>
      <c r="H40" s="3"/>
    </row>
    <row r="41" spans="1:8" x14ac:dyDescent="0.3">
      <c r="A41" s="4"/>
      <c r="B41" s="1"/>
      <c r="C41" s="1"/>
      <c r="D41" s="1"/>
      <c r="E41" s="3"/>
      <c r="F41" s="3"/>
      <c r="G41" s="3"/>
      <c r="H41" s="3"/>
    </row>
    <row r="42" spans="1:8" x14ac:dyDescent="0.3">
      <c r="A42" s="4"/>
      <c r="B42" s="3"/>
      <c r="C42" s="3"/>
      <c r="D42" s="3"/>
      <c r="E42" s="3"/>
      <c r="F42" s="3"/>
      <c r="G42" s="3"/>
      <c r="H42" s="3"/>
    </row>
    <row r="43" spans="1:8" x14ac:dyDescent="0.3">
      <c r="A43" s="4"/>
      <c r="B43" s="3"/>
      <c r="C43" s="3"/>
      <c r="D43" s="3"/>
      <c r="E43" s="3"/>
      <c r="F43" s="3"/>
      <c r="G43" s="3"/>
      <c r="H43" s="3"/>
    </row>
    <row r="44" spans="1:8" x14ac:dyDescent="0.3">
      <c r="A44" s="4"/>
      <c r="B44" s="1"/>
      <c r="C44" s="1"/>
      <c r="D44" s="1"/>
      <c r="E44" s="3"/>
      <c r="F44" s="3"/>
      <c r="G44" s="3"/>
      <c r="H44" s="3"/>
    </row>
    <row r="45" spans="1:8" x14ac:dyDescent="0.3">
      <c r="A45" s="4"/>
      <c r="B45" s="3"/>
      <c r="C45" s="3"/>
      <c r="D45" s="3"/>
      <c r="E45" s="3"/>
      <c r="F45" s="3"/>
      <c r="G45" s="1"/>
      <c r="H45" s="3"/>
    </row>
    <row r="46" spans="1:8" x14ac:dyDescent="0.3">
      <c r="A46" s="4"/>
      <c r="B46" s="3"/>
      <c r="C46" s="3"/>
      <c r="D46" s="3"/>
      <c r="E46" s="3"/>
      <c r="F46" s="3"/>
      <c r="G46" s="1"/>
      <c r="H46" s="3"/>
    </row>
    <row r="47" spans="1:8" x14ac:dyDescent="0.3">
      <c r="A47" s="4"/>
      <c r="B47" s="3"/>
      <c r="C47" s="3"/>
      <c r="D47" s="3"/>
      <c r="E47" s="3"/>
      <c r="F47" s="3"/>
      <c r="G47" s="1"/>
      <c r="H47" s="3"/>
    </row>
    <row r="48" spans="1:8" x14ac:dyDescent="0.3">
      <c r="A48" s="4"/>
      <c r="B48" s="3"/>
      <c r="C48" s="3"/>
      <c r="D48" s="3"/>
      <c r="E48" s="3"/>
      <c r="F48" s="3"/>
      <c r="G48" s="3"/>
      <c r="H48" s="3"/>
    </row>
    <row r="49" spans="1:8" x14ac:dyDescent="0.3">
      <c r="A49" s="4"/>
      <c r="B49" s="3"/>
      <c r="C49" s="3"/>
      <c r="D49" s="3"/>
      <c r="E49" s="3"/>
      <c r="F49" s="3"/>
      <c r="G49" s="3"/>
      <c r="H49" s="3"/>
    </row>
    <row r="50" spans="1:8" x14ac:dyDescent="0.3">
      <c r="A50" s="4"/>
      <c r="B50" s="1"/>
      <c r="C50" s="1"/>
      <c r="D50" s="1"/>
      <c r="E50" s="3"/>
      <c r="F50" s="3"/>
      <c r="G50" s="3"/>
      <c r="H50" s="3"/>
    </row>
    <row r="51" spans="1:8" x14ac:dyDescent="0.3">
      <c r="A51" s="4"/>
      <c r="B51" s="1"/>
      <c r="C51" s="1"/>
      <c r="D51" s="1"/>
      <c r="E51" s="3"/>
      <c r="F51" s="3"/>
      <c r="G51" s="3"/>
      <c r="H51" s="3"/>
    </row>
    <row r="52" spans="1:8" x14ac:dyDescent="0.3">
      <c r="A52" s="4"/>
      <c r="B52" s="3"/>
      <c r="C52" s="3"/>
      <c r="D52" s="3"/>
      <c r="E52" s="3"/>
      <c r="F52" s="3"/>
      <c r="G52" s="3"/>
      <c r="H52" s="3"/>
    </row>
    <row r="53" spans="1:8" x14ac:dyDescent="0.3">
      <c r="A53" s="4"/>
      <c r="B53" s="1"/>
      <c r="C53" s="1"/>
      <c r="D53" s="1"/>
      <c r="E53" s="3"/>
      <c r="F53" s="3"/>
      <c r="G53" s="3"/>
      <c r="H53" s="3"/>
    </row>
    <row r="54" spans="1:8" x14ac:dyDescent="0.3">
      <c r="A54" s="4"/>
      <c r="B54" s="3"/>
      <c r="C54" s="3"/>
      <c r="D54" s="3"/>
      <c r="E54" s="3"/>
      <c r="F54" s="3"/>
      <c r="G54" s="3"/>
      <c r="H54" s="3"/>
    </row>
    <row r="55" spans="1:8" x14ac:dyDescent="0.3">
      <c r="A55" s="4"/>
      <c r="B55" s="1"/>
      <c r="C55" s="1"/>
      <c r="D55" s="1"/>
      <c r="E55" s="3"/>
      <c r="F55" s="3"/>
      <c r="G55" s="3"/>
      <c r="H55" s="3"/>
    </row>
    <row r="56" spans="1:8" x14ac:dyDescent="0.3">
      <c r="A56" s="4"/>
      <c r="B56" s="3"/>
      <c r="C56" s="3"/>
      <c r="D56" s="3"/>
      <c r="E56" s="3"/>
      <c r="F56" s="3"/>
      <c r="G56" s="3"/>
      <c r="H56" s="3"/>
    </row>
    <row r="57" spans="1:8" x14ac:dyDescent="0.3">
      <c r="A57" s="4"/>
      <c r="B57" s="1"/>
      <c r="C57" s="1"/>
      <c r="D57" s="1"/>
      <c r="E57" s="3"/>
      <c r="F57" s="3"/>
      <c r="G57" s="3"/>
      <c r="H57" s="3"/>
    </row>
    <row r="58" spans="1:8" x14ac:dyDescent="0.3">
      <c r="A58" s="4"/>
      <c r="B58" s="3"/>
      <c r="C58" s="3"/>
      <c r="D58" s="3"/>
      <c r="E58" s="3"/>
      <c r="F58" s="3"/>
      <c r="G58" s="3"/>
      <c r="H58" s="3"/>
    </row>
    <row r="59" spans="1:8" x14ac:dyDescent="0.3">
      <c r="A59" s="4"/>
      <c r="B59" s="1"/>
      <c r="C59" s="1"/>
      <c r="D59" s="1"/>
      <c r="E59" s="3"/>
      <c r="F59" s="3"/>
      <c r="G59" s="3"/>
      <c r="H59" s="3"/>
    </row>
    <row r="60" spans="1:8" x14ac:dyDescent="0.3">
      <c r="A60" s="4"/>
      <c r="B60" s="3"/>
      <c r="C60" s="3"/>
      <c r="D60" s="1"/>
      <c r="E60" s="3"/>
      <c r="F60" s="3"/>
      <c r="G60" s="3"/>
      <c r="H60" s="3"/>
    </row>
    <row r="61" spans="1:8" x14ac:dyDescent="0.3">
      <c r="A61" s="4"/>
      <c r="B61" s="3"/>
      <c r="C61" s="3"/>
      <c r="D61" s="3"/>
      <c r="E61" s="3"/>
      <c r="F61" s="3"/>
      <c r="G61" s="3"/>
      <c r="H61" s="3"/>
    </row>
    <row r="62" spans="1:8" x14ac:dyDescent="0.3">
      <c r="A62" s="4"/>
      <c r="B62" s="1"/>
      <c r="C62" s="1"/>
      <c r="D62" s="1"/>
      <c r="E62" s="3"/>
      <c r="F62" s="3"/>
      <c r="G62" s="3"/>
      <c r="H62" s="3"/>
    </row>
    <row r="63" spans="1:8" x14ac:dyDescent="0.3">
      <c r="A63" s="4"/>
      <c r="B63" s="1"/>
      <c r="C63" s="1"/>
      <c r="D63" s="1"/>
      <c r="E63" s="3"/>
      <c r="F63" s="3"/>
      <c r="G63" s="3"/>
      <c r="H63" s="3"/>
    </row>
    <row r="64" spans="1:8" x14ac:dyDescent="0.3">
      <c r="A64" s="4"/>
      <c r="B64" s="3"/>
      <c r="C64" s="3"/>
      <c r="D64" s="3"/>
      <c r="E64" s="3"/>
      <c r="F64" s="3"/>
      <c r="G64" s="3"/>
      <c r="H64" s="3"/>
    </row>
    <row r="65" spans="1:8" x14ac:dyDescent="0.3">
      <c r="A65" s="4"/>
      <c r="B65" s="3"/>
      <c r="C65" s="3"/>
      <c r="D65" s="3"/>
      <c r="E65" s="3"/>
      <c r="F65" s="3"/>
      <c r="G65" s="1"/>
      <c r="H65" s="3"/>
    </row>
    <row r="66" spans="1:8" x14ac:dyDescent="0.3">
      <c r="A66" s="4"/>
      <c r="B66" s="3"/>
      <c r="C66" s="3"/>
      <c r="D66" s="3"/>
      <c r="E66" s="3"/>
      <c r="F66" s="3"/>
      <c r="G66" s="1"/>
      <c r="H66" s="3"/>
    </row>
    <row r="67" spans="1:8" x14ac:dyDescent="0.3">
      <c r="A67" s="4"/>
      <c r="B67" s="3"/>
      <c r="C67" s="3"/>
      <c r="D67" s="3"/>
      <c r="E67" s="3"/>
      <c r="F67" s="3"/>
      <c r="G67" s="1"/>
      <c r="H67" s="3"/>
    </row>
    <row r="68" spans="1:8" x14ac:dyDescent="0.3">
      <c r="A68" s="4"/>
      <c r="B68" s="3"/>
      <c r="C68" s="3"/>
      <c r="D68" s="3"/>
      <c r="E68" s="3"/>
      <c r="F68" s="3"/>
      <c r="G68" s="3"/>
      <c r="H68" s="3"/>
    </row>
    <row r="69" spans="1:8" x14ac:dyDescent="0.3">
      <c r="A69" s="4"/>
      <c r="B69" s="3"/>
      <c r="C69" s="3"/>
      <c r="D69" s="1"/>
      <c r="E69" s="3"/>
      <c r="F69" s="3"/>
      <c r="G69" s="1"/>
      <c r="H69" s="3"/>
    </row>
    <row r="70" spans="1:8" x14ac:dyDescent="0.3">
      <c r="A70" s="4"/>
      <c r="B70" s="3"/>
      <c r="C70" s="3"/>
      <c r="D70" s="3"/>
      <c r="E70" s="3"/>
      <c r="F70" s="3"/>
      <c r="G70" s="3"/>
      <c r="H70" s="3"/>
    </row>
    <row r="71" spans="1:8" x14ac:dyDescent="0.3">
      <c r="A71" s="4"/>
      <c r="B71" s="3"/>
      <c r="C71" s="3"/>
      <c r="D71" s="3"/>
      <c r="E71" s="3"/>
      <c r="F71" s="3"/>
      <c r="G71" s="3"/>
      <c r="H71" s="3"/>
    </row>
    <row r="72" spans="1:8" x14ac:dyDescent="0.3">
      <c r="A72" s="4"/>
      <c r="B72" s="1"/>
      <c r="C72" s="1"/>
      <c r="D72" s="1"/>
      <c r="E72" s="3"/>
      <c r="F72" s="3"/>
      <c r="G72" s="3"/>
      <c r="H72" s="3"/>
    </row>
    <row r="73" spans="1:8" x14ac:dyDescent="0.3">
      <c r="A73" s="4"/>
      <c r="B73" s="1"/>
      <c r="C73" s="1"/>
      <c r="D73" s="1"/>
      <c r="E73" s="3"/>
      <c r="F73" s="3"/>
      <c r="G73" s="3"/>
      <c r="H73" s="3"/>
    </row>
    <row r="74" spans="1:8" x14ac:dyDescent="0.3">
      <c r="A74" s="4"/>
      <c r="B74" s="3"/>
      <c r="C74" s="3"/>
      <c r="D74" s="3"/>
      <c r="E74" s="3"/>
      <c r="F74" s="3"/>
      <c r="G74" s="3"/>
      <c r="H74" s="3"/>
    </row>
    <row r="75" spans="1:8" x14ac:dyDescent="0.3">
      <c r="A75" s="4"/>
      <c r="B75" s="1"/>
      <c r="C75" s="1"/>
      <c r="D75" s="1"/>
      <c r="E75" s="3"/>
      <c r="F75" s="3"/>
      <c r="G75" s="3"/>
      <c r="H75" s="3"/>
    </row>
    <row r="76" spans="1:8" x14ac:dyDescent="0.3">
      <c r="A76" s="4"/>
      <c r="B76" s="1"/>
      <c r="C76" s="1"/>
      <c r="D76" s="1"/>
      <c r="E76" s="3"/>
      <c r="F76" s="3"/>
      <c r="G76" s="3"/>
      <c r="H76" s="3"/>
    </row>
    <row r="77" spans="1:8" x14ac:dyDescent="0.3">
      <c r="A77" s="4"/>
      <c r="B77" s="1"/>
      <c r="C77" s="1"/>
      <c r="D77" s="1"/>
      <c r="E77" s="3"/>
      <c r="F77" s="3"/>
      <c r="G77" s="3"/>
      <c r="H77" s="3"/>
    </row>
    <row r="78" spans="1:8" x14ac:dyDescent="0.3">
      <c r="A78" s="4"/>
      <c r="B78" s="1"/>
      <c r="C78" s="3"/>
      <c r="D78" s="3"/>
      <c r="E78" s="3"/>
      <c r="F78" s="3"/>
      <c r="G78" s="3"/>
      <c r="H78" s="3"/>
    </row>
    <row r="79" spans="1:8" x14ac:dyDescent="0.3">
      <c r="A79" s="4"/>
      <c r="B79" s="1"/>
      <c r="C79" s="1"/>
      <c r="D79" s="1"/>
      <c r="E79" s="3"/>
      <c r="F79" s="3"/>
      <c r="G79" s="3"/>
      <c r="H79" s="3"/>
    </row>
    <row r="80" spans="1:8" x14ac:dyDescent="0.3">
      <c r="A80" s="4"/>
      <c r="B80" s="1"/>
      <c r="C80" s="1"/>
      <c r="D80" s="1"/>
      <c r="E80" s="3"/>
      <c r="F80" s="3"/>
      <c r="G80" s="3"/>
      <c r="H80" s="3"/>
    </row>
    <row r="81" spans="1:8" x14ac:dyDescent="0.3">
      <c r="A81" s="4"/>
      <c r="B81" s="3"/>
      <c r="C81" s="3"/>
      <c r="D81" s="3"/>
      <c r="E81" s="3"/>
      <c r="F81" s="3"/>
      <c r="G81" s="3"/>
      <c r="H81" s="3"/>
    </row>
    <row r="82" spans="1:8" x14ac:dyDescent="0.3">
      <c r="A82" s="4"/>
      <c r="B82" s="1"/>
      <c r="C82" s="1"/>
      <c r="D82" s="1"/>
      <c r="E82" s="3"/>
      <c r="F82" s="3"/>
      <c r="G82" s="3"/>
      <c r="H82" s="3"/>
    </row>
    <row r="83" spans="1:8" x14ac:dyDescent="0.3">
      <c r="A83" s="4"/>
      <c r="B83" s="1"/>
      <c r="C83" s="1"/>
      <c r="D83" s="1"/>
      <c r="E83" s="3"/>
      <c r="F83" s="3"/>
      <c r="G83" s="3"/>
      <c r="H83" s="3"/>
    </row>
    <row r="84" spans="1:8" x14ac:dyDescent="0.3">
      <c r="A84" s="3"/>
      <c r="B84" s="3"/>
      <c r="C84" s="3"/>
      <c r="D84" s="3"/>
      <c r="E84" s="3"/>
      <c r="F84" s="3"/>
      <c r="G84" s="3"/>
      <c r="H84" s="3"/>
    </row>
    <row r="85" spans="1:8" x14ac:dyDescent="0.3">
      <c r="A85" s="3"/>
      <c r="B85" s="3"/>
      <c r="C85" s="3"/>
      <c r="D85" s="3"/>
      <c r="E85" s="3"/>
      <c r="F85" s="3"/>
      <c r="G85" s="3"/>
      <c r="H85" s="3"/>
    </row>
    <row r="86" spans="1:8" x14ac:dyDescent="0.3">
      <c r="A86" s="3"/>
      <c r="B86" s="3"/>
      <c r="C86" s="3"/>
      <c r="D86" s="3"/>
      <c r="E86" s="3"/>
      <c r="F86" s="3"/>
      <c r="G86" s="3"/>
      <c r="H86" s="3"/>
    </row>
    <row r="87" spans="1:8" x14ac:dyDescent="0.3">
      <c r="A87" s="3"/>
      <c r="B87" s="3"/>
      <c r="C87" s="3"/>
      <c r="D87" s="3"/>
      <c r="E87" s="3"/>
      <c r="F87" s="3"/>
      <c r="G87" s="3"/>
      <c r="H87" s="3"/>
    </row>
    <row r="88" spans="1:8" x14ac:dyDescent="0.3">
      <c r="A88" s="3"/>
      <c r="B88" s="3"/>
      <c r="C88" s="3"/>
      <c r="D88" s="3"/>
      <c r="E88" s="3"/>
      <c r="F88" s="3"/>
      <c r="G88" s="3"/>
      <c r="H88" s="3"/>
    </row>
    <row r="89" spans="1:8" x14ac:dyDescent="0.3">
      <c r="A89" s="3"/>
      <c r="B89" s="3"/>
      <c r="C89" s="3"/>
      <c r="D89" s="3"/>
      <c r="E89" s="3"/>
      <c r="F89" s="3"/>
      <c r="G89" s="3"/>
      <c r="H89" s="3"/>
    </row>
    <row r="90" spans="1:8" x14ac:dyDescent="0.3">
      <c r="A90" s="3"/>
      <c r="B90" s="3"/>
      <c r="C90" s="3"/>
      <c r="D90" s="3"/>
      <c r="E90" s="3"/>
      <c r="F90" s="3"/>
      <c r="G90" s="3"/>
      <c r="H90" s="3"/>
    </row>
    <row r="91" spans="1:8" x14ac:dyDescent="0.3">
      <c r="A91" s="3"/>
      <c r="B91" s="3"/>
      <c r="C91" s="3"/>
      <c r="D91" s="3"/>
      <c r="E91" s="3"/>
      <c r="F91" s="3"/>
      <c r="G91" s="3"/>
      <c r="H91" s="3"/>
    </row>
    <row r="92" spans="1:8" x14ac:dyDescent="0.3">
      <c r="A92" s="3"/>
      <c r="B92" s="3"/>
      <c r="C92" s="3"/>
      <c r="D92" s="3"/>
      <c r="E92" s="3"/>
      <c r="F92" s="3"/>
      <c r="G92" s="3"/>
      <c r="H92" s="3"/>
    </row>
    <row r="93" spans="1:8" x14ac:dyDescent="0.3">
      <c r="A93" s="3"/>
      <c r="B93" s="3"/>
      <c r="C93" s="3"/>
      <c r="D93" s="3"/>
      <c r="E93" s="3"/>
      <c r="F93" s="3"/>
      <c r="G93" s="3"/>
      <c r="H93" s="3"/>
    </row>
    <row r="94" spans="1:8" x14ac:dyDescent="0.3">
      <c r="A94" s="3"/>
      <c r="B94" s="3"/>
      <c r="C94" s="3"/>
      <c r="D94" s="3"/>
      <c r="E94" s="3"/>
      <c r="F94" s="3"/>
      <c r="G94" s="3"/>
      <c r="H94" s="3"/>
    </row>
  </sheetData>
  <conditionalFormatting sqref="G12">
    <cfRule type="duplicateValues" dxfId="90" priority="392"/>
    <cfRule type="duplicateValues" dxfId="89" priority="393"/>
    <cfRule type="duplicateValues" dxfId="88" priority="394"/>
  </conditionalFormatting>
  <conditionalFormatting sqref="G45">
    <cfRule type="duplicateValues" dxfId="87" priority="8"/>
  </conditionalFormatting>
  <conditionalFormatting sqref="G46">
    <cfRule type="duplicateValues" dxfId="86" priority="7"/>
  </conditionalFormatting>
  <conditionalFormatting sqref="G47">
    <cfRule type="duplicateValues" dxfId="85" priority="6"/>
  </conditionalFormatting>
  <conditionalFormatting sqref="G65:G67">
    <cfRule type="duplicateValues" dxfId="84" priority="5"/>
  </conditionalFormatting>
  <conditionalFormatting sqref="G69">
    <cfRule type="duplicateValues" dxfId="83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417"/>
  <sheetViews>
    <sheetView zoomScaleNormal="100" zoomScaleSheetLayoutView="90" workbookViewId="0">
      <pane xSplit="6" ySplit="1" topLeftCell="L2" activePane="bottomRight" state="frozen"/>
      <selection pane="topRight" activeCell="G1" sqref="G1"/>
      <selection pane="bottomLeft" activeCell="A2" sqref="A2"/>
      <selection pane="bottomRight" activeCell="N1" sqref="N1"/>
    </sheetView>
  </sheetViews>
  <sheetFormatPr defaultColWidth="7.1796875" defaultRowHeight="10.5" x14ac:dyDescent="0.25"/>
  <cols>
    <col min="1" max="1" width="19.453125" style="10" bestFit="1" customWidth="1"/>
    <col min="2" max="2" width="7.90625" style="10" bestFit="1" customWidth="1"/>
    <col min="3" max="3" width="19.1796875" style="10" bestFit="1" customWidth="1"/>
    <col min="4" max="4" width="14.453125" style="10" bestFit="1" customWidth="1"/>
    <col min="5" max="5" width="15.26953125" style="10" bestFit="1" customWidth="1"/>
    <col min="6" max="6" width="14.1796875" style="10" bestFit="1" customWidth="1"/>
    <col min="7" max="7" width="19.6328125" style="10" bestFit="1" customWidth="1"/>
    <col min="8" max="8" width="12.54296875" style="10" bestFit="1" customWidth="1"/>
    <col min="9" max="9" width="27.26953125" style="10" bestFit="1" customWidth="1"/>
    <col min="10" max="10" width="23.6328125" style="10" bestFit="1" customWidth="1"/>
    <col min="11" max="11" width="26.54296875" style="10" bestFit="1" customWidth="1"/>
    <col min="12" max="12" width="8.453125" style="10" bestFit="1" customWidth="1"/>
    <col min="13" max="13" width="21.81640625" style="10" bestFit="1" customWidth="1"/>
    <col min="14" max="14" width="13.7265625" style="46" bestFit="1" customWidth="1"/>
    <col min="15" max="15" width="17.36328125" style="65" customWidth="1"/>
    <col min="16" max="16" width="16.90625" style="50" bestFit="1" customWidth="1"/>
    <col min="17" max="17" width="18.54296875" style="10" bestFit="1" customWidth="1"/>
    <col min="18" max="18" width="13.36328125" style="10" bestFit="1" customWidth="1"/>
    <col min="19" max="19" width="18.1796875" style="10" bestFit="1" customWidth="1"/>
    <col min="20" max="20" width="42.453125" style="10" bestFit="1" customWidth="1"/>
    <col min="21" max="21" width="22.26953125" style="10" bestFit="1" customWidth="1"/>
    <col min="22" max="22" width="15.1796875" style="10" bestFit="1" customWidth="1"/>
    <col min="23" max="23" width="18.36328125" style="10" bestFit="1" customWidth="1"/>
    <col min="24" max="24" width="21.90625" style="10" bestFit="1" customWidth="1"/>
    <col min="25" max="25" width="15.1796875" style="10" bestFit="1" customWidth="1"/>
    <col min="26" max="26" width="21.08984375" style="10" bestFit="1" customWidth="1"/>
    <col min="27" max="27" width="19.6328125" style="10" bestFit="1" customWidth="1"/>
    <col min="28" max="28" width="7.1796875" style="10" customWidth="1"/>
    <col min="29" max="16384" width="7.1796875" style="10"/>
  </cols>
  <sheetData>
    <row r="1" spans="1:28" x14ac:dyDescent="0.25">
      <c r="A1" s="11" t="s">
        <v>168</v>
      </c>
      <c r="B1" s="11" t="s">
        <v>169</v>
      </c>
      <c r="C1" s="11" t="s">
        <v>170</v>
      </c>
      <c r="D1" s="11" t="s">
        <v>171</v>
      </c>
      <c r="E1" s="11" t="s">
        <v>172</v>
      </c>
      <c r="F1" s="11" t="s">
        <v>173</v>
      </c>
      <c r="G1" s="11" t="s">
        <v>174</v>
      </c>
      <c r="H1" s="11" t="s">
        <v>175</v>
      </c>
      <c r="I1" s="11" t="s">
        <v>176</v>
      </c>
      <c r="J1" s="11" t="s">
        <v>177</v>
      </c>
      <c r="K1" s="11" t="s">
        <v>178</v>
      </c>
      <c r="L1" s="11" t="s">
        <v>23</v>
      </c>
      <c r="M1" s="11" t="s">
        <v>179</v>
      </c>
      <c r="N1" s="52" t="s">
        <v>180</v>
      </c>
      <c r="O1" s="57" t="s">
        <v>181</v>
      </c>
      <c r="P1" s="56" t="s">
        <v>182</v>
      </c>
      <c r="Q1" s="12" t="s">
        <v>183</v>
      </c>
      <c r="R1" s="11" t="s">
        <v>184</v>
      </c>
      <c r="S1" s="12" t="s">
        <v>185</v>
      </c>
      <c r="T1" s="11" t="s">
        <v>186</v>
      </c>
      <c r="U1" s="11" t="s">
        <v>187</v>
      </c>
      <c r="V1" s="11" t="s">
        <v>188</v>
      </c>
      <c r="W1" s="11" t="s">
        <v>189</v>
      </c>
      <c r="X1" s="12" t="s">
        <v>190</v>
      </c>
      <c r="Y1" s="12" t="s">
        <v>191</v>
      </c>
      <c r="Z1" s="13" t="s">
        <v>192</v>
      </c>
      <c r="AA1" s="11" t="s">
        <v>193</v>
      </c>
    </row>
    <row r="2" spans="1:28" x14ac:dyDescent="0.25">
      <c r="A2" s="14">
        <v>45941</v>
      </c>
      <c r="B2" s="16">
        <v>2025</v>
      </c>
      <c r="C2" s="24" t="s">
        <v>21</v>
      </c>
      <c r="D2" s="15" t="s">
        <v>194</v>
      </c>
      <c r="E2" s="16" t="s">
        <v>195</v>
      </c>
      <c r="F2" s="16" t="s">
        <v>60</v>
      </c>
      <c r="G2" s="9" t="s">
        <v>196</v>
      </c>
      <c r="H2" s="21">
        <v>9033920684</v>
      </c>
      <c r="I2" s="16"/>
      <c r="J2" s="16" t="s">
        <v>197</v>
      </c>
      <c r="K2" s="33" t="s">
        <v>198</v>
      </c>
      <c r="L2" s="33" t="s">
        <v>28</v>
      </c>
      <c r="M2" s="16" t="s">
        <v>31</v>
      </c>
      <c r="N2" s="53">
        <v>545</v>
      </c>
      <c r="O2" s="58" t="s">
        <v>199</v>
      </c>
      <c r="P2" s="47" t="str">
        <f t="shared" ref="P2:P33" si="0">MID(O2,5,2)</f>
        <v>24</v>
      </c>
      <c r="Q2" s="19" t="str">
        <f t="shared" ref="Q2:Q33" si="1">MID(O2,7,2)</f>
        <v>12</v>
      </c>
      <c r="R2" s="19" t="s">
        <v>27</v>
      </c>
      <c r="S2" s="19" t="s">
        <v>102</v>
      </c>
      <c r="T2" s="22" t="s">
        <v>31</v>
      </c>
      <c r="U2" s="22" t="s">
        <v>200</v>
      </c>
      <c r="V2" s="16" t="s">
        <v>93</v>
      </c>
      <c r="W2" s="14">
        <v>45999</v>
      </c>
      <c r="X2" s="16">
        <f t="shared" ref="X2:X65" si="2">W2-A2</f>
        <v>58</v>
      </c>
      <c r="Y2" s="16"/>
      <c r="Z2" s="16"/>
      <c r="AA2" s="16"/>
      <c r="AB2" s="10" t="str">
        <f t="shared" ref="AB2:AB65" si="3">IF(AND(F2="Closed",W2&gt;=DATE(2025,12,1),W2&lt;=DATE(2025,12,31)),"Closed in Dec","Other")</f>
        <v>Closed in Dec</v>
      </c>
    </row>
    <row r="3" spans="1:28" x14ac:dyDescent="0.25">
      <c r="A3" s="14">
        <v>45941</v>
      </c>
      <c r="B3" s="16">
        <v>2025</v>
      </c>
      <c r="C3" s="24" t="s">
        <v>21</v>
      </c>
      <c r="D3" s="15" t="s">
        <v>194</v>
      </c>
      <c r="E3" s="16" t="s">
        <v>195</v>
      </c>
      <c r="F3" s="16" t="s">
        <v>60</v>
      </c>
      <c r="G3" s="9" t="s">
        <v>196</v>
      </c>
      <c r="H3" s="21">
        <v>9033920684</v>
      </c>
      <c r="I3" s="16"/>
      <c r="J3" s="16" t="s">
        <v>197</v>
      </c>
      <c r="K3" s="33" t="s">
        <v>198</v>
      </c>
      <c r="L3" s="33" t="s">
        <v>28</v>
      </c>
      <c r="M3" s="16" t="s">
        <v>31</v>
      </c>
      <c r="N3" s="53">
        <v>545</v>
      </c>
      <c r="O3" s="58" t="s">
        <v>201</v>
      </c>
      <c r="P3" s="47" t="str">
        <f t="shared" si="0"/>
        <v>24</v>
      </c>
      <c r="Q3" s="19" t="str">
        <f t="shared" si="1"/>
        <v>12</v>
      </c>
      <c r="R3" s="19" t="s">
        <v>27</v>
      </c>
      <c r="S3" s="19" t="s">
        <v>102</v>
      </c>
      <c r="T3" s="22" t="s">
        <v>31</v>
      </c>
      <c r="U3" s="22" t="s">
        <v>200</v>
      </c>
      <c r="V3" s="16" t="s">
        <v>93</v>
      </c>
      <c r="W3" s="14">
        <v>45999</v>
      </c>
      <c r="X3" s="16">
        <f t="shared" si="2"/>
        <v>58</v>
      </c>
      <c r="Y3" s="16"/>
      <c r="Z3" s="16"/>
      <c r="AA3" s="16"/>
      <c r="AB3" s="10" t="str">
        <f t="shared" si="3"/>
        <v>Closed in Dec</v>
      </c>
    </row>
    <row r="4" spans="1:28" x14ac:dyDescent="0.25">
      <c r="A4" s="14">
        <v>45973</v>
      </c>
      <c r="B4" s="15">
        <v>2025</v>
      </c>
      <c r="C4" s="24" t="s">
        <v>21</v>
      </c>
      <c r="D4" s="15" t="s">
        <v>194</v>
      </c>
      <c r="E4" s="34" t="s">
        <v>133</v>
      </c>
      <c r="F4" s="16" t="s">
        <v>60</v>
      </c>
      <c r="G4" s="9" t="s">
        <v>196</v>
      </c>
      <c r="H4" s="21">
        <v>9033920684</v>
      </c>
      <c r="I4" s="16"/>
      <c r="J4" s="17" t="s">
        <v>202</v>
      </c>
      <c r="K4" s="34" t="s">
        <v>203</v>
      </c>
      <c r="L4" s="33" t="s">
        <v>28</v>
      </c>
      <c r="M4" s="16" t="s">
        <v>31</v>
      </c>
      <c r="N4" s="53">
        <v>540</v>
      </c>
      <c r="O4" s="48" t="s">
        <v>204</v>
      </c>
      <c r="P4" s="47" t="str">
        <f t="shared" si="0"/>
        <v>23</v>
      </c>
      <c r="Q4" s="19" t="str">
        <f t="shared" si="1"/>
        <v>07</v>
      </c>
      <c r="R4" s="19" t="s">
        <v>25</v>
      </c>
      <c r="S4" s="19" t="s">
        <v>101</v>
      </c>
      <c r="T4" s="22" t="s">
        <v>31</v>
      </c>
      <c r="U4" s="16" t="s">
        <v>205</v>
      </c>
      <c r="V4" s="16" t="s">
        <v>93</v>
      </c>
      <c r="W4" s="14">
        <v>45998</v>
      </c>
      <c r="X4" s="16">
        <f t="shared" si="2"/>
        <v>25</v>
      </c>
      <c r="Y4" s="16"/>
      <c r="Z4" s="16"/>
      <c r="AA4" s="16"/>
      <c r="AB4" s="10" t="str">
        <f t="shared" si="3"/>
        <v>Closed in Dec</v>
      </c>
    </row>
    <row r="5" spans="1:28" x14ac:dyDescent="0.25">
      <c r="A5" s="14">
        <v>45973</v>
      </c>
      <c r="B5" s="15">
        <v>2025</v>
      </c>
      <c r="C5" s="24" t="s">
        <v>21</v>
      </c>
      <c r="D5" s="15" t="s">
        <v>194</v>
      </c>
      <c r="E5" s="34" t="s">
        <v>133</v>
      </c>
      <c r="F5" s="16" t="s">
        <v>60</v>
      </c>
      <c r="G5" s="9" t="s">
        <v>196</v>
      </c>
      <c r="H5" s="21">
        <v>9033920684</v>
      </c>
      <c r="I5" s="16"/>
      <c r="J5" s="17" t="s">
        <v>202</v>
      </c>
      <c r="K5" s="34" t="s">
        <v>203</v>
      </c>
      <c r="L5" s="33" t="s">
        <v>28</v>
      </c>
      <c r="M5" s="16" t="s">
        <v>31</v>
      </c>
      <c r="N5" s="53">
        <v>540</v>
      </c>
      <c r="O5" s="48" t="s">
        <v>206</v>
      </c>
      <c r="P5" s="47" t="str">
        <f t="shared" si="0"/>
        <v>23</v>
      </c>
      <c r="Q5" s="19" t="str">
        <f t="shared" si="1"/>
        <v>07</v>
      </c>
      <c r="R5" s="19" t="s">
        <v>25</v>
      </c>
      <c r="S5" s="19" t="s">
        <v>101</v>
      </c>
      <c r="T5" s="22" t="s">
        <v>31</v>
      </c>
      <c r="U5" s="16" t="s">
        <v>205</v>
      </c>
      <c r="V5" s="16" t="s">
        <v>93</v>
      </c>
      <c r="W5" s="14">
        <v>45998</v>
      </c>
      <c r="X5" s="16">
        <f t="shared" si="2"/>
        <v>25</v>
      </c>
      <c r="Y5" s="16"/>
      <c r="Z5" s="16"/>
      <c r="AA5" s="16"/>
      <c r="AB5" s="10" t="str">
        <f t="shared" si="3"/>
        <v>Closed in Dec</v>
      </c>
    </row>
    <row r="6" spans="1:28" x14ac:dyDescent="0.25">
      <c r="A6" s="14">
        <v>45973</v>
      </c>
      <c r="B6" s="15">
        <v>2025</v>
      </c>
      <c r="C6" s="24" t="s">
        <v>21</v>
      </c>
      <c r="D6" s="15" t="s">
        <v>194</v>
      </c>
      <c r="E6" s="34" t="s">
        <v>133</v>
      </c>
      <c r="F6" s="16" t="s">
        <v>60</v>
      </c>
      <c r="G6" s="9" t="s">
        <v>196</v>
      </c>
      <c r="H6" s="21">
        <v>9033920684</v>
      </c>
      <c r="I6" s="16"/>
      <c r="J6" s="17" t="s">
        <v>202</v>
      </c>
      <c r="K6" s="34" t="s">
        <v>203</v>
      </c>
      <c r="L6" s="33" t="s">
        <v>28</v>
      </c>
      <c r="M6" s="16" t="s">
        <v>31</v>
      </c>
      <c r="N6" s="53">
        <v>540</v>
      </c>
      <c r="O6" s="48" t="s">
        <v>207</v>
      </c>
      <c r="P6" s="47" t="str">
        <f t="shared" si="0"/>
        <v>23</v>
      </c>
      <c r="Q6" s="19" t="str">
        <f t="shared" si="1"/>
        <v>07</v>
      </c>
      <c r="R6" s="19" t="s">
        <v>25</v>
      </c>
      <c r="S6" s="19" t="s">
        <v>101</v>
      </c>
      <c r="T6" s="22" t="s">
        <v>31</v>
      </c>
      <c r="U6" s="16" t="s">
        <v>205</v>
      </c>
      <c r="V6" s="16" t="s">
        <v>93</v>
      </c>
      <c r="W6" s="14">
        <v>45998</v>
      </c>
      <c r="X6" s="16">
        <f t="shared" si="2"/>
        <v>25</v>
      </c>
      <c r="Y6" s="16"/>
      <c r="Z6" s="16"/>
      <c r="AA6" s="16"/>
      <c r="AB6" s="10" t="str">
        <f t="shared" si="3"/>
        <v>Closed in Dec</v>
      </c>
    </row>
    <row r="7" spans="1:28" x14ac:dyDescent="0.25">
      <c r="A7" s="14">
        <v>45973</v>
      </c>
      <c r="B7" s="15">
        <v>2025</v>
      </c>
      <c r="C7" s="24" t="s">
        <v>21</v>
      </c>
      <c r="D7" s="15" t="s">
        <v>194</v>
      </c>
      <c r="E7" s="34" t="s">
        <v>133</v>
      </c>
      <c r="F7" s="16" t="s">
        <v>60</v>
      </c>
      <c r="G7" s="9" t="s">
        <v>196</v>
      </c>
      <c r="H7" s="21">
        <v>9033920684</v>
      </c>
      <c r="I7" s="16"/>
      <c r="J7" s="17" t="s">
        <v>202</v>
      </c>
      <c r="K7" s="34" t="s">
        <v>203</v>
      </c>
      <c r="L7" s="33" t="s">
        <v>28</v>
      </c>
      <c r="M7" s="16" t="s">
        <v>31</v>
      </c>
      <c r="N7" s="53">
        <v>540</v>
      </c>
      <c r="O7" s="48" t="s">
        <v>208</v>
      </c>
      <c r="P7" s="47" t="str">
        <f t="shared" si="0"/>
        <v>23</v>
      </c>
      <c r="Q7" s="19" t="str">
        <f t="shared" si="1"/>
        <v>07</v>
      </c>
      <c r="R7" s="19" t="s">
        <v>25</v>
      </c>
      <c r="S7" s="19" t="s">
        <v>101</v>
      </c>
      <c r="T7" s="22" t="s">
        <v>31</v>
      </c>
      <c r="U7" s="16" t="s">
        <v>205</v>
      </c>
      <c r="V7" s="16" t="s">
        <v>93</v>
      </c>
      <c r="W7" s="14">
        <v>45998</v>
      </c>
      <c r="X7" s="16">
        <f t="shared" si="2"/>
        <v>25</v>
      </c>
      <c r="Y7" s="16"/>
      <c r="Z7" s="16"/>
      <c r="AA7" s="16"/>
      <c r="AB7" s="10" t="str">
        <f t="shared" si="3"/>
        <v>Closed in Dec</v>
      </c>
    </row>
    <row r="8" spans="1:28" x14ac:dyDescent="0.25">
      <c r="A8" s="14">
        <v>45973</v>
      </c>
      <c r="B8" s="15">
        <v>2025</v>
      </c>
      <c r="C8" s="24" t="s">
        <v>21</v>
      </c>
      <c r="D8" s="15" t="s">
        <v>194</v>
      </c>
      <c r="E8" s="34" t="s">
        <v>133</v>
      </c>
      <c r="F8" s="16" t="s">
        <v>60</v>
      </c>
      <c r="G8" s="9" t="s">
        <v>196</v>
      </c>
      <c r="H8" s="21">
        <v>9033920684</v>
      </c>
      <c r="I8" s="16"/>
      <c r="J8" s="17" t="s">
        <v>202</v>
      </c>
      <c r="K8" s="34" t="s">
        <v>203</v>
      </c>
      <c r="L8" s="33" t="s">
        <v>28</v>
      </c>
      <c r="M8" s="16" t="s">
        <v>31</v>
      </c>
      <c r="N8" s="53">
        <v>540</v>
      </c>
      <c r="O8" s="48" t="s">
        <v>209</v>
      </c>
      <c r="P8" s="47" t="str">
        <f t="shared" si="0"/>
        <v>23</v>
      </c>
      <c r="Q8" s="19" t="str">
        <f t="shared" si="1"/>
        <v>07</v>
      </c>
      <c r="R8" s="19" t="s">
        <v>25</v>
      </c>
      <c r="S8" s="19" t="s">
        <v>101</v>
      </c>
      <c r="T8" s="22" t="s">
        <v>31</v>
      </c>
      <c r="U8" s="16" t="s">
        <v>205</v>
      </c>
      <c r="V8" s="16" t="s">
        <v>93</v>
      </c>
      <c r="W8" s="14">
        <v>45998</v>
      </c>
      <c r="X8" s="16">
        <f t="shared" si="2"/>
        <v>25</v>
      </c>
      <c r="Y8" s="16"/>
      <c r="Z8" s="16"/>
      <c r="AA8" s="16"/>
      <c r="AB8" s="10" t="str">
        <f t="shared" si="3"/>
        <v>Closed in Dec</v>
      </c>
    </row>
    <row r="9" spans="1:28" x14ac:dyDescent="0.25">
      <c r="A9" s="14">
        <v>45973</v>
      </c>
      <c r="B9" s="15">
        <v>2025</v>
      </c>
      <c r="C9" s="24" t="s">
        <v>21</v>
      </c>
      <c r="D9" s="15" t="s">
        <v>194</v>
      </c>
      <c r="E9" s="34" t="s">
        <v>133</v>
      </c>
      <c r="F9" s="16" t="s">
        <v>60</v>
      </c>
      <c r="G9" s="9" t="s">
        <v>196</v>
      </c>
      <c r="H9" s="21">
        <v>9033920684</v>
      </c>
      <c r="I9" s="16"/>
      <c r="J9" s="17" t="s">
        <v>202</v>
      </c>
      <c r="K9" s="34" t="s">
        <v>203</v>
      </c>
      <c r="L9" s="33" t="s">
        <v>28</v>
      </c>
      <c r="M9" s="16" t="s">
        <v>31</v>
      </c>
      <c r="N9" s="53">
        <v>540</v>
      </c>
      <c r="O9" s="48" t="s">
        <v>210</v>
      </c>
      <c r="P9" s="47" t="str">
        <f t="shared" si="0"/>
        <v>23</v>
      </c>
      <c r="Q9" s="19" t="str">
        <f t="shared" si="1"/>
        <v>07</v>
      </c>
      <c r="R9" s="19" t="s">
        <v>25</v>
      </c>
      <c r="S9" s="19" t="s">
        <v>101</v>
      </c>
      <c r="T9" s="22" t="s">
        <v>31</v>
      </c>
      <c r="U9" s="16" t="s">
        <v>205</v>
      </c>
      <c r="V9" s="16" t="s">
        <v>93</v>
      </c>
      <c r="W9" s="14">
        <v>45998</v>
      </c>
      <c r="X9" s="16">
        <f t="shared" si="2"/>
        <v>25</v>
      </c>
      <c r="Y9" s="16"/>
      <c r="Z9" s="16"/>
      <c r="AA9" s="16"/>
      <c r="AB9" s="10" t="str">
        <f t="shared" si="3"/>
        <v>Closed in Dec</v>
      </c>
    </row>
    <row r="10" spans="1:28" x14ac:dyDescent="0.25">
      <c r="A10" s="14">
        <v>45973</v>
      </c>
      <c r="B10" s="15">
        <v>2025</v>
      </c>
      <c r="C10" s="24" t="s">
        <v>21</v>
      </c>
      <c r="D10" s="15" t="s">
        <v>194</v>
      </c>
      <c r="E10" s="34" t="s">
        <v>133</v>
      </c>
      <c r="F10" s="16" t="s">
        <v>60</v>
      </c>
      <c r="G10" s="9" t="s">
        <v>196</v>
      </c>
      <c r="H10" s="21">
        <v>9033920684</v>
      </c>
      <c r="I10" s="16"/>
      <c r="J10" s="17" t="s">
        <v>202</v>
      </c>
      <c r="K10" s="34" t="s">
        <v>203</v>
      </c>
      <c r="L10" s="33" t="s">
        <v>28</v>
      </c>
      <c r="M10" s="16" t="s">
        <v>31</v>
      </c>
      <c r="N10" s="53">
        <v>540</v>
      </c>
      <c r="O10" s="48" t="s">
        <v>211</v>
      </c>
      <c r="P10" s="47" t="str">
        <f t="shared" si="0"/>
        <v>23</v>
      </c>
      <c r="Q10" s="19" t="str">
        <f t="shared" si="1"/>
        <v>07</v>
      </c>
      <c r="R10" s="19" t="s">
        <v>25</v>
      </c>
      <c r="S10" s="19" t="s">
        <v>101</v>
      </c>
      <c r="T10" s="22" t="s">
        <v>31</v>
      </c>
      <c r="U10" s="16" t="s">
        <v>205</v>
      </c>
      <c r="V10" s="16" t="s">
        <v>93</v>
      </c>
      <c r="W10" s="14">
        <v>45998</v>
      </c>
      <c r="X10" s="16">
        <f t="shared" si="2"/>
        <v>25</v>
      </c>
      <c r="Y10" s="16"/>
      <c r="Z10" s="16"/>
      <c r="AA10" s="16"/>
      <c r="AB10" s="10" t="str">
        <f t="shared" si="3"/>
        <v>Closed in Dec</v>
      </c>
    </row>
    <row r="11" spans="1:28" x14ac:dyDescent="0.25">
      <c r="A11" s="14">
        <v>45973</v>
      </c>
      <c r="B11" s="15">
        <v>2025</v>
      </c>
      <c r="C11" s="24" t="s">
        <v>21</v>
      </c>
      <c r="D11" s="15" t="s">
        <v>194</v>
      </c>
      <c r="E11" s="34" t="s">
        <v>133</v>
      </c>
      <c r="F11" s="16" t="s">
        <v>60</v>
      </c>
      <c r="G11" s="9" t="s">
        <v>196</v>
      </c>
      <c r="H11" s="21">
        <v>9033920684</v>
      </c>
      <c r="I11" s="16"/>
      <c r="J11" s="17" t="s">
        <v>202</v>
      </c>
      <c r="K11" s="34" t="s">
        <v>203</v>
      </c>
      <c r="L11" s="33" t="s">
        <v>28</v>
      </c>
      <c r="M11" s="16" t="s">
        <v>31</v>
      </c>
      <c r="N11" s="53">
        <v>540</v>
      </c>
      <c r="O11" s="48" t="s">
        <v>212</v>
      </c>
      <c r="P11" s="47" t="str">
        <f t="shared" si="0"/>
        <v>23</v>
      </c>
      <c r="Q11" s="19" t="str">
        <f t="shared" si="1"/>
        <v>07</v>
      </c>
      <c r="R11" s="19" t="s">
        <v>25</v>
      </c>
      <c r="S11" s="19" t="s">
        <v>101</v>
      </c>
      <c r="T11" s="22" t="s">
        <v>31</v>
      </c>
      <c r="U11" s="16" t="s">
        <v>205</v>
      </c>
      <c r="V11" s="16" t="s">
        <v>93</v>
      </c>
      <c r="W11" s="14">
        <v>45998</v>
      </c>
      <c r="X11" s="16">
        <f t="shared" si="2"/>
        <v>25</v>
      </c>
      <c r="Y11" s="16"/>
      <c r="Z11" s="16"/>
      <c r="AA11" s="16"/>
      <c r="AB11" s="10" t="str">
        <f t="shared" si="3"/>
        <v>Closed in Dec</v>
      </c>
    </row>
    <row r="12" spans="1:28" x14ac:dyDescent="0.25">
      <c r="A12" s="14">
        <v>45973</v>
      </c>
      <c r="B12" s="15">
        <v>2025</v>
      </c>
      <c r="C12" s="24" t="s">
        <v>21</v>
      </c>
      <c r="D12" s="15" t="s">
        <v>194</v>
      </c>
      <c r="E12" s="34" t="s">
        <v>133</v>
      </c>
      <c r="F12" s="16" t="s">
        <v>60</v>
      </c>
      <c r="G12" s="9" t="s">
        <v>196</v>
      </c>
      <c r="H12" s="21">
        <v>9033920684</v>
      </c>
      <c r="I12" s="16"/>
      <c r="J12" s="17" t="s">
        <v>202</v>
      </c>
      <c r="K12" s="34" t="s">
        <v>203</v>
      </c>
      <c r="L12" s="33" t="s">
        <v>28</v>
      </c>
      <c r="M12" s="16" t="s">
        <v>31</v>
      </c>
      <c r="N12" s="53">
        <v>540</v>
      </c>
      <c r="O12" s="48" t="s">
        <v>213</v>
      </c>
      <c r="P12" s="47" t="str">
        <f t="shared" si="0"/>
        <v>23</v>
      </c>
      <c r="Q12" s="19" t="str">
        <f t="shared" si="1"/>
        <v>07</v>
      </c>
      <c r="R12" s="19" t="s">
        <v>25</v>
      </c>
      <c r="S12" s="19" t="s">
        <v>101</v>
      </c>
      <c r="T12" s="22" t="s">
        <v>31</v>
      </c>
      <c r="U12" s="16" t="s">
        <v>205</v>
      </c>
      <c r="V12" s="16" t="s">
        <v>93</v>
      </c>
      <c r="W12" s="14">
        <v>45998</v>
      </c>
      <c r="X12" s="16">
        <f t="shared" si="2"/>
        <v>25</v>
      </c>
      <c r="Y12" s="16"/>
      <c r="Z12" s="16"/>
      <c r="AA12" s="16"/>
      <c r="AB12" s="10" t="str">
        <f t="shared" si="3"/>
        <v>Closed in Dec</v>
      </c>
    </row>
    <row r="13" spans="1:28" x14ac:dyDescent="0.25">
      <c r="A13" s="14">
        <v>45973</v>
      </c>
      <c r="B13" s="15">
        <v>2025</v>
      </c>
      <c r="C13" s="24" t="s">
        <v>21</v>
      </c>
      <c r="D13" s="15" t="s">
        <v>194</v>
      </c>
      <c r="E13" s="34" t="s">
        <v>133</v>
      </c>
      <c r="F13" s="16" t="s">
        <v>60</v>
      </c>
      <c r="G13" s="9" t="s">
        <v>196</v>
      </c>
      <c r="H13" s="21">
        <v>9033920684</v>
      </c>
      <c r="I13" s="16"/>
      <c r="J13" s="17" t="s">
        <v>202</v>
      </c>
      <c r="K13" s="34" t="s">
        <v>203</v>
      </c>
      <c r="L13" s="33" t="s">
        <v>28</v>
      </c>
      <c r="M13" s="16" t="s">
        <v>31</v>
      </c>
      <c r="N13" s="53">
        <v>540</v>
      </c>
      <c r="O13" s="48" t="s">
        <v>214</v>
      </c>
      <c r="P13" s="47" t="str">
        <f t="shared" si="0"/>
        <v>23</v>
      </c>
      <c r="Q13" s="19" t="str">
        <f t="shared" si="1"/>
        <v>07</v>
      </c>
      <c r="R13" s="19" t="s">
        <v>25</v>
      </c>
      <c r="S13" s="19" t="s">
        <v>101</v>
      </c>
      <c r="T13" s="22" t="s">
        <v>31</v>
      </c>
      <c r="U13" s="16" t="s">
        <v>205</v>
      </c>
      <c r="V13" s="16" t="s">
        <v>93</v>
      </c>
      <c r="W13" s="14">
        <v>45998</v>
      </c>
      <c r="X13" s="16">
        <f t="shared" si="2"/>
        <v>25</v>
      </c>
      <c r="Y13" s="16"/>
      <c r="Z13" s="16"/>
      <c r="AA13" s="16"/>
      <c r="AB13" s="10" t="str">
        <f t="shared" si="3"/>
        <v>Closed in Dec</v>
      </c>
    </row>
    <row r="14" spans="1:28" x14ac:dyDescent="0.25">
      <c r="A14" s="14">
        <v>45973</v>
      </c>
      <c r="B14" s="15">
        <v>2025</v>
      </c>
      <c r="C14" s="24" t="s">
        <v>21</v>
      </c>
      <c r="D14" s="15" t="s">
        <v>194</v>
      </c>
      <c r="E14" s="34" t="s">
        <v>133</v>
      </c>
      <c r="F14" s="16" t="s">
        <v>60</v>
      </c>
      <c r="G14" s="9" t="s">
        <v>196</v>
      </c>
      <c r="H14" s="21">
        <v>9033920684</v>
      </c>
      <c r="I14" s="16"/>
      <c r="J14" s="17" t="s">
        <v>202</v>
      </c>
      <c r="K14" s="34" t="s">
        <v>203</v>
      </c>
      <c r="L14" s="33" t="s">
        <v>28</v>
      </c>
      <c r="M14" s="16" t="s">
        <v>31</v>
      </c>
      <c r="N14" s="53">
        <v>540</v>
      </c>
      <c r="O14" s="48" t="s">
        <v>215</v>
      </c>
      <c r="P14" s="47" t="str">
        <f t="shared" si="0"/>
        <v>23</v>
      </c>
      <c r="Q14" s="19" t="str">
        <f t="shared" si="1"/>
        <v>07</v>
      </c>
      <c r="R14" s="19" t="s">
        <v>25</v>
      </c>
      <c r="S14" s="19" t="s">
        <v>101</v>
      </c>
      <c r="T14" s="22" t="s">
        <v>31</v>
      </c>
      <c r="U14" s="16" t="s">
        <v>205</v>
      </c>
      <c r="V14" s="16" t="s">
        <v>93</v>
      </c>
      <c r="W14" s="14">
        <v>45998</v>
      </c>
      <c r="X14" s="16">
        <f t="shared" si="2"/>
        <v>25</v>
      </c>
      <c r="Y14" s="16"/>
      <c r="Z14" s="16"/>
      <c r="AA14" s="16"/>
      <c r="AB14" s="10" t="str">
        <f t="shared" si="3"/>
        <v>Closed in Dec</v>
      </c>
    </row>
    <row r="15" spans="1:28" x14ac:dyDescent="0.25">
      <c r="A15" s="14">
        <v>45973</v>
      </c>
      <c r="B15" s="15">
        <v>2025</v>
      </c>
      <c r="C15" s="24" t="s">
        <v>21</v>
      </c>
      <c r="D15" s="15" t="s">
        <v>194</v>
      </c>
      <c r="E15" s="34" t="s">
        <v>133</v>
      </c>
      <c r="F15" s="16" t="s">
        <v>60</v>
      </c>
      <c r="G15" s="9" t="s">
        <v>196</v>
      </c>
      <c r="H15" s="21">
        <v>9033920684</v>
      </c>
      <c r="I15" s="16"/>
      <c r="J15" s="17" t="s">
        <v>202</v>
      </c>
      <c r="K15" s="34" t="s">
        <v>203</v>
      </c>
      <c r="L15" s="33" t="s">
        <v>28</v>
      </c>
      <c r="M15" s="16" t="s">
        <v>31</v>
      </c>
      <c r="N15" s="53">
        <v>540</v>
      </c>
      <c r="O15" s="48" t="s">
        <v>216</v>
      </c>
      <c r="P15" s="47" t="str">
        <f t="shared" si="0"/>
        <v>23</v>
      </c>
      <c r="Q15" s="19" t="str">
        <f t="shared" si="1"/>
        <v>07</v>
      </c>
      <c r="R15" s="19" t="s">
        <v>25</v>
      </c>
      <c r="S15" s="19" t="s">
        <v>101</v>
      </c>
      <c r="T15" s="22" t="s">
        <v>31</v>
      </c>
      <c r="U15" s="16" t="s">
        <v>205</v>
      </c>
      <c r="V15" s="16" t="s">
        <v>93</v>
      </c>
      <c r="W15" s="14">
        <v>45998</v>
      </c>
      <c r="X15" s="16">
        <f t="shared" si="2"/>
        <v>25</v>
      </c>
      <c r="Y15" s="16"/>
      <c r="Z15" s="16"/>
      <c r="AA15" s="16"/>
      <c r="AB15" s="10" t="str">
        <f t="shared" si="3"/>
        <v>Closed in Dec</v>
      </c>
    </row>
    <row r="16" spans="1:28" x14ac:dyDescent="0.25">
      <c r="A16" s="14">
        <v>45973</v>
      </c>
      <c r="B16" s="15">
        <v>2025</v>
      </c>
      <c r="C16" s="24" t="s">
        <v>21</v>
      </c>
      <c r="D16" s="15" t="s">
        <v>194</v>
      </c>
      <c r="E16" s="34" t="s">
        <v>133</v>
      </c>
      <c r="F16" s="16" t="s">
        <v>60</v>
      </c>
      <c r="G16" s="9" t="s">
        <v>196</v>
      </c>
      <c r="H16" s="21">
        <v>9033920684</v>
      </c>
      <c r="I16" s="16"/>
      <c r="J16" s="17" t="s">
        <v>202</v>
      </c>
      <c r="K16" s="34" t="s">
        <v>203</v>
      </c>
      <c r="L16" s="33" t="s">
        <v>28</v>
      </c>
      <c r="M16" s="16" t="s">
        <v>31</v>
      </c>
      <c r="N16" s="53">
        <v>540</v>
      </c>
      <c r="O16" s="48" t="s">
        <v>217</v>
      </c>
      <c r="P16" s="47" t="str">
        <f t="shared" si="0"/>
        <v>23</v>
      </c>
      <c r="Q16" s="19" t="str">
        <f t="shared" si="1"/>
        <v>07</v>
      </c>
      <c r="R16" s="19" t="s">
        <v>25</v>
      </c>
      <c r="S16" s="19" t="s">
        <v>101</v>
      </c>
      <c r="T16" s="22" t="s">
        <v>31</v>
      </c>
      <c r="U16" s="16" t="s">
        <v>205</v>
      </c>
      <c r="V16" s="16" t="s">
        <v>93</v>
      </c>
      <c r="W16" s="14">
        <v>45998</v>
      </c>
      <c r="X16" s="16">
        <f t="shared" si="2"/>
        <v>25</v>
      </c>
      <c r="Y16" s="16"/>
      <c r="Z16" s="16"/>
      <c r="AA16" s="16"/>
      <c r="AB16" s="10" t="str">
        <f t="shared" si="3"/>
        <v>Closed in Dec</v>
      </c>
    </row>
    <row r="17" spans="1:28" x14ac:dyDescent="0.25">
      <c r="A17" s="14">
        <v>45973</v>
      </c>
      <c r="B17" s="15">
        <v>2025</v>
      </c>
      <c r="C17" s="24" t="s">
        <v>21</v>
      </c>
      <c r="D17" s="15" t="s">
        <v>194</v>
      </c>
      <c r="E17" s="34" t="s">
        <v>133</v>
      </c>
      <c r="F17" s="16" t="s">
        <v>60</v>
      </c>
      <c r="G17" s="9" t="s">
        <v>196</v>
      </c>
      <c r="H17" s="21">
        <v>9033920684</v>
      </c>
      <c r="I17" s="16"/>
      <c r="J17" s="17" t="s">
        <v>202</v>
      </c>
      <c r="K17" s="34" t="s">
        <v>203</v>
      </c>
      <c r="L17" s="33" t="s">
        <v>28</v>
      </c>
      <c r="M17" s="16" t="s">
        <v>31</v>
      </c>
      <c r="N17" s="53">
        <v>540</v>
      </c>
      <c r="O17" s="48" t="s">
        <v>218</v>
      </c>
      <c r="P17" s="47" t="str">
        <f t="shared" si="0"/>
        <v>23</v>
      </c>
      <c r="Q17" s="19" t="str">
        <f t="shared" si="1"/>
        <v>07</v>
      </c>
      <c r="R17" s="19" t="s">
        <v>25</v>
      </c>
      <c r="S17" s="19" t="s">
        <v>101</v>
      </c>
      <c r="T17" s="22" t="s">
        <v>31</v>
      </c>
      <c r="U17" s="16" t="s">
        <v>205</v>
      </c>
      <c r="V17" s="16" t="s">
        <v>93</v>
      </c>
      <c r="W17" s="14">
        <v>45998</v>
      </c>
      <c r="X17" s="16">
        <f t="shared" si="2"/>
        <v>25</v>
      </c>
      <c r="Y17" s="16"/>
      <c r="Z17" s="16"/>
      <c r="AA17" s="16"/>
      <c r="AB17" s="10" t="str">
        <f t="shared" si="3"/>
        <v>Closed in Dec</v>
      </c>
    </row>
    <row r="18" spans="1:28" x14ac:dyDescent="0.25">
      <c r="A18" s="14">
        <v>45973</v>
      </c>
      <c r="B18" s="15">
        <v>2025</v>
      </c>
      <c r="C18" s="24" t="s">
        <v>21</v>
      </c>
      <c r="D18" s="15" t="s">
        <v>194</v>
      </c>
      <c r="E18" s="34" t="s">
        <v>133</v>
      </c>
      <c r="F18" s="16" t="s">
        <v>60</v>
      </c>
      <c r="G18" s="9" t="s">
        <v>196</v>
      </c>
      <c r="H18" s="21">
        <v>9033920684</v>
      </c>
      <c r="I18" s="16"/>
      <c r="J18" s="17" t="s">
        <v>202</v>
      </c>
      <c r="K18" s="34" t="s">
        <v>203</v>
      </c>
      <c r="L18" s="33" t="s">
        <v>28</v>
      </c>
      <c r="M18" s="16" t="s">
        <v>31</v>
      </c>
      <c r="N18" s="53">
        <v>540</v>
      </c>
      <c r="O18" s="48" t="s">
        <v>219</v>
      </c>
      <c r="P18" s="47" t="str">
        <f t="shared" si="0"/>
        <v>23</v>
      </c>
      <c r="Q18" s="19" t="str">
        <f t="shared" si="1"/>
        <v>07</v>
      </c>
      <c r="R18" s="19" t="s">
        <v>25</v>
      </c>
      <c r="S18" s="19" t="s">
        <v>101</v>
      </c>
      <c r="T18" s="22" t="s">
        <v>31</v>
      </c>
      <c r="U18" s="16" t="s">
        <v>205</v>
      </c>
      <c r="V18" s="16" t="s">
        <v>93</v>
      </c>
      <c r="W18" s="14">
        <v>45998</v>
      </c>
      <c r="X18" s="16">
        <f t="shared" si="2"/>
        <v>25</v>
      </c>
      <c r="Y18" s="16"/>
      <c r="Z18" s="16"/>
      <c r="AA18" s="16"/>
      <c r="AB18" s="10" t="str">
        <f t="shared" si="3"/>
        <v>Closed in Dec</v>
      </c>
    </row>
    <row r="19" spans="1:28" x14ac:dyDescent="0.25">
      <c r="A19" s="14">
        <v>45973</v>
      </c>
      <c r="B19" s="15">
        <v>2025</v>
      </c>
      <c r="C19" s="24" t="s">
        <v>21</v>
      </c>
      <c r="D19" s="15" t="s">
        <v>194</v>
      </c>
      <c r="E19" s="34" t="s">
        <v>133</v>
      </c>
      <c r="F19" s="16" t="s">
        <v>60</v>
      </c>
      <c r="G19" s="9" t="s">
        <v>196</v>
      </c>
      <c r="H19" s="21">
        <v>9033920684</v>
      </c>
      <c r="I19" s="16"/>
      <c r="J19" s="17" t="s">
        <v>202</v>
      </c>
      <c r="K19" s="34" t="s">
        <v>203</v>
      </c>
      <c r="L19" s="33" t="s">
        <v>28</v>
      </c>
      <c r="M19" s="16" t="s">
        <v>31</v>
      </c>
      <c r="N19" s="53">
        <v>540</v>
      </c>
      <c r="O19" s="48" t="s">
        <v>220</v>
      </c>
      <c r="P19" s="47" t="str">
        <f t="shared" si="0"/>
        <v>23</v>
      </c>
      <c r="Q19" s="19" t="str">
        <f t="shared" si="1"/>
        <v>07</v>
      </c>
      <c r="R19" s="19" t="s">
        <v>25</v>
      </c>
      <c r="S19" s="19" t="s">
        <v>101</v>
      </c>
      <c r="T19" s="22" t="s">
        <v>31</v>
      </c>
      <c r="U19" s="16" t="s">
        <v>205</v>
      </c>
      <c r="V19" s="16" t="s">
        <v>93</v>
      </c>
      <c r="W19" s="14">
        <v>45998</v>
      </c>
      <c r="X19" s="16">
        <f t="shared" si="2"/>
        <v>25</v>
      </c>
      <c r="Y19" s="16"/>
      <c r="Z19" s="16"/>
      <c r="AA19" s="16"/>
      <c r="AB19" s="10" t="str">
        <f t="shared" si="3"/>
        <v>Closed in Dec</v>
      </c>
    </row>
    <row r="20" spans="1:28" x14ac:dyDescent="0.25">
      <c r="A20" s="14">
        <v>45973</v>
      </c>
      <c r="B20" s="15">
        <v>2025</v>
      </c>
      <c r="C20" s="24" t="s">
        <v>21</v>
      </c>
      <c r="D20" s="15" t="s">
        <v>194</v>
      </c>
      <c r="E20" s="34" t="s">
        <v>133</v>
      </c>
      <c r="F20" s="16" t="s">
        <v>60</v>
      </c>
      <c r="G20" s="9" t="s">
        <v>196</v>
      </c>
      <c r="H20" s="21">
        <v>9033920684</v>
      </c>
      <c r="I20" s="16"/>
      <c r="J20" s="17" t="s">
        <v>202</v>
      </c>
      <c r="K20" s="34" t="s">
        <v>203</v>
      </c>
      <c r="L20" s="33" t="s">
        <v>28</v>
      </c>
      <c r="M20" s="16" t="s">
        <v>31</v>
      </c>
      <c r="N20" s="53">
        <v>540</v>
      </c>
      <c r="O20" s="48" t="s">
        <v>221</v>
      </c>
      <c r="P20" s="47" t="str">
        <f t="shared" si="0"/>
        <v>23</v>
      </c>
      <c r="Q20" s="19" t="str">
        <f t="shared" si="1"/>
        <v>07</v>
      </c>
      <c r="R20" s="19" t="s">
        <v>25</v>
      </c>
      <c r="S20" s="19" t="s">
        <v>101</v>
      </c>
      <c r="T20" s="22" t="s">
        <v>31</v>
      </c>
      <c r="U20" s="16" t="s">
        <v>205</v>
      </c>
      <c r="V20" s="16" t="s">
        <v>93</v>
      </c>
      <c r="W20" s="14">
        <v>45998</v>
      </c>
      <c r="X20" s="16">
        <f t="shared" si="2"/>
        <v>25</v>
      </c>
      <c r="Y20" s="16"/>
      <c r="Z20" s="16"/>
      <c r="AA20" s="16"/>
      <c r="AB20" s="10" t="str">
        <f t="shared" si="3"/>
        <v>Closed in Dec</v>
      </c>
    </row>
    <row r="21" spans="1:28" x14ac:dyDescent="0.25">
      <c r="A21" s="14">
        <v>45973</v>
      </c>
      <c r="B21" s="15">
        <v>2025</v>
      </c>
      <c r="C21" s="24" t="s">
        <v>21</v>
      </c>
      <c r="D21" s="15" t="s">
        <v>194</v>
      </c>
      <c r="E21" s="34" t="s">
        <v>133</v>
      </c>
      <c r="F21" s="16" t="s">
        <v>60</v>
      </c>
      <c r="G21" s="9" t="s">
        <v>196</v>
      </c>
      <c r="H21" s="21">
        <v>9033920684</v>
      </c>
      <c r="I21" s="16"/>
      <c r="J21" s="17" t="s">
        <v>202</v>
      </c>
      <c r="K21" s="34" t="s">
        <v>203</v>
      </c>
      <c r="L21" s="33" t="s">
        <v>28</v>
      </c>
      <c r="M21" s="16" t="s">
        <v>31</v>
      </c>
      <c r="N21" s="53">
        <v>540</v>
      </c>
      <c r="O21" s="48" t="s">
        <v>222</v>
      </c>
      <c r="P21" s="47" t="str">
        <f t="shared" si="0"/>
        <v>23</v>
      </c>
      <c r="Q21" s="19" t="str">
        <f t="shared" si="1"/>
        <v>07</v>
      </c>
      <c r="R21" s="19" t="s">
        <v>25</v>
      </c>
      <c r="S21" s="19" t="s">
        <v>101</v>
      </c>
      <c r="T21" s="22" t="s">
        <v>31</v>
      </c>
      <c r="U21" s="16" t="s">
        <v>205</v>
      </c>
      <c r="V21" s="16" t="s">
        <v>93</v>
      </c>
      <c r="W21" s="14">
        <v>45998</v>
      </c>
      <c r="X21" s="16">
        <f t="shared" si="2"/>
        <v>25</v>
      </c>
      <c r="Y21" s="16"/>
      <c r="Z21" s="16"/>
      <c r="AA21" s="16"/>
      <c r="AB21" s="10" t="str">
        <f t="shared" si="3"/>
        <v>Closed in Dec</v>
      </c>
    </row>
    <row r="22" spans="1:28" x14ac:dyDescent="0.25">
      <c r="A22" s="14">
        <v>45973</v>
      </c>
      <c r="B22" s="15">
        <v>2025</v>
      </c>
      <c r="C22" s="24" t="s">
        <v>21</v>
      </c>
      <c r="D22" s="15" t="s">
        <v>194</v>
      </c>
      <c r="E22" s="34" t="s">
        <v>133</v>
      </c>
      <c r="F22" s="16" t="s">
        <v>60</v>
      </c>
      <c r="G22" s="9" t="s">
        <v>196</v>
      </c>
      <c r="H22" s="21">
        <v>9033920684</v>
      </c>
      <c r="I22" s="16"/>
      <c r="J22" s="17" t="s">
        <v>202</v>
      </c>
      <c r="K22" s="34" t="s">
        <v>203</v>
      </c>
      <c r="L22" s="33" t="s">
        <v>28</v>
      </c>
      <c r="M22" s="16" t="s">
        <v>31</v>
      </c>
      <c r="N22" s="53">
        <v>540</v>
      </c>
      <c r="O22" s="48" t="s">
        <v>223</v>
      </c>
      <c r="P22" s="47" t="str">
        <f t="shared" si="0"/>
        <v>23</v>
      </c>
      <c r="Q22" s="19" t="str">
        <f t="shared" si="1"/>
        <v>07</v>
      </c>
      <c r="R22" s="19" t="s">
        <v>25</v>
      </c>
      <c r="S22" s="19" t="s">
        <v>101</v>
      </c>
      <c r="T22" s="22" t="s">
        <v>31</v>
      </c>
      <c r="U22" s="16" t="s">
        <v>205</v>
      </c>
      <c r="V22" s="16" t="s">
        <v>93</v>
      </c>
      <c r="W22" s="14">
        <v>45998</v>
      </c>
      <c r="X22" s="16">
        <f t="shared" si="2"/>
        <v>25</v>
      </c>
      <c r="Y22" s="16"/>
      <c r="Z22" s="16"/>
      <c r="AA22" s="16"/>
      <c r="AB22" s="10" t="str">
        <f t="shared" si="3"/>
        <v>Closed in Dec</v>
      </c>
    </row>
    <row r="23" spans="1:28" x14ac:dyDescent="0.25">
      <c r="A23" s="14">
        <v>45973</v>
      </c>
      <c r="B23" s="15">
        <v>2025</v>
      </c>
      <c r="C23" s="24" t="s">
        <v>21</v>
      </c>
      <c r="D23" s="15" t="s">
        <v>194</v>
      </c>
      <c r="E23" s="34" t="s">
        <v>133</v>
      </c>
      <c r="F23" s="16" t="s">
        <v>60</v>
      </c>
      <c r="G23" s="9" t="s">
        <v>196</v>
      </c>
      <c r="H23" s="21">
        <v>9033920684</v>
      </c>
      <c r="I23" s="16"/>
      <c r="J23" s="17" t="s">
        <v>202</v>
      </c>
      <c r="K23" s="34" t="s">
        <v>203</v>
      </c>
      <c r="L23" s="33" t="s">
        <v>28</v>
      </c>
      <c r="M23" s="16" t="s">
        <v>31</v>
      </c>
      <c r="N23" s="53">
        <v>540</v>
      </c>
      <c r="O23" s="48" t="s">
        <v>224</v>
      </c>
      <c r="P23" s="47" t="str">
        <f t="shared" si="0"/>
        <v>23</v>
      </c>
      <c r="Q23" s="19" t="str">
        <f t="shared" si="1"/>
        <v>07</v>
      </c>
      <c r="R23" s="19" t="s">
        <v>25</v>
      </c>
      <c r="S23" s="19" t="s">
        <v>101</v>
      </c>
      <c r="T23" s="22" t="s">
        <v>31</v>
      </c>
      <c r="U23" s="16" t="s">
        <v>205</v>
      </c>
      <c r="V23" s="16" t="s">
        <v>93</v>
      </c>
      <c r="W23" s="14">
        <v>45998</v>
      </c>
      <c r="X23" s="16">
        <f t="shared" si="2"/>
        <v>25</v>
      </c>
      <c r="Y23" s="16"/>
      <c r="Z23" s="16"/>
      <c r="AA23" s="16"/>
      <c r="AB23" s="10" t="str">
        <f t="shared" si="3"/>
        <v>Closed in Dec</v>
      </c>
    </row>
    <row r="24" spans="1:28" x14ac:dyDescent="0.25">
      <c r="A24" s="14">
        <v>45973</v>
      </c>
      <c r="B24" s="15">
        <v>2025</v>
      </c>
      <c r="C24" s="24" t="s">
        <v>21</v>
      </c>
      <c r="D24" s="15" t="s">
        <v>194</v>
      </c>
      <c r="E24" s="34" t="s">
        <v>133</v>
      </c>
      <c r="F24" s="16" t="s">
        <v>60</v>
      </c>
      <c r="G24" s="9" t="s">
        <v>196</v>
      </c>
      <c r="H24" s="21">
        <v>9033920684</v>
      </c>
      <c r="I24" s="16"/>
      <c r="J24" s="17" t="s">
        <v>202</v>
      </c>
      <c r="K24" s="34" t="s">
        <v>203</v>
      </c>
      <c r="L24" s="33" t="s">
        <v>28</v>
      </c>
      <c r="M24" s="16" t="s">
        <v>31</v>
      </c>
      <c r="N24" s="53">
        <v>540</v>
      </c>
      <c r="O24" s="48" t="s">
        <v>225</v>
      </c>
      <c r="P24" s="47" t="str">
        <f t="shared" si="0"/>
        <v>23</v>
      </c>
      <c r="Q24" s="19" t="str">
        <f t="shared" si="1"/>
        <v>07</v>
      </c>
      <c r="R24" s="19" t="s">
        <v>25</v>
      </c>
      <c r="S24" s="19" t="s">
        <v>101</v>
      </c>
      <c r="T24" s="22" t="s">
        <v>31</v>
      </c>
      <c r="U24" s="16" t="s">
        <v>205</v>
      </c>
      <c r="V24" s="16" t="s">
        <v>93</v>
      </c>
      <c r="W24" s="14">
        <v>45998</v>
      </c>
      <c r="X24" s="16">
        <f t="shared" si="2"/>
        <v>25</v>
      </c>
      <c r="Y24" s="16"/>
      <c r="Z24" s="16"/>
      <c r="AA24" s="16"/>
      <c r="AB24" s="10" t="str">
        <f t="shared" si="3"/>
        <v>Closed in Dec</v>
      </c>
    </row>
    <row r="25" spans="1:28" x14ac:dyDescent="0.25">
      <c r="A25" s="14">
        <v>45973</v>
      </c>
      <c r="B25" s="15">
        <v>2025</v>
      </c>
      <c r="C25" s="24" t="s">
        <v>21</v>
      </c>
      <c r="D25" s="15" t="s">
        <v>194</v>
      </c>
      <c r="E25" s="34" t="s">
        <v>133</v>
      </c>
      <c r="F25" s="16" t="s">
        <v>60</v>
      </c>
      <c r="G25" s="9" t="s">
        <v>196</v>
      </c>
      <c r="H25" s="21">
        <v>9033920684</v>
      </c>
      <c r="I25" s="16"/>
      <c r="J25" s="17" t="s">
        <v>202</v>
      </c>
      <c r="K25" s="34" t="s">
        <v>203</v>
      </c>
      <c r="L25" s="33" t="s">
        <v>28</v>
      </c>
      <c r="M25" s="16" t="s">
        <v>31</v>
      </c>
      <c r="N25" s="53">
        <v>540</v>
      </c>
      <c r="O25" s="48" t="s">
        <v>226</v>
      </c>
      <c r="P25" s="47" t="str">
        <f t="shared" si="0"/>
        <v>23</v>
      </c>
      <c r="Q25" s="19" t="str">
        <f t="shared" si="1"/>
        <v>07</v>
      </c>
      <c r="R25" s="19" t="s">
        <v>25</v>
      </c>
      <c r="S25" s="19" t="s">
        <v>101</v>
      </c>
      <c r="T25" s="22" t="s">
        <v>31</v>
      </c>
      <c r="U25" s="16" t="s">
        <v>205</v>
      </c>
      <c r="V25" s="16" t="s">
        <v>93</v>
      </c>
      <c r="W25" s="14">
        <v>45998</v>
      </c>
      <c r="X25" s="16">
        <f t="shared" si="2"/>
        <v>25</v>
      </c>
      <c r="Y25" s="16"/>
      <c r="Z25" s="16"/>
      <c r="AA25" s="16"/>
      <c r="AB25" s="10" t="str">
        <f t="shared" si="3"/>
        <v>Closed in Dec</v>
      </c>
    </row>
    <row r="26" spans="1:28" x14ac:dyDescent="0.25">
      <c r="A26" s="14">
        <v>45973</v>
      </c>
      <c r="B26" s="15">
        <v>2025</v>
      </c>
      <c r="C26" s="24" t="s">
        <v>21</v>
      </c>
      <c r="D26" s="15" t="s">
        <v>194</v>
      </c>
      <c r="E26" s="34" t="s">
        <v>133</v>
      </c>
      <c r="F26" s="16" t="s">
        <v>60</v>
      </c>
      <c r="G26" s="9" t="s">
        <v>196</v>
      </c>
      <c r="H26" s="21">
        <v>9033920684</v>
      </c>
      <c r="I26" s="16"/>
      <c r="J26" s="17" t="s">
        <v>202</v>
      </c>
      <c r="K26" s="34" t="s">
        <v>203</v>
      </c>
      <c r="L26" s="33" t="s">
        <v>28</v>
      </c>
      <c r="M26" s="16" t="s">
        <v>31</v>
      </c>
      <c r="N26" s="53">
        <v>540</v>
      </c>
      <c r="O26" s="48" t="s">
        <v>227</v>
      </c>
      <c r="P26" s="47" t="str">
        <f t="shared" si="0"/>
        <v>23</v>
      </c>
      <c r="Q26" s="19" t="str">
        <f t="shared" si="1"/>
        <v>12</v>
      </c>
      <c r="R26" s="19" t="s">
        <v>25</v>
      </c>
      <c r="S26" s="19" t="s">
        <v>101</v>
      </c>
      <c r="T26" s="22" t="s">
        <v>31</v>
      </c>
      <c r="U26" s="16" t="s">
        <v>205</v>
      </c>
      <c r="V26" s="16" t="s">
        <v>93</v>
      </c>
      <c r="W26" s="14">
        <v>45998</v>
      </c>
      <c r="X26" s="16">
        <f t="shared" si="2"/>
        <v>25</v>
      </c>
      <c r="Y26" s="16"/>
      <c r="Z26" s="16"/>
      <c r="AA26" s="16"/>
      <c r="AB26" s="10" t="str">
        <f t="shared" si="3"/>
        <v>Closed in Dec</v>
      </c>
    </row>
    <row r="27" spans="1:28" x14ac:dyDescent="0.25">
      <c r="A27" s="14">
        <v>45973</v>
      </c>
      <c r="B27" s="15">
        <v>2025</v>
      </c>
      <c r="C27" s="24" t="s">
        <v>21</v>
      </c>
      <c r="D27" s="15" t="s">
        <v>194</v>
      </c>
      <c r="E27" s="34" t="s">
        <v>133</v>
      </c>
      <c r="F27" s="16" t="s">
        <v>60</v>
      </c>
      <c r="G27" s="9" t="s">
        <v>196</v>
      </c>
      <c r="H27" s="21">
        <v>9033920684</v>
      </c>
      <c r="I27" s="16"/>
      <c r="J27" s="17" t="s">
        <v>202</v>
      </c>
      <c r="K27" s="34" t="s">
        <v>203</v>
      </c>
      <c r="L27" s="33" t="s">
        <v>28</v>
      </c>
      <c r="M27" s="16" t="s">
        <v>31</v>
      </c>
      <c r="N27" s="53">
        <v>540</v>
      </c>
      <c r="O27" s="48" t="s">
        <v>228</v>
      </c>
      <c r="P27" s="47" t="str">
        <f t="shared" si="0"/>
        <v>23</v>
      </c>
      <c r="Q27" s="19" t="str">
        <f t="shared" si="1"/>
        <v>07</v>
      </c>
      <c r="R27" s="19" t="s">
        <v>25</v>
      </c>
      <c r="S27" s="19" t="s">
        <v>101</v>
      </c>
      <c r="T27" s="22" t="s">
        <v>31</v>
      </c>
      <c r="U27" s="16" t="s">
        <v>205</v>
      </c>
      <c r="V27" s="16" t="s">
        <v>93</v>
      </c>
      <c r="W27" s="14">
        <v>45998</v>
      </c>
      <c r="X27" s="16">
        <f t="shared" si="2"/>
        <v>25</v>
      </c>
      <c r="Y27" s="16"/>
      <c r="Z27" s="16"/>
      <c r="AA27" s="16"/>
      <c r="AB27" s="10" t="str">
        <f t="shared" si="3"/>
        <v>Closed in Dec</v>
      </c>
    </row>
    <row r="28" spans="1:28" x14ac:dyDescent="0.25">
      <c r="A28" s="14">
        <v>45973</v>
      </c>
      <c r="B28" s="15">
        <v>2025</v>
      </c>
      <c r="C28" s="24" t="s">
        <v>21</v>
      </c>
      <c r="D28" s="15" t="s">
        <v>194</v>
      </c>
      <c r="E28" s="34" t="s">
        <v>133</v>
      </c>
      <c r="F28" s="16" t="s">
        <v>60</v>
      </c>
      <c r="G28" s="9" t="s">
        <v>196</v>
      </c>
      <c r="H28" s="21">
        <v>9033920684</v>
      </c>
      <c r="I28" s="16"/>
      <c r="J28" s="17" t="s">
        <v>202</v>
      </c>
      <c r="K28" s="34" t="s">
        <v>203</v>
      </c>
      <c r="L28" s="33" t="s">
        <v>28</v>
      </c>
      <c r="M28" s="16" t="s">
        <v>31</v>
      </c>
      <c r="N28" s="53">
        <v>540</v>
      </c>
      <c r="O28" s="48" t="s">
        <v>229</v>
      </c>
      <c r="P28" s="47" t="str">
        <f t="shared" si="0"/>
        <v>23</v>
      </c>
      <c r="Q28" s="19" t="str">
        <f t="shared" si="1"/>
        <v>07</v>
      </c>
      <c r="R28" s="19" t="s">
        <v>25</v>
      </c>
      <c r="S28" s="19" t="s">
        <v>101</v>
      </c>
      <c r="T28" s="22" t="s">
        <v>31</v>
      </c>
      <c r="U28" s="16" t="s">
        <v>205</v>
      </c>
      <c r="V28" s="16" t="s">
        <v>93</v>
      </c>
      <c r="W28" s="14">
        <v>45998</v>
      </c>
      <c r="X28" s="16">
        <f t="shared" si="2"/>
        <v>25</v>
      </c>
      <c r="Y28" s="16"/>
      <c r="Z28" s="16"/>
      <c r="AA28" s="16"/>
      <c r="AB28" s="10" t="str">
        <f t="shared" si="3"/>
        <v>Closed in Dec</v>
      </c>
    </row>
    <row r="29" spans="1:28" x14ac:dyDescent="0.25">
      <c r="A29" s="14">
        <v>45973</v>
      </c>
      <c r="B29" s="15">
        <v>2025</v>
      </c>
      <c r="C29" s="24" t="s">
        <v>21</v>
      </c>
      <c r="D29" s="15" t="s">
        <v>194</v>
      </c>
      <c r="E29" s="34" t="s">
        <v>133</v>
      </c>
      <c r="F29" s="16" t="s">
        <v>60</v>
      </c>
      <c r="G29" s="9" t="s">
        <v>196</v>
      </c>
      <c r="H29" s="21">
        <v>9033920684</v>
      </c>
      <c r="I29" s="16"/>
      <c r="J29" s="17" t="s">
        <v>202</v>
      </c>
      <c r="K29" s="34" t="s">
        <v>203</v>
      </c>
      <c r="L29" s="33" t="s">
        <v>28</v>
      </c>
      <c r="M29" s="15" t="s">
        <v>115</v>
      </c>
      <c r="N29" s="53">
        <v>540</v>
      </c>
      <c r="O29" s="48" t="s">
        <v>230</v>
      </c>
      <c r="P29" s="47" t="str">
        <f t="shared" si="0"/>
        <v>23</v>
      </c>
      <c r="Q29" s="19" t="str">
        <f t="shared" si="1"/>
        <v>07</v>
      </c>
      <c r="R29" s="19" t="s">
        <v>25</v>
      </c>
      <c r="S29" s="19" t="s">
        <v>101</v>
      </c>
      <c r="T29" s="46" t="s">
        <v>231</v>
      </c>
      <c r="U29" s="16" t="s">
        <v>94</v>
      </c>
      <c r="V29" s="16" t="s">
        <v>94</v>
      </c>
      <c r="W29" s="14">
        <v>45998</v>
      </c>
      <c r="X29" s="16">
        <f t="shared" si="2"/>
        <v>25</v>
      </c>
      <c r="Y29" s="16"/>
      <c r="Z29" s="16"/>
      <c r="AA29" s="16"/>
      <c r="AB29" s="10" t="str">
        <f t="shared" si="3"/>
        <v>Closed in Dec</v>
      </c>
    </row>
    <row r="30" spans="1:28" x14ac:dyDescent="0.25">
      <c r="A30" s="14">
        <v>45973</v>
      </c>
      <c r="B30" s="15">
        <v>2025</v>
      </c>
      <c r="C30" s="24" t="s">
        <v>21</v>
      </c>
      <c r="D30" s="15" t="s">
        <v>194</v>
      </c>
      <c r="E30" s="34" t="s">
        <v>133</v>
      </c>
      <c r="F30" s="16" t="s">
        <v>60</v>
      </c>
      <c r="G30" s="9" t="s">
        <v>196</v>
      </c>
      <c r="H30" s="21">
        <v>9033920684</v>
      </c>
      <c r="I30" s="16"/>
      <c r="J30" s="17" t="s">
        <v>202</v>
      </c>
      <c r="K30" s="34" t="s">
        <v>203</v>
      </c>
      <c r="L30" s="33" t="s">
        <v>28</v>
      </c>
      <c r="M30" s="16" t="s">
        <v>31</v>
      </c>
      <c r="N30" s="53">
        <v>540</v>
      </c>
      <c r="O30" s="48" t="s">
        <v>232</v>
      </c>
      <c r="P30" s="47" t="str">
        <f t="shared" si="0"/>
        <v>23</v>
      </c>
      <c r="Q30" s="19" t="str">
        <f t="shared" si="1"/>
        <v>07</v>
      </c>
      <c r="R30" s="19" t="s">
        <v>25</v>
      </c>
      <c r="S30" s="19" t="s">
        <v>101</v>
      </c>
      <c r="T30" s="22" t="s">
        <v>31</v>
      </c>
      <c r="U30" s="16" t="s">
        <v>205</v>
      </c>
      <c r="V30" s="16" t="s">
        <v>93</v>
      </c>
      <c r="W30" s="14">
        <v>45998</v>
      </c>
      <c r="X30" s="16">
        <f t="shared" si="2"/>
        <v>25</v>
      </c>
      <c r="Y30" s="16"/>
      <c r="Z30" s="16"/>
      <c r="AA30" s="16"/>
      <c r="AB30" s="10" t="str">
        <f t="shared" si="3"/>
        <v>Closed in Dec</v>
      </c>
    </row>
    <row r="31" spans="1:28" x14ac:dyDescent="0.25">
      <c r="A31" s="14">
        <v>45973</v>
      </c>
      <c r="B31" s="15">
        <v>2025</v>
      </c>
      <c r="C31" s="24" t="s">
        <v>21</v>
      </c>
      <c r="D31" s="15" t="s">
        <v>194</v>
      </c>
      <c r="E31" s="34" t="s">
        <v>133</v>
      </c>
      <c r="F31" s="16" t="s">
        <v>60</v>
      </c>
      <c r="G31" s="9" t="s">
        <v>196</v>
      </c>
      <c r="H31" s="21">
        <v>9033920684</v>
      </c>
      <c r="I31" s="16"/>
      <c r="J31" s="17" t="s">
        <v>202</v>
      </c>
      <c r="K31" s="34" t="s">
        <v>203</v>
      </c>
      <c r="L31" s="33" t="s">
        <v>28</v>
      </c>
      <c r="M31" s="16" t="s">
        <v>31</v>
      </c>
      <c r="N31" s="53">
        <v>540</v>
      </c>
      <c r="O31" s="48" t="s">
        <v>233</v>
      </c>
      <c r="P31" s="47" t="str">
        <f t="shared" si="0"/>
        <v>23</v>
      </c>
      <c r="Q31" s="19" t="str">
        <f t="shared" si="1"/>
        <v>07</v>
      </c>
      <c r="R31" s="19" t="s">
        <v>25</v>
      </c>
      <c r="S31" s="19" t="s">
        <v>101</v>
      </c>
      <c r="T31" s="22" t="s">
        <v>31</v>
      </c>
      <c r="U31" s="16" t="s">
        <v>205</v>
      </c>
      <c r="V31" s="16" t="s">
        <v>93</v>
      </c>
      <c r="W31" s="14">
        <v>45998</v>
      </c>
      <c r="X31" s="16">
        <f t="shared" si="2"/>
        <v>25</v>
      </c>
      <c r="Y31" s="16"/>
      <c r="Z31" s="16"/>
      <c r="AA31" s="16"/>
      <c r="AB31" s="10" t="str">
        <f t="shared" si="3"/>
        <v>Closed in Dec</v>
      </c>
    </row>
    <row r="32" spans="1:28" x14ac:dyDescent="0.25">
      <c r="A32" s="14">
        <v>45973</v>
      </c>
      <c r="B32" s="15">
        <v>2025</v>
      </c>
      <c r="C32" s="24" t="s">
        <v>21</v>
      </c>
      <c r="D32" s="15" t="s">
        <v>194</v>
      </c>
      <c r="E32" s="34" t="s">
        <v>133</v>
      </c>
      <c r="F32" s="16" t="s">
        <v>60</v>
      </c>
      <c r="G32" s="9" t="s">
        <v>196</v>
      </c>
      <c r="H32" s="21">
        <v>9033920684</v>
      </c>
      <c r="I32" s="16"/>
      <c r="J32" s="17" t="s">
        <v>202</v>
      </c>
      <c r="K32" s="34" t="s">
        <v>203</v>
      </c>
      <c r="L32" s="33" t="s">
        <v>28</v>
      </c>
      <c r="M32" s="16" t="s">
        <v>31</v>
      </c>
      <c r="N32" s="53">
        <v>540</v>
      </c>
      <c r="O32" s="48" t="s">
        <v>234</v>
      </c>
      <c r="P32" s="47" t="str">
        <f t="shared" si="0"/>
        <v>23</v>
      </c>
      <c r="Q32" s="19" t="str">
        <f t="shared" si="1"/>
        <v>07</v>
      </c>
      <c r="R32" s="19" t="s">
        <v>25</v>
      </c>
      <c r="S32" s="19" t="s">
        <v>101</v>
      </c>
      <c r="T32" s="22" t="s">
        <v>31</v>
      </c>
      <c r="U32" s="16" t="s">
        <v>205</v>
      </c>
      <c r="V32" s="16" t="s">
        <v>93</v>
      </c>
      <c r="W32" s="14">
        <v>45998</v>
      </c>
      <c r="X32" s="16">
        <f t="shared" si="2"/>
        <v>25</v>
      </c>
      <c r="Y32" s="16"/>
      <c r="Z32" s="16"/>
      <c r="AA32" s="16"/>
      <c r="AB32" s="10" t="str">
        <f t="shared" si="3"/>
        <v>Closed in Dec</v>
      </c>
    </row>
    <row r="33" spans="1:28" x14ac:dyDescent="0.25">
      <c r="A33" s="14">
        <v>45973</v>
      </c>
      <c r="B33" s="15">
        <v>2025</v>
      </c>
      <c r="C33" s="24" t="s">
        <v>21</v>
      </c>
      <c r="D33" s="15" t="s">
        <v>194</v>
      </c>
      <c r="E33" s="34" t="s">
        <v>133</v>
      </c>
      <c r="F33" s="16" t="s">
        <v>60</v>
      </c>
      <c r="G33" s="9" t="s">
        <v>196</v>
      </c>
      <c r="H33" s="21">
        <v>9033920684</v>
      </c>
      <c r="I33" s="16"/>
      <c r="J33" s="17" t="s">
        <v>202</v>
      </c>
      <c r="K33" s="34" t="s">
        <v>203</v>
      </c>
      <c r="L33" s="33" t="s">
        <v>28</v>
      </c>
      <c r="M33" s="16" t="s">
        <v>31</v>
      </c>
      <c r="N33" s="53">
        <v>540</v>
      </c>
      <c r="O33" s="48" t="s">
        <v>235</v>
      </c>
      <c r="P33" s="47" t="str">
        <f t="shared" si="0"/>
        <v>23</v>
      </c>
      <c r="Q33" s="19" t="str">
        <f t="shared" si="1"/>
        <v>07</v>
      </c>
      <c r="R33" s="19" t="s">
        <v>25</v>
      </c>
      <c r="S33" s="19" t="s">
        <v>101</v>
      </c>
      <c r="T33" s="22" t="s">
        <v>31</v>
      </c>
      <c r="U33" s="16" t="s">
        <v>205</v>
      </c>
      <c r="V33" s="16" t="s">
        <v>93</v>
      </c>
      <c r="W33" s="14">
        <v>45998</v>
      </c>
      <c r="X33" s="16">
        <f t="shared" si="2"/>
        <v>25</v>
      </c>
      <c r="Y33" s="16"/>
      <c r="Z33" s="16"/>
      <c r="AA33" s="16"/>
      <c r="AB33" s="10" t="str">
        <f t="shared" si="3"/>
        <v>Closed in Dec</v>
      </c>
    </row>
    <row r="34" spans="1:28" x14ac:dyDescent="0.25">
      <c r="A34" s="14">
        <v>45973</v>
      </c>
      <c r="B34" s="15">
        <v>2025</v>
      </c>
      <c r="C34" s="24" t="s">
        <v>21</v>
      </c>
      <c r="D34" s="15" t="s">
        <v>194</v>
      </c>
      <c r="E34" s="34" t="s">
        <v>133</v>
      </c>
      <c r="F34" s="16" t="s">
        <v>60</v>
      </c>
      <c r="G34" s="9" t="s">
        <v>196</v>
      </c>
      <c r="H34" s="21">
        <v>9033920684</v>
      </c>
      <c r="I34" s="16"/>
      <c r="J34" s="17" t="s">
        <v>202</v>
      </c>
      <c r="K34" s="34" t="s">
        <v>203</v>
      </c>
      <c r="L34" s="33" t="s">
        <v>28</v>
      </c>
      <c r="M34" s="16" t="s">
        <v>31</v>
      </c>
      <c r="N34" s="53">
        <v>540</v>
      </c>
      <c r="O34" s="48" t="s">
        <v>236</v>
      </c>
      <c r="P34" s="47" t="str">
        <f t="shared" ref="P34:P65" si="4">MID(O34,5,2)</f>
        <v>23</v>
      </c>
      <c r="Q34" s="19" t="str">
        <f t="shared" ref="Q34:Q65" si="5">MID(O34,7,2)</f>
        <v>07</v>
      </c>
      <c r="R34" s="19" t="s">
        <v>25</v>
      </c>
      <c r="S34" s="19" t="s">
        <v>101</v>
      </c>
      <c r="T34" s="22" t="s">
        <v>31</v>
      </c>
      <c r="U34" s="16" t="s">
        <v>205</v>
      </c>
      <c r="V34" s="16" t="s">
        <v>93</v>
      </c>
      <c r="W34" s="14">
        <v>45998</v>
      </c>
      <c r="X34" s="16">
        <f t="shared" si="2"/>
        <v>25</v>
      </c>
      <c r="Y34" s="16"/>
      <c r="Z34" s="16"/>
      <c r="AA34" s="16"/>
      <c r="AB34" s="10" t="str">
        <f t="shared" si="3"/>
        <v>Closed in Dec</v>
      </c>
    </row>
    <row r="35" spans="1:28" x14ac:dyDescent="0.25">
      <c r="A35" s="14">
        <v>45973</v>
      </c>
      <c r="B35" s="15">
        <v>2025</v>
      </c>
      <c r="C35" s="24" t="s">
        <v>21</v>
      </c>
      <c r="D35" s="15" t="s">
        <v>194</v>
      </c>
      <c r="E35" s="34" t="s">
        <v>133</v>
      </c>
      <c r="F35" s="16" t="s">
        <v>60</v>
      </c>
      <c r="G35" s="9" t="s">
        <v>196</v>
      </c>
      <c r="H35" s="21">
        <v>9033920684</v>
      </c>
      <c r="I35" s="16"/>
      <c r="J35" s="17" t="s">
        <v>202</v>
      </c>
      <c r="K35" s="34" t="s">
        <v>203</v>
      </c>
      <c r="L35" s="33" t="s">
        <v>28</v>
      </c>
      <c r="M35" s="16" t="s">
        <v>31</v>
      </c>
      <c r="N35" s="53">
        <v>540</v>
      </c>
      <c r="O35" s="48" t="s">
        <v>237</v>
      </c>
      <c r="P35" s="47" t="str">
        <f t="shared" si="4"/>
        <v>23</v>
      </c>
      <c r="Q35" s="19" t="str">
        <f t="shared" si="5"/>
        <v>07</v>
      </c>
      <c r="R35" s="19" t="s">
        <v>25</v>
      </c>
      <c r="S35" s="19" t="s">
        <v>101</v>
      </c>
      <c r="T35" s="22" t="s">
        <v>31</v>
      </c>
      <c r="U35" s="16" t="s">
        <v>205</v>
      </c>
      <c r="V35" s="16" t="s">
        <v>93</v>
      </c>
      <c r="W35" s="14">
        <v>45998</v>
      </c>
      <c r="X35" s="16">
        <f t="shared" si="2"/>
        <v>25</v>
      </c>
      <c r="Y35" s="16"/>
      <c r="Z35" s="16"/>
      <c r="AA35" s="16"/>
      <c r="AB35" s="10" t="str">
        <f t="shared" si="3"/>
        <v>Closed in Dec</v>
      </c>
    </row>
    <row r="36" spans="1:28" x14ac:dyDescent="0.25">
      <c r="A36" s="14">
        <v>45973</v>
      </c>
      <c r="B36" s="15">
        <v>2025</v>
      </c>
      <c r="C36" s="24" t="s">
        <v>21</v>
      </c>
      <c r="D36" s="15" t="s">
        <v>194</v>
      </c>
      <c r="E36" s="34" t="s">
        <v>133</v>
      </c>
      <c r="F36" s="16" t="s">
        <v>60</v>
      </c>
      <c r="G36" s="9" t="s">
        <v>196</v>
      </c>
      <c r="H36" s="21">
        <v>9033920684</v>
      </c>
      <c r="I36" s="16"/>
      <c r="J36" s="17" t="s">
        <v>202</v>
      </c>
      <c r="K36" s="34" t="s">
        <v>203</v>
      </c>
      <c r="L36" s="33" t="s">
        <v>28</v>
      </c>
      <c r="M36" s="16" t="s">
        <v>31</v>
      </c>
      <c r="N36" s="53">
        <v>540</v>
      </c>
      <c r="O36" s="48" t="s">
        <v>238</v>
      </c>
      <c r="P36" s="47" t="str">
        <f t="shared" si="4"/>
        <v>23</v>
      </c>
      <c r="Q36" s="19" t="str">
        <f t="shared" si="5"/>
        <v>07</v>
      </c>
      <c r="R36" s="19" t="s">
        <v>25</v>
      </c>
      <c r="S36" s="19" t="s">
        <v>101</v>
      </c>
      <c r="T36" s="22" t="s">
        <v>31</v>
      </c>
      <c r="U36" s="16" t="s">
        <v>205</v>
      </c>
      <c r="V36" s="16" t="s">
        <v>93</v>
      </c>
      <c r="W36" s="14">
        <v>45998</v>
      </c>
      <c r="X36" s="16">
        <f t="shared" si="2"/>
        <v>25</v>
      </c>
      <c r="Y36" s="16"/>
      <c r="Z36" s="16"/>
      <c r="AA36" s="16"/>
      <c r="AB36" s="10" t="str">
        <f t="shared" si="3"/>
        <v>Closed in Dec</v>
      </c>
    </row>
    <row r="37" spans="1:28" x14ac:dyDescent="0.25">
      <c r="A37" s="14">
        <v>45973</v>
      </c>
      <c r="B37" s="15">
        <v>2025</v>
      </c>
      <c r="C37" s="24" t="s">
        <v>21</v>
      </c>
      <c r="D37" s="15" t="s">
        <v>194</v>
      </c>
      <c r="E37" s="34" t="s">
        <v>133</v>
      </c>
      <c r="F37" s="16" t="s">
        <v>60</v>
      </c>
      <c r="G37" s="9" t="s">
        <v>196</v>
      </c>
      <c r="H37" s="21">
        <v>9033920684</v>
      </c>
      <c r="I37" s="16"/>
      <c r="J37" s="17" t="s">
        <v>202</v>
      </c>
      <c r="K37" s="34" t="s">
        <v>203</v>
      </c>
      <c r="L37" s="33" t="s">
        <v>28</v>
      </c>
      <c r="M37" s="16" t="s">
        <v>31</v>
      </c>
      <c r="N37" s="53">
        <v>540</v>
      </c>
      <c r="O37" s="48" t="s">
        <v>239</v>
      </c>
      <c r="P37" s="47" t="str">
        <f t="shared" si="4"/>
        <v>23</v>
      </c>
      <c r="Q37" s="19" t="str">
        <f t="shared" si="5"/>
        <v>07</v>
      </c>
      <c r="R37" s="19" t="s">
        <v>25</v>
      </c>
      <c r="S37" s="19" t="s">
        <v>101</v>
      </c>
      <c r="T37" s="22" t="s">
        <v>31</v>
      </c>
      <c r="U37" s="16" t="s">
        <v>205</v>
      </c>
      <c r="V37" s="16" t="s">
        <v>93</v>
      </c>
      <c r="W37" s="14">
        <v>45998</v>
      </c>
      <c r="X37" s="16">
        <f t="shared" si="2"/>
        <v>25</v>
      </c>
      <c r="Y37" s="16"/>
      <c r="Z37" s="16"/>
      <c r="AA37" s="16"/>
      <c r="AB37" s="10" t="str">
        <f t="shared" si="3"/>
        <v>Closed in Dec</v>
      </c>
    </row>
    <row r="38" spans="1:28" x14ac:dyDescent="0.25">
      <c r="A38" s="14">
        <v>45973</v>
      </c>
      <c r="B38" s="15">
        <v>2025</v>
      </c>
      <c r="C38" s="24" t="s">
        <v>21</v>
      </c>
      <c r="D38" s="15" t="s">
        <v>194</v>
      </c>
      <c r="E38" s="34" t="s">
        <v>133</v>
      </c>
      <c r="F38" s="16" t="s">
        <v>60</v>
      </c>
      <c r="G38" s="9" t="s">
        <v>196</v>
      </c>
      <c r="H38" s="21">
        <v>9033920684</v>
      </c>
      <c r="I38" s="16"/>
      <c r="J38" s="17" t="s">
        <v>202</v>
      </c>
      <c r="K38" s="34" t="s">
        <v>203</v>
      </c>
      <c r="L38" s="33" t="s">
        <v>28</v>
      </c>
      <c r="M38" s="16" t="s">
        <v>31</v>
      </c>
      <c r="N38" s="53">
        <v>540</v>
      </c>
      <c r="O38" s="48" t="s">
        <v>240</v>
      </c>
      <c r="P38" s="47" t="str">
        <f t="shared" si="4"/>
        <v>23</v>
      </c>
      <c r="Q38" s="19" t="str">
        <f t="shared" si="5"/>
        <v>07</v>
      </c>
      <c r="R38" s="19" t="s">
        <v>25</v>
      </c>
      <c r="S38" s="19" t="s">
        <v>101</v>
      </c>
      <c r="T38" s="22" t="s">
        <v>31</v>
      </c>
      <c r="U38" s="16" t="s">
        <v>205</v>
      </c>
      <c r="V38" s="16" t="s">
        <v>93</v>
      </c>
      <c r="W38" s="14">
        <v>45998</v>
      </c>
      <c r="X38" s="16">
        <f t="shared" si="2"/>
        <v>25</v>
      </c>
      <c r="Y38" s="16"/>
      <c r="Z38" s="16"/>
      <c r="AA38" s="16"/>
      <c r="AB38" s="10" t="str">
        <f t="shared" si="3"/>
        <v>Closed in Dec</v>
      </c>
    </row>
    <row r="39" spans="1:28" x14ac:dyDescent="0.25">
      <c r="A39" s="14">
        <v>45973</v>
      </c>
      <c r="B39" s="15">
        <v>2025</v>
      </c>
      <c r="C39" s="24" t="s">
        <v>21</v>
      </c>
      <c r="D39" s="15" t="s">
        <v>194</v>
      </c>
      <c r="E39" s="34" t="s">
        <v>133</v>
      </c>
      <c r="F39" s="16" t="s">
        <v>60</v>
      </c>
      <c r="G39" s="9" t="s">
        <v>196</v>
      </c>
      <c r="H39" s="21">
        <v>9033920684</v>
      </c>
      <c r="I39" s="16"/>
      <c r="J39" s="17" t="s">
        <v>202</v>
      </c>
      <c r="K39" s="34" t="s">
        <v>203</v>
      </c>
      <c r="L39" s="33" t="s">
        <v>28</v>
      </c>
      <c r="M39" s="16" t="s">
        <v>31</v>
      </c>
      <c r="N39" s="53">
        <v>540</v>
      </c>
      <c r="O39" s="48" t="s">
        <v>241</v>
      </c>
      <c r="P39" s="47" t="str">
        <f t="shared" si="4"/>
        <v>23</v>
      </c>
      <c r="Q39" s="19" t="str">
        <f t="shared" si="5"/>
        <v>07</v>
      </c>
      <c r="R39" s="19" t="s">
        <v>25</v>
      </c>
      <c r="S39" s="19" t="s">
        <v>101</v>
      </c>
      <c r="T39" s="22" t="s">
        <v>31</v>
      </c>
      <c r="U39" s="16" t="s">
        <v>205</v>
      </c>
      <c r="V39" s="16" t="s">
        <v>93</v>
      </c>
      <c r="W39" s="14">
        <v>45998</v>
      </c>
      <c r="X39" s="16">
        <f t="shared" si="2"/>
        <v>25</v>
      </c>
      <c r="Y39" s="16"/>
      <c r="Z39" s="16"/>
      <c r="AA39" s="16"/>
      <c r="AB39" s="10" t="str">
        <f t="shared" si="3"/>
        <v>Closed in Dec</v>
      </c>
    </row>
    <row r="40" spans="1:28" x14ac:dyDescent="0.25">
      <c r="A40" s="14">
        <v>45973</v>
      </c>
      <c r="B40" s="15">
        <v>2025</v>
      </c>
      <c r="C40" s="24" t="s">
        <v>21</v>
      </c>
      <c r="D40" s="15" t="s">
        <v>194</v>
      </c>
      <c r="E40" s="34" t="s">
        <v>133</v>
      </c>
      <c r="F40" s="16" t="s">
        <v>60</v>
      </c>
      <c r="G40" s="9" t="s">
        <v>196</v>
      </c>
      <c r="H40" s="21">
        <v>9033920684</v>
      </c>
      <c r="I40" s="16"/>
      <c r="J40" s="17" t="s">
        <v>202</v>
      </c>
      <c r="K40" s="34" t="s">
        <v>203</v>
      </c>
      <c r="L40" s="33" t="s">
        <v>28</v>
      </c>
      <c r="M40" s="16" t="s">
        <v>31</v>
      </c>
      <c r="N40" s="53">
        <v>540</v>
      </c>
      <c r="O40" s="48" t="s">
        <v>242</v>
      </c>
      <c r="P40" s="47" t="str">
        <f t="shared" si="4"/>
        <v>23</v>
      </c>
      <c r="Q40" s="19" t="str">
        <f t="shared" si="5"/>
        <v>07</v>
      </c>
      <c r="R40" s="19" t="s">
        <v>25</v>
      </c>
      <c r="S40" s="19" t="s">
        <v>101</v>
      </c>
      <c r="T40" s="22" t="s">
        <v>31</v>
      </c>
      <c r="U40" s="16" t="s">
        <v>205</v>
      </c>
      <c r="V40" s="16" t="s">
        <v>93</v>
      </c>
      <c r="W40" s="14">
        <v>45998</v>
      </c>
      <c r="X40" s="16">
        <f t="shared" si="2"/>
        <v>25</v>
      </c>
      <c r="Y40" s="16"/>
      <c r="Z40" s="16"/>
      <c r="AA40" s="16"/>
      <c r="AB40" s="10" t="str">
        <f t="shared" si="3"/>
        <v>Closed in Dec</v>
      </c>
    </row>
    <row r="41" spans="1:28" x14ac:dyDescent="0.25">
      <c r="A41" s="14">
        <v>45973</v>
      </c>
      <c r="B41" s="15">
        <v>2025</v>
      </c>
      <c r="C41" s="24" t="s">
        <v>21</v>
      </c>
      <c r="D41" s="15" t="s">
        <v>194</v>
      </c>
      <c r="E41" s="34" t="s">
        <v>133</v>
      </c>
      <c r="F41" s="16" t="s">
        <v>60</v>
      </c>
      <c r="G41" s="9" t="s">
        <v>196</v>
      </c>
      <c r="H41" s="21">
        <v>9033920684</v>
      </c>
      <c r="I41" s="16"/>
      <c r="J41" s="17" t="s">
        <v>202</v>
      </c>
      <c r="K41" s="34" t="s">
        <v>203</v>
      </c>
      <c r="L41" s="33" t="s">
        <v>28</v>
      </c>
      <c r="M41" s="16" t="s">
        <v>31</v>
      </c>
      <c r="N41" s="53">
        <v>540</v>
      </c>
      <c r="O41" s="48" t="s">
        <v>243</v>
      </c>
      <c r="P41" s="47" t="str">
        <f t="shared" si="4"/>
        <v>23</v>
      </c>
      <c r="Q41" s="19" t="str">
        <f t="shared" si="5"/>
        <v>07</v>
      </c>
      <c r="R41" s="19" t="s">
        <v>25</v>
      </c>
      <c r="S41" s="19" t="s">
        <v>101</v>
      </c>
      <c r="T41" s="22" t="s">
        <v>31</v>
      </c>
      <c r="U41" s="16" t="s">
        <v>205</v>
      </c>
      <c r="V41" s="16" t="s">
        <v>93</v>
      </c>
      <c r="W41" s="14">
        <v>45998</v>
      </c>
      <c r="X41" s="16">
        <f t="shared" si="2"/>
        <v>25</v>
      </c>
      <c r="Y41" s="16"/>
      <c r="Z41" s="16"/>
      <c r="AA41" s="16"/>
      <c r="AB41" s="10" t="str">
        <f t="shared" si="3"/>
        <v>Closed in Dec</v>
      </c>
    </row>
    <row r="42" spans="1:28" x14ac:dyDescent="0.25">
      <c r="A42" s="14">
        <v>45973</v>
      </c>
      <c r="B42" s="15">
        <v>2025</v>
      </c>
      <c r="C42" s="24" t="s">
        <v>21</v>
      </c>
      <c r="D42" s="15" t="s">
        <v>194</v>
      </c>
      <c r="E42" s="34" t="s">
        <v>133</v>
      </c>
      <c r="F42" s="16" t="s">
        <v>60</v>
      </c>
      <c r="G42" s="9" t="s">
        <v>196</v>
      </c>
      <c r="H42" s="21">
        <v>9033920684</v>
      </c>
      <c r="I42" s="16"/>
      <c r="J42" s="17" t="s">
        <v>202</v>
      </c>
      <c r="K42" s="34" t="s">
        <v>203</v>
      </c>
      <c r="L42" s="33" t="s">
        <v>28</v>
      </c>
      <c r="M42" s="16" t="s">
        <v>31</v>
      </c>
      <c r="N42" s="53">
        <v>540</v>
      </c>
      <c r="O42" s="48" t="s">
        <v>244</v>
      </c>
      <c r="P42" s="47" t="str">
        <f t="shared" si="4"/>
        <v>23</v>
      </c>
      <c r="Q42" s="19" t="str">
        <f t="shared" si="5"/>
        <v>07</v>
      </c>
      <c r="R42" s="19" t="s">
        <v>25</v>
      </c>
      <c r="S42" s="19" t="s">
        <v>101</v>
      </c>
      <c r="T42" s="22" t="s">
        <v>31</v>
      </c>
      <c r="U42" s="16" t="s">
        <v>205</v>
      </c>
      <c r="V42" s="16" t="s">
        <v>93</v>
      </c>
      <c r="W42" s="14">
        <v>45998</v>
      </c>
      <c r="X42" s="16">
        <f t="shared" si="2"/>
        <v>25</v>
      </c>
      <c r="Y42" s="16"/>
      <c r="Z42" s="16"/>
      <c r="AA42" s="16"/>
      <c r="AB42" s="10" t="str">
        <f t="shared" si="3"/>
        <v>Closed in Dec</v>
      </c>
    </row>
    <row r="43" spans="1:28" x14ac:dyDescent="0.25">
      <c r="A43" s="14">
        <v>45973</v>
      </c>
      <c r="B43" s="15">
        <v>2025</v>
      </c>
      <c r="C43" s="24" t="s">
        <v>21</v>
      </c>
      <c r="D43" s="15" t="s">
        <v>194</v>
      </c>
      <c r="E43" s="34" t="s">
        <v>133</v>
      </c>
      <c r="F43" s="16" t="s">
        <v>60</v>
      </c>
      <c r="G43" s="9" t="s">
        <v>196</v>
      </c>
      <c r="H43" s="21">
        <v>9033920684</v>
      </c>
      <c r="I43" s="16"/>
      <c r="J43" s="17" t="s">
        <v>202</v>
      </c>
      <c r="K43" s="34" t="s">
        <v>203</v>
      </c>
      <c r="L43" s="33" t="s">
        <v>28</v>
      </c>
      <c r="M43" s="16" t="s">
        <v>31</v>
      </c>
      <c r="N43" s="53">
        <v>540</v>
      </c>
      <c r="O43" s="48" t="s">
        <v>245</v>
      </c>
      <c r="P43" s="47" t="str">
        <f t="shared" si="4"/>
        <v>23</v>
      </c>
      <c r="Q43" s="19" t="str">
        <f t="shared" si="5"/>
        <v>07</v>
      </c>
      <c r="R43" s="19" t="s">
        <v>25</v>
      </c>
      <c r="S43" s="19" t="s">
        <v>101</v>
      </c>
      <c r="T43" s="22" t="s">
        <v>31</v>
      </c>
      <c r="U43" s="16" t="s">
        <v>205</v>
      </c>
      <c r="V43" s="16" t="s">
        <v>93</v>
      </c>
      <c r="W43" s="14">
        <v>45998</v>
      </c>
      <c r="X43" s="16">
        <f t="shared" si="2"/>
        <v>25</v>
      </c>
      <c r="Y43" s="16"/>
      <c r="Z43" s="16"/>
      <c r="AA43" s="16"/>
      <c r="AB43" s="10" t="str">
        <f t="shared" si="3"/>
        <v>Closed in Dec</v>
      </c>
    </row>
    <row r="44" spans="1:28" x14ac:dyDescent="0.25">
      <c r="A44" s="14">
        <v>45973</v>
      </c>
      <c r="B44" s="15">
        <v>2025</v>
      </c>
      <c r="C44" s="24" t="s">
        <v>21</v>
      </c>
      <c r="D44" s="15" t="s">
        <v>194</v>
      </c>
      <c r="E44" s="34" t="s">
        <v>133</v>
      </c>
      <c r="F44" s="16" t="s">
        <v>60</v>
      </c>
      <c r="G44" s="9" t="s">
        <v>196</v>
      </c>
      <c r="H44" s="21">
        <v>9033920684</v>
      </c>
      <c r="I44" s="16"/>
      <c r="J44" s="17" t="s">
        <v>202</v>
      </c>
      <c r="K44" s="34" t="s">
        <v>203</v>
      </c>
      <c r="L44" s="33" t="s">
        <v>28</v>
      </c>
      <c r="M44" s="16" t="s">
        <v>31</v>
      </c>
      <c r="N44" s="53">
        <v>540</v>
      </c>
      <c r="O44" s="48" t="s">
        <v>246</v>
      </c>
      <c r="P44" s="47" t="str">
        <f t="shared" si="4"/>
        <v>23</v>
      </c>
      <c r="Q44" s="19" t="str">
        <f t="shared" si="5"/>
        <v>07</v>
      </c>
      <c r="R44" s="19" t="s">
        <v>25</v>
      </c>
      <c r="S44" s="19" t="s">
        <v>101</v>
      </c>
      <c r="T44" s="22" t="s">
        <v>31</v>
      </c>
      <c r="U44" s="16" t="s">
        <v>205</v>
      </c>
      <c r="V44" s="16" t="s">
        <v>93</v>
      </c>
      <c r="W44" s="14">
        <v>45998</v>
      </c>
      <c r="X44" s="16">
        <f t="shared" si="2"/>
        <v>25</v>
      </c>
      <c r="Y44" s="16"/>
      <c r="Z44" s="16"/>
      <c r="AA44" s="16"/>
      <c r="AB44" s="10" t="str">
        <f t="shared" si="3"/>
        <v>Closed in Dec</v>
      </c>
    </row>
    <row r="45" spans="1:28" x14ac:dyDescent="0.25">
      <c r="A45" s="14">
        <v>45973</v>
      </c>
      <c r="B45" s="15">
        <v>2025</v>
      </c>
      <c r="C45" s="24" t="s">
        <v>21</v>
      </c>
      <c r="D45" s="15" t="s">
        <v>194</v>
      </c>
      <c r="E45" s="34" t="s">
        <v>133</v>
      </c>
      <c r="F45" s="16" t="s">
        <v>60</v>
      </c>
      <c r="G45" s="9" t="s">
        <v>196</v>
      </c>
      <c r="H45" s="21">
        <v>9033920684</v>
      </c>
      <c r="I45" s="16"/>
      <c r="J45" s="17" t="s">
        <v>202</v>
      </c>
      <c r="K45" s="34" t="s">
        <v>203</v>
      </c>
      <c r="L45" s="33" t="s">
        <v>28</v>
      </c>
      <c r="M45" s="16" t="s">
        <v>31</v>
      </c>
      <c r="N45" s="53">
        <v>540</v>
      </c>
      <c r="O45" s="48" t="s">
        <v>247</v>
      </c>
      <c r="P45" s="47" t="str">
        <f t="shared" si="4"/>
        <v>23</v>
      </c>
      <c r="Q45" s="19" t="str">
        <f t="shared" si="5"/>
        <v>07</v>
      </c>
      <c r="R45" s="19" t="s">
        <v>25</v>
      </c>
      <c r="S45" s="19" t="s">
        <v>101</v>
      </c>
      <c r="T45" s="22" t="s">
        <v>31</v>
      </c>
      <c r="U45" s="16" t="s">
        <v>205</v>
      </c>
      <c r="V45" s="16" t="s">
        <v>93</v>
      </c>
      <c r="W45" s="14">
        <v>45998</v>
      </c>
      <c r="X45" s="16">
        <f t="shared" si="2"/>
        <v>25</v>
      </c>
      <c r="Y45" s="16"/>
      <c r="Z45" s="16"/>
      <c r="AA45" s="16"/>
      <c r="AB45" s="10" t="str">
        <f t="shared" si="3"/>
        <v>Closed in Dec</v>
      </c>
    </row>
    <row r="46" spans="1:28" x14ac:dyDescent="0.25">
      <c r="A46" s="14">
        <v>45973</v>
      </c>
      <c r="B46" s="15">
        <v>2025</v>
      </c>
      <c r="C46" s="24" t="s">
        <v>21</v>
      </c>
      <c r="D46" s="15" t="s">
        <v>194</v>
      </c>
      <c r="E46" s="34" t="s">
        <v>133</v>
      </c>
      <c r="F46" s="16" t="s">
        <v>60</v>
      </c>
      <c r="G46" s="9" t="s">
        <v>196</v>
      </c>
      <c r="H46" s="21">
        <v>9033920684</v>
      </c>
      <c r="I46" s="16"/>
      <c r="J46" s="17" t="s">
        <v>202</v>
      </c>
      <c r="K46" s="34" t="s">
        <v>203</v>
      </c>
      <c r="L46" s="33" t="s">
        <v>28</v>
      </c>
      <c r="M46" s="16" t="s">
        <v>31</v>
      </c>
      <c r="N46" s="53">
        <v>540</v>
      </c>
      <c r="O46" s="48" t="s">
        <v>248</v>
      </c>
      <c r="P46" s="47" t="str">
        <f t="shared" si="4"/>
        <v>23</v>
      </c>
      <c r="Q46" s="19" t="str">
        <f t="shared" si="5"/>
        <v>07</v>
      </c>
      <c r="R46" s="19" t="s">
        <v>25</v>
      </c>
      <c r="S46" s="19" t="s">
        <v>101</v>
      </c>
      <c r="T46" s="22" t="s">
        <v>31</v>
      </c>
      <c r="U46" s="16" t="s">
        <v>205</v>
      </c>
      <c r="V46" s="16" t="s">
        <v>93</v>
      </c>
      <c r="W46" s="14">
        <v>45998</v>
      </c>
      <c r="X46" s="16">
        <f t="shared" si="2"/>
        <v>25</v>
      </c>
      <c r="Y46" s="16"/>
      <c r="Z46" s="16"/>
      <c r="AA46" s="16"/>
      <c r="AB46" s="10" t="str">
        <f t="shared" si="3"/>
        <v>Closed in Dec</v>
      </c>
    </row>
    <row r="47" spans="1:28" x14ac:dyDescent="0.25">
      <c r="A47" s="14">
        <v>45973</v>
      </c>
      <c r="B47" s="15">
        <v>2025</v>
      </c>
      <c r="C47" s="24" t="s">
        <v>21</v>
      </c>
      <c r="D47" s="15" t="s">
        <v>194</v>
      </c>
      <c r="E47" s="34" t="s">
        <v>133</v>
      </c>
      <c r="F47" s="16" t="s">
        <v>60</v>
      </c>
      <c r="G47" s="9" t="s">
        <v>196</v>
      </c>
      <c r="H47" s="21">
        <v>9033920684</v>
      </c>
      <c r="I47" s="16"/>
      <c r="J47" s="17" t="s">
        <v>202</v>
      </c>
      <c r="K47" s="34" t="s">
        <v>203</v>
      </c>
      <c r="L47" s="33" t="s">
        <v>28</v>
      </c>
      <c r="M47" s="16" t="s">
        <v>31</v>
      </c>
      <c r="N47" s="53">
        <v>540</v>
      </c>
      <c r="O47" s="48" t="s">
        <v>249</v>
      </c>
      <c r="P47" s="47" t="str">
        <f t="shared" si="4"/>
        <v>23</v>
      </c>
      <c r="Q47" s="19" t="str">
        <f t="shared" si="5"/>
        <v>07</v>
      </c>
      <c r="R47" s="19" t="s">
        <v>25</v>
      </c>
      <c r="S47" s="19" t="s">
        <v>101</v>
      </c>
      <c r="T47" s="22" t="s">
        <v>31</v>
      </c>
      <c r="U47" s="16" t="s">
        <v>205</v>
      </c>
      <c r="V47" s="16" t="s">
        <v>93</v>
      </c>
      <c r="W47" s="14">
        <v>45998</v>
      </c>
      <c r="X47" s="16">
        <f t="shared" si="2"/>
        <v>25</v>
      </c>
      <c r="Y47" s="16"/>
      <c r="Z47" s="16"/>
      <c r="AA47" s="16"/>
      <c r="AB47" s="10" t="str">
        <f t="shared" si="3"/>
        <v>Closed in Dec</v>
      </c>
    </row>
    <row r="48" spans="1:28" x14ac:dyDescent="0.25">
      <c r="A48" s="14">
        <v>45973</v>
      </c>
      <c r="B48" s="15">
        <v>2025</v>
      </c>
      <c r="C48" s="24" t="s">
        <v>21</v>
      </c>
      <c r="D48" s="15" t="s">
        <v>194</v>
      </c>
      <c r="E48" s="34" t="s">
        <v>133</v>
      </c>
      <c r="F48" s="16" t="s">
        <v>60</v>
      </c>
      <c r="G48" s="9" t="s">
        <v>196</v>
      </c>
      <c r="H48" s="21">
        <v>9033920684</v>
      </c>
      <c r="I48" s="16"/>
      <c r="J48" s="17" t="s">
        <v>202</v>
      </c>
      <c r="K48" s="34" t="s">
        <v>203</v>
      </c>
      <c r="L48" s="33" t="s">
        <v>28</v>
      </c>
      <c r="M48" s="16" t="s">
        <v>31</v>
      </c>
      <c r="N48" s="53">
        <v>540</v>
      </c>
      <c r="O48" s="48" t="s">
        <v>250</v>
      </c>
      <c r="P48" s="47" t="str">
        <f t="shared" si="4"/>
        <v>23</v>
      </c>
      <c r="Q48" s="19" t="str">
        <f t="shared" si="5"/>
        <v>07</v>
      </c>
      <c r="R48" s="19" t="s">
        <v>25</v>
      </c>
      <c r="S48" s="19" t="s">
        <v>101</v>
      </c>
      <c r="T48" s="22" t="s">
        <v>31</v>
      </c>
      <c r="U48" s="16" t="s">
        <v>205</v>
      </c>
      <c r="V48" s="16" t="s">
        <v>93</v>
      </c>
      <c r="W48" s="14">
        <v>45998</v>
      </c>
      <c r="X48" s="16">
        <f t="shared" si="2"/>
        <v>25</v>
      </c>
      <c r="Y48" s="16"/>
      <c r="Z48" s="16"/>
      <c r="AA48" s="16"/>
      <c r="AB48" s="10" t="str">
        <f t="shared" si="3"/>
        <v>Closed in Dec</v>
      </c>
    </row>
    <row r="49" spans="1:28" x14ac:dyDescent="0.25">
      <c r="A49" s="14">
        <v>45973</v>
      </c>
      <c r="B49" s="15">
        <v>2025</v>
      </c>
      <c r="C49" s="24" t="s">
        <v>21</v>
      </c>
      <c r="D49" s="15" t="s">
        <v>194</v>
      </c>
      <c r="E49" s="34" t="s">
        <v>133</v>
      </c>
      <c r="F49" s="16" t="s">
        <v>60</v>
      </c>
      <c r="G49" s="9" t="s">
        <v>196</v>
      </c>
      <c r="H49" s="21">
        <v>9033920684</v>
      </c>
      <c r="I49" s="16"/>
      <c r="J49" s="17" t="s">
        <v>202</v>
      </c>
      <c r="K49" s="34" t="s">
        <v>203</v>
      </c>
      <c r="L49" s="33" t="s">
        <v>28</v>
      </c>
      <c r="M49" s="16" t="s">
        <v>31</v>
      </c>
      <c r="N49" s="53">
        <v>540</v>
      </c>
      <c r="O49" s="48" t="s">
        <v>251</v>
      </c>
      <c r="P49" s="47" t="str">
        <f t="shared" si="4"/>
        <v>23</v>
      </c>
      <c r="Q49" s="19" t="str">
        <f t="shared" si="5"/>
        <v>07</v>
      </c>
      <c r="R49" s="19" t="s">
        <v>25</v>
      </c>
      <c r="S49" s="19" t="s">
        <v>101</v>
      </c>
      <c r="T49" s="22" t="s">
        <v>31</v>
      </c>
      <c r="U49" s="16" t="s">
        <v>205</v>
      </c>
      <c r="V49" s="16" t="s">
        <v>93</v>
      </c>
      <c r="W49" s="14">
        <v>45998</v>
      </c>
      <c r="X49" s="16">
        <f t="shared" si="2"/>
        <v>25</v>
      </c>
      <c r="Y49" s="16"/>
      <c r="Z49" s="16"/>
      <c r="AA49" s="16"/>
      <c r="AB49" s="10" t="str">
        <f t="shared" si="3"/>
        <v>Closed in Dec</v>
      </c>
    </row>
    <row r="50" spans="1:28" x14ac:dyDescent="0.25">
      <c r="A50" s="14">
        <v>45973</v>
      </c>
      <c r="B50" s="15">
        <v>2025</v>
      </c>
      <c r="C50" s="24" t="s">
        <v>21</v>
      </c>
      <c r="D50" s="15" t="s">
        <v>194</v>
      </c>
      <c r="E50" s="34" t="s">
        <v>133</v>
      </c>
      <c r="F50" s="16" t="s">
        <v>60</v>
      </c>
      <c r="G50" s="9" t="s">
        <v>196</v>
      </c>
      <c r="H50" s="21">
        <v>9033920684</v>
      </c>
      <c r="I50" s="16"/>
      <c r="J50" s="17" t="s">
        <v>202</v>
      </c>
      <c r="K50" s="34" t="s">
        <v>203</v>
      </c>
      <c r="L50" s="33" t="s">
        <v>28</v>
      </c>
      <c r="M50" s="16" t="s">
        <v>31</v>
      </c>
      <c r="N50" s="53">
        <v>540</v>
      </c>
      <c r="O50" s="48" t="s">
        <v>252</v>
      </c>
      <c r="P50" s="47" t="str">
        <f t="shared" si="4"/>
        <v>23</v>
      </c>
      <c r="Q50" s="19" t="str">
        <f t="shared" si="5"/>
        <v>07</v>
      </c>
      <c r="R50" s="19" t="s">
        <v>25</v>
      </c>
      <c r="S50" s="19" t="s">
        <v>101</v>
      </c>
      <c r="T50" s="22" t="s">
        <v>31</v>
      </c>
      <c r="U50" s="16" t="s">
        <v>205</v>
      </c>
      <c r="V50" s="16" t="s">
        <v>93</v>
      </c>
      <c r="W50" s="14">
        <v>45998</v>
      </c>
      <c r="X50" s="16">
        <f t="shared" si="2"/>
        <v>25</v>
      </c>
      <c r="Y50" s="16"/>
      <c r="Z50" s="16"/>
      <c r="AA50" s="16"/>
      <c r="AB50" s="10" t="str">
        <f t="shared" si="3"/>
        <v>Closed in Dec</v>
      </c>
    </row>
    <row r="51" spans="1:28" x14ac:dyDescent="0.25">
      <c r="A51" s="14">
        <v>45973</v>
      </c>
      <c r="B51" s="15">
        <v>2025</v>
      </c>
      <c r="C51" s="24" t="s">
        <v>21</v>
      </c>
      <c r="D51" s="15" t="s">
        <v>194</v>
      </c>
      <c r="E51" s="34" t="s">
        <v>133</v>
      </c>
      <c r="F51" s="16" t="s">
        <v>60</v>
      </c>
      <c r="G51" s="9" t="s">
        <v>196</v>
      </c>
      <c r="H51" s="21">
        <v>9033920684</v>
      </c>
      <c r="I51" s="16"/>
      <c r="J51" s="17" t="s">
        <v>202</v>
      </c>
      <c r="K51" s="34" t="s">
        <v>203</v>
      </c>
      <c r="L51" s="33" t="s">
        <v>28</v>
      </c>
      <c r="M51" s="16" t="s">
        <v>31</v>
      </c>
      <c r="N51" s="53">
        <v>540</v>
      </c>
      <c r="O51" s="48" t="s">
        <v>253</v>
      </c>
      <c r="P51" s="47" t="str">
        <f t="shared" si="4"/>
        <v>23</v>
      </c>
      <c r="Q51" s="19" t="str">
        <f t="shared" si="5"/>
        <v>07</v>
      </c>
      <c r="R51" s="19" t="s">
        <v>25</v>
      </c>
      <c r="S51" s="19" t="s">
        <v>101</v>
      </c>
      <c r="T51" s="22" t="s">
        <v>31</v>
      </c>
      <c r="U51" s="16" t="s">
        <v>205</v>
      </c>
      <c r="V51" s="16" t="s">
        <v>93</v>
      </c>
      <c r="W51" s="14">
        <v>45998</v>
      </c>
      <c r="X51" s="16">
        <f t="shared" si="2"/>
        <v>25</v>
      </c>
      <c r="Y51" s="16"/>
      <c r="Z51" s="16"/>
      <c r="AA51" s="16"/>
      <c r="AB51" s="10" t="str">
        <f t="shared" si="3"/>
        <v>Closed in Dec</v>
      </c>
    </row>
    <row r="52" spans="1:28" x14ac:dyDescent="0.25">
      <c r="A52" s="14">
        <v>45973</v>
      </c>
      <c r="B52" s="15">
        <v>2025</v>
      </c>
      <c r="C52" s="24" t="s">
        <v>21</v>
      </c>
      <c r="D52" s="15" t="s">
        <v>194</v>
      </c>
      <c r="E52" s="34" t="s">
        <v>133</v>
      </c>
      <c r="F52" s="16" t="s">
        <v>60</v>
      </c>
      <c r="G52" s="9" t="s">
        <v>196</v>
      </c>
      <c r="H52" s="21">
        <v>9033920684</v>
      </c>
      <c r="I52" s="16"/>
      <c r="J52" s="17" t="s">
        <v>202</v>
      </c>
      <c r="K52" s="34" t="s">
        <v>203</v>
      </c>
      <c r="L52" s="33" t="s">
        <v>28</v>
      </c>
      <c r="M52" s="16" t="s">
        <v>31</v>
      </c>
      <c r="N52" s="53">
        <v>540</v>
      </c>
      <c r="O52" s="48" t="s">
        <v>254</v>
      </c>
      <c r="P52" s="47" t="str">
        <f t="shared" si="4"/>
        <v>23</v>
      </c>
      <c r="Q52" s="19" t="str">
        <f t="shared" si="5"/>
        <v>07</v>
      </c>
      <c r="R52" s="19" t="s">
        <v>25</v>
      </c>
      <c r="S52" s="19" t="s">
        <v>101</v>
      </c>
      <c r="T52" s="22" t="s">
        <v>31</v>
      </c>
      <c r="U52" s="16" t="s">
        <v>205</v>
      </c>
      <c r="V52" s="16" t="s">
        <v>93</v>
      </c>
      <c r="W52" s="14">
        <v>45998</v>
      </c>
      <c r="X52" s="16">
        <f t="shared" si="2"/>
        <v>25</v>
      </c>
      <c r="Y52" s="16"/>
      <c r="Z52" s="16"/>
      <c r="AA52" s="16"/>
      <c r="AB52" s="10" t="str">
        <f t="shared" si="3"/>
        <v>Closed in Dec</v>
      </c>
    </row>
    <row r="53" spans="1:28" x14ac:dyDescent="0.25">
      <c r="A53" s="14">
        <v>45973</v>
      </c>
      <c r="B53" s="15">
        <v>2025</v>
      </c>
      <c r="C53" s="24" t="s">
        <v>21</v>
      </c>
      <c r="D53" s="15" t="s">
        <v>194</v>
      </c>
      <c r="E53" s="34" t="s">
        <v>133</v>
      </c>
      <c r="F53" s="16" t="s">
        <v>60</v>
      </c>
      <c r="G53" s="9" t="s">
        <v>196</v>
      </c>
      <c r="H53" s="21">
        <v>9033920684</v>
      </c>
      <c r="I53" s="16"/>
      <c r="J53" s="17" t="s">
        <v>202</v>
      </c>
      <c r="K53" s="34" t="s">
        <v>203</v>
      </c>
      <c r="L53" s="33" t="s">
        <v>28</v>
      </c>
      <c r="M53" s="16" t="s">
        <v>31</v>
      </c>
      <c r="N53" s="53">
        <v>540</v>
      </c>
      <c r="O53" s="48" t="s">
        <v>255</v>
      </c>
      <c r="P53" s="47" t="str">
        <f t="shared" si="4"/>
        <v>23</v>
      </c>
      <c r="Q53" s="19" t="str">
        <f t="shared" si="5"/>
        <v>07</v>
      </c>
      <c r="R53" s="19" t="s">
        <v>25</v>
      </c>
      <c r="S53" s="19" t="s">
        <v>101</v>
      </c>
      <c r="T53" s="22" t="s">
        <v>31</v>
      </c>
      <c r="U53" s="16" t="s">
        <v>205</v>
      </c>
      <c r="V53" s="16" t="s">
        <v>93</v>
      </c>
      <c r="W53" s="14">
        <v>45998</v>
      </c>
      <c r="X53" s="16">
        <f t="shared" si="2"/>
        <v>25</v>
      </c>
      <c r="Y53" s="16"/>
      <c r="Z53" s="16"/>
      <c r="AA53" s="16"/>
      <c r="AB53" s="10" t="str">
        <f t="shared" si="3"/>
        <v>Closed in Dec</v>
      </c>
    </row>
    <row r="54" spans="1:28" x14ac:dyDescent="0.25">
      <c r="A54" s="14">
        <v>45973</v>
      </c>
      <c r="B54" s="15">
        <v>2025</v>
      </c>
      <c r="C54" s="24" t="s">
        <v>21</v>
      </c>
      <c r="D54" s="15" t="s">
        <v>194</v>
      </c>
      <c r="E54" s="34" t="s">
        <v>133</v>
      </c>
      <c r="F54" s="16" t="s">
        <v>60</v>
      </c>
      <c r="G54" s="9" t="s">
        <v>196</v>
      </c>
      <c r="H54" s="21">
        <v>9033920684</v>
      </c>
      <c r="I54" s="16"/>
      <c r="J54" s="17" t="s">
        <v>202</v>
      </c>
      <c r="K54" s="34" t="s">
        <v>203</v>
      </c>
      <c r="L54" s="33" t="s">
        <v>28</v>
      </c>
      <c r="M54" s="16" t="s">
        <v>31</v>
      </c>
      <c r="N54" s="53">
        <v>540</v>
      </c>
      <c r="O54" s="48" t="s">
        <v>256</v>
      </c>
      <c r="P54" s="47" t="str">
        <f t="shared" si="4"/>
        <v>23</v>
      </c>
      <c r="Q54" s="19" t="str">
        <f t="shared" si="5"/>
        <v>07</v>
      </c>
      <c r="R54" s="19" t="s">
        <v>25</v>
      </c>
      <c r="S54" s="19" t="s">
        <v>101</v>
      </c>
      <c r="T54" s="22" t="s">
        <v>31</v>
      </c>
      <c r="U54" s="16" t="s">
        <v>205</v>
      </c>
      <c r="V54" s="16" t="s">
        <v>93</v>
      </c>
      <c r="W54" s="14">
        <v>45998</v>
      </c>
      <c r="X54" s="16">
        <f t="shared" si="2"/>
        <v>25</v>
      </c>
      <c r="Y54" s="16"/>
      <c r="Z54" s="16"/>
      <c r="AA54" s="16"/>
      <c r="AB54" s="10" t="str">
        <f t="shared" si="3"/>
        <v>Closed in Dec</v>
      </c>
    </row>
    <row r="55" spans="1:28" x14ac:dyDescent="0.25">
      <c r="A55" s="14">
        <v>45973</v>
      </c>
      <c r="B55" s="15">
        <v>2025</v>
      </c>
      <c r="C55" s="24" t="s">
        <v>21</v>
      </c>
      <c r="D55" s="15" t="s">
        <v>194</v>
      </c>
      <c r="E55" s="34" t="s">
        <v>133</v>
      </c>
      <c r="F55" s="16" t="s">
        <v>60</v>
      </c>
      <c r="G55" s="9" t="s">
        <v>196</v>
      </c>
      <c r="H55" s="21">
        <v>9033920684</v>
      </c>
      <c r="I55" s="16"/>
      <c r="J55" s="17" t="s">
        <v>202</v>
      </c>
      <c r="K55" s="34" t="s">
        <v>203</v>
      </c>
      <c r="L55" s="33" t="s">
        <v>28</v>
      </c>
      <c r="M55" s="16" t="s">
        <v>31</v>
      </c>
      <c r="N55" s="53">
        <v>540</v>
      </c>
      <c r="O55" s="48" t="s">
        <v>257</v>
      </c>
      <c r="P55" s="47" t="str">
        <f t="shared" si="4"/>
        <v>23</v>
      </c>
      <c r="Q55" s="19" t="str">
        <f t="shared" si="5"/>
        <v>07</v>
      </c>
      <c r="R55" s="19" t="s">
        <v>25</v>
      </c>
      <c r="S55" s="19" t="s">
        <v>101</v>
      </c>
      <c r="T55" s="22" t="s">
        <v>31</v>
      </c>
      <c r="U55" s="16" t="s">
        <v>205</v>
      </c>
      <c r="V55" s="16" t="s">
        <v>93</v>
      </c>
      <c r="W55" s="14">
        <v>45998</v>
      </c>
      <c r="X55" s="16">
        <f t="shared" si="2"/>
        <v>25</v>
      </c>
      <c r="Y55" s="16"/>
      <c r="Z55" s="16"/>
      <c r="AA55" s="16"/>
      <c r="AB55" s="10" t="str">
        <f t="shared" si="3"/>
        <v>Closed in Dec</v>
      </c>
    </row>
    <row r="56" spans="1:28" x14ac:dyDescent="0.25">
      <c r="A56" s="14">
        <v>45973</v>
      </c>
      <c r="B56" s="15">
        <v>2025</v>
      </c>
      <c r="C56" s="24" t="s">
        <v>21</v>
      </c>
      <c r="D56" s="15" t="s">
        <v>194</v>
      </c>
      <c r="E56" s="34" t="s">
        <v>133</v>
      </c>
      <c r="F56" s="16" t="s">
        <v>60</v>
      </c>
      <c r="G56" s="9" t="s">
        <v>196</v>
      </c>
      <c r="H56" s="21">
        <v>9033920684</v>
      </c>
      <c r="I56" s="16"/>
      <c r="J56" s="17" t="s">
        <v>202</v>
      </c>
      <c r="K56" s="34" t="s">
        <v>203</v>
      </c>
      <c r="L56" s="33" t="s">
        <v>28</v>
      </c>
      <c r="M56" s="16" t="s">
        <v>31</v>
      </c>
      <c r="N56" s="53">
        <v>540</v>
      </c>
      <c r="O56" s="48" t="s">
        <v>258</v>
      </c>
      <c r="P56" s="47" t="str">
        <f t="shared" si="4"/>
        <v>23</v>
      </c>
      <c r="Q56" s="19" t="str">
        <f t="shared" si="5"/>
        <v>07</v>
      </c>
      <c r="R56" s="19" t="s">
        <v>25</v>
      </c>
      <c r="S56" s="19" t="s">
        <v>101</v>
      </c>
      <c r="T56" s="22" t="s">
        <v>31</v>
      </c>
      <c r="U56" s="16" t="s">
        <v>205</v>
      </c>
      <c r="V56" s="16" t="s">
        <v>93</v>
      </c>
      <c r="W56" s="14">
        <v>45998</v>
      </c>
      <c r="X56" s="16">
        <f t="shared" si="2"/>
        <v>25</v>
      </c>
      <c r="Y56" s="16"/>
      <c r="Z56" s="16"/>
      <c r="AA56" s="16"/>
      <c r="AB56" s="10" t="str">
        <f t="shared" si="3"/>
        <v>Closed in Dec</v>
      </c>
    </row>
    <row r="57" spans="1:28" x14ac:dyDescent="0.25">
      <c r="A57" s="14">
        <v>45973</v>
      </c>
      <c r="B57" s="15">
        <v>2025</v>
      </c>
      <c r="C57" s="24" t="s">
        <v>21</v>
      </c>
      <c r="D57" s="15" t="s">
        <v>194</v>
      </c>
      <c r="E57" s="34" t="s">
        <v>133</v>
      </c>
      <c r="F57" s="16" t="s">
        <v>60</v>
      </c>
      <c r="G57" s="9" t="s">
        <v>196</v>
      </c>
      <c r="H57" s="21">
        <v>9033920684</v>
      </c>
      <c r="I57" s="16"/>
      <c r="J57" s="17" t="s">
        <v>202</v>
      </c>
      <c r="K57" s="34" t="s">
        <v>203</v>
      </c>
      <c r="L57" s="33" t="s">
        <v>28</v>
      </c>
      <c r="M57" s="16" t="s">
        <v>31</v>
      </c>
      <c r="N57" s="53">
        <v>540</v>
      </c>
      <c r="O57" s="48" t="s">
        <v>259</v>
      </c>
      <c r="P57" s="47" t="str">
        <f t="shared" si="4"/>
        <v>23</v>
      </c>
      <c r="Q57" s="19" t="str">
        <f t="shared" si="5"/>
        <v>07</v>
      </c>
      <c r="R57" s="19" t="s">
        <v>25</v>
      </c>
      <c r="S57" s="19" t="s">
        <v>101</v>
      </c>
      <c r="T57" s="22" t="s">
        <v>31</v>
      </c>
      <c r="U57" s="16" t="s">
        <v>205</v>
      </c>
      <c r="V57" s="16" t="s">
        <v>93</v>
      </c>
      <c r="W57" s="14">
        <v>45998</v>
      </c>
      <c r="X57" s="16">
        <f t="shared" si="2"/>
        <v>25</v>
      </c>
      <c r="Y57" s="16"/>
      <c r="Z57" s="16"/>
      <c r="AA57" s="16"/>
      <c r="AB57" s="10" t="str">
        <f t="shared" si="3"/>
        <v>Closed in Dec</v>
      </c>
    </row>
    <row r="58" spans="1:28" x14ac:dyDescent="0.25">
      <c r="A58" s="14">
        <v>45973</v>
      </c>
      <c r="B58" s="15">
        <v>2025</v>
      </c>
      <c r="C58" s="24" t="s">
        <v>21</v>
      </c>
      <c r="D58" s="15" t="s">
        <v>194</v>
      </c>
      <c r="E58" s="34" t="s">
        <v>133</v>
      </c>
      <c r="F58" s="16" t="s">
        <v>60</v>
      </c>
      <c r="G58" s="9" t="s">
        <v>196</v>
      </c>
      <c r="H58" s="21">
        <v>9033920684</v>
      </c>
      <c r="I58" s="16"/>
      <c r="J58" s="17" t="s">
        <v>202</v>
      </c>
      <c r="K58" s="34" t="s">
        <v>203</v>
      </c>
      <c r="L58" s="33" t="s">
        <v>28</v>
      </c>
      <c r="M58" s="16" t="s">
        <v>31</v>
      </c>
      <c r="N58" s="53">
        <v>540</v>
      </c>
      <c r="O58" s="48" t="s">
        <v>260</v>
      </c>
      <c r="P58" s="47" t="str">
        <f t="shared" si="4"/>
        <v>23</v>
      </c>
      <c r="Q58" s="19" t="str">
        <f t="shared" si="5"/>
        <v>07</v>
      </c>
      <c r="R58" s="19" t="s">
        <v>25</v>
      </c>
      <c r="S58" s="19" t="s">
        <v>101</v>
      </c>
      <c r="T58" s="22" t="s">
        <v>31</v>
      </c>
      <c r="U58" s="16" t="s">
        <v>205</v>
      </c>
      <c r="V58" s="16" t="s">
        <v>93</v>
      </c>
      <c r="W58" s="14">
        <v>45998</v>
      </c>
      <c r="X58" s="16">
        <f t="shared" si="2"/>
        <v>25</v>
      </c>
      <c r="Y58" s="16"/>
      <c r="Z58" s="16"/>
      <c r="AA58" s="16"/>
      <c r="AB58" s="10" t="str">
        <f t="shared" si="3"/>
        <v>Closed in Dec</v>
      </c>
    </row>
    <row r="59" spans="1:28" x14ac:dyDescent="0.25">
      <c r="A59" s="14">
        <v>45973</v>
      </c>
      <c r="B59" s="15">
        <v>2025</v>
      </c>
      <c r="C59" s="24" t="s">
        <v>21</v>
      </c>
      <c r="D59" s="15" t="s">
        <v>194</v>
      </c>
      <c r="E59" s="34" t="s">
        <v>133</v>
      </c>
      <c r="F59" s="16" t="s">
        <v>60</v>
      </c>
      <c r="G59" s="9" t="s">
        <v>196</v>
      </c>
      <c r="H59" s="21">
        <v>9033920684</v>
      </c>
      <c r="I59" s="16"/>
      <c r="J59" s="17" t="s">
        <v>202</v>
      </c>
      <c r="K59" s="34" t="s">
        <v>203</v>
      </c>
      <c r="L59" s="33" t="s">
        <v>28</v>
      </c>
      <c r="M59" s="16" t="s">
        <v>31</v>
      </c>
      <c r="N59" s="53">
        <v>540</v>
      </c>
      <c r="O59" s="48" t="s">
        <v>261</v>
      </c>
      <c r="P59" s="47" t="str">
        <f t="shared" si="4"/>
        <v>23</v>
      </c>
      <c r="Q59" s="19" t="str">
        <f t="shared" si="5"/>
        <v>07</v>
      </c>
      <c r="R59" s="19" t="s">
        <v>25</v>
      </c>
      <c r="S59" s="19" t="s">
        <v>101</v>
      </c>
      <c r="T59" s="22" t="s">
        <v>31</v>
      </c>
      <c r="U59" s="16" t="s">
        <v>205</v>
      </c>
      <c r="V59" s="16" t="s">
        <v>93</v>
      </c>
      <c r="W59" s="14">
        <v>45998</v>
      </c>
      <c r="X59" s="16">
        <f t="shared" si="2"/>
        <v>25</v>
      </c>
      <c r="Y59" s="16"/>
      <c r="Z59" s="16"/>
      <c r="AA59" s="16"/>
      <c r="AB59" s="10" t="str">
        <f t="shared" si="3"/>
        <v>Closed in Dec</v>
      </c>
    </row>
    <row r="60" spans="1:28" x14ac:dyDescent="0.25">
      <c r="A60" s="14">
        <v>45973</v>
      </c>
      <c r="B60" s="15">
        <v>2025</v>
      </c>
      <c r="C60" s="24" t="s">
        <v>21</v>
      </c>
      <c r="D60" s="15" t="s">
        <v>194</v>
      </c>
      <c r="E60" s="34" t="s">
        <v>133</v>
      </c>
      <c r="F60" s="16" t="s">
        <v>60</v>
      </c>
      <c r="G60" s="9" t="s">
        <v>196</v>
      </c>
      <c r="H60" s="21">
        <v>9033920684</v>
      </c>
      <c r="I60" s="16"/>
      <c r="J60" s="17" t="s">
        <v>202</v>
      </c>
      <c r="K60" s="34" t="s">
        <v>203</v>
      </c>
      <c r="L60" s="33" t="s">
        <v>28</v>
      </c>
      <c r="M60" s="16" t="s">
        <v>31</v>
      </c>
      <c r="N60" s="53">
        <v>540</v>
      </c>
      <c r="O60" s="48" t="s">
        <v>262</v>
      </c>
      <c r="P60" s="47" t="str">
        <f t="shared" si="4"/>
        <v>23</v>
      </c>
      <c r="Q60" s="19" t="str">
        <f t="shared" si="5"/>
        <v>07</v>
      </c>
      <c r="R60" s="19" t="s">
        <v>25</v>
      </c>
      <c r="S60" s="19" t="s">
        <v>101</v>
      </c>
      <c r="T60" s="22" t="s">
        <v>31</v>
      </c>
      <c r="U60" s="16" t="s">
        <v>205</v>
      </c>
      <c r="V60" s="16" t="s">
        <v>93</v>
      </c>
      <c r="W60" s="14">
        <v>45998</v>
      </c>
      <c r="X60" s="16">
        <f t="shared" si="2"/>
        <v>25</v>
      </c>
      <c r="Y60" s="16"/>
      <c r="Z60" s="16"/>
      <c r="AA60" s="16"/>
      <c r="AB60" s="10" t="str">
        <f t="shared" si="3"/>
        <v>Closed in Dec</v>
      </c>
    </row>
    <row r="61" spans="1:28" x14ac:dyDescent="0.25">
      <c r="A61" s="14">
        <v>45973</v>
      </c>
      <c r="B61" s="15">
        <v>2025</v>
      </c>
      <c r="C61" s="24" t="s">
        <v>21</v>
      </c>
      <c r="D61" s="15" t="s">
        <v>194</v>
      </c>
      <c r="E61" s="34" t="s">
        <v>133</v>
      </c>
      <c r="F61" s="16" t="s">
        <v>60</v>
      </c>
      <c r="G61" s="9" t="s">
        <v>196</v>
      </c>
      <c r="H61" s="21">
        <v>9033920684</v>
      </c>
      <c r="I61" s="16"/>
      <c r="J61" s="17" t="s">
        <v>202</v>
      </c>
      <c r="K61" s="34" t="s">
        <v>203</v>
      </c>
      <c r="L61" s="33" t="s">
        <v>28</v>
      </c>
      <c r="M61" s="16" t="s">
        <v>31</v>
      </c>
      <c r="N61" s="53">
        <v>540</v>
      </c>
      <c r="O61" s="48" t="s">
        <v>263</v>
      </c>
      <c r="P61" s="47" t="str">
        <f t="shared" si="4"/>
        <v>23</v>
      </c>
      <c r="Q61" s="19" t="str">
        <f t="shared" si="5"/>
        <v>07</v>
      </c>
      <c r="R61" s="19" t="s">
        <v>25</v>
      </c>
      <c r="S61" s="19" t="s">
        <v>101</v>
      </c>
      <c r="T61" s="22" t="s">
        <v>31</v>
      </c>
      <c r="U61" s="16" t="s">
        <v>205</v>
      </c>
      <c r="V61" s="16" t="s">
        <v>93</v>
      </c>
      <c r="W61" s="14">
        <v>45998</v>
      </c>
      <c r="X61" s="16">
        <f t="shared" si="2"/>
        <v>25</v>
      </c>
      <c r="Y61" s="16"/>
      <c r="Z61" s="16"/>
      <c r="AA61" s="16"/>
      <c r="AB61" s="10" t="str">
        <f t="shared" si="3"/>
        <v>Closed in Dec</v>
      </c>
    </row>
    <row r="62" spans="1:28" x14ac:dyDescent="0.25">
      <c r="A62" s="14">
        <v>45973</v>
      </c>
      <c r="B62" s="15">
        <v>2025</v>
      </c>
      <c r="C62" s="24" t="s">
        <v>21</v>
      </c>
      <c r="D62" s="15" t="s">
        <v>194</v>
      </c>
      <c r="E62" s="34" t="s">
        <v>133</v>
      </c>
      <c r="F62" s="16" t="s">
        <v>60</v>
      </c>
      <c r="G62" s="9" t="s">
        <v>196</v>
      </c>
      <c r="H62" s="21">
        <v>9033920684</v>
      </c>
      <c r="I62" s="16"/>
      <c r="J62" s="17" t="s">
        <v>202</v>
      </c>
      <c r="K62" s="34" t="s">
        <v>203</v>
      </c>
      <c r="L62" s="33" t="s">
        <v>28</v>
      </c>
      <c r="M62" s="16" t="s">
        <v>31</v>
      </c>
      <c r="N62" s="53">
        <v>540</v>
      </c>
      <c r="O62" s="48" t="s">
        <v>264</v>
      </c>
      <c r="P62" s="47" t="str">
        <f t="shared" si="4"/>
        <v>23</v>
      </c>
      <c r="Q62" s="19" t="str">
        <f t="shared" si="5"/>
        <v>07</v>
      </c>
      <c r="R62" s="19" t="s">
        <v>25</v>
      </c>
      <c r="S62" s="19" t="s">
        <v>101</v>
      </c>
      <c r="T62" s="22" t="s">
        <v>31</v>
      </c>
      <c r="U62" s="16" t="s">
        <v>205</v>
      </c>
      <c r="V62" s="16" t="s">
        <v>93</v>
      </c>
      <c r="W62" s="14">
        <v>45998</v>
      </c>
      <c r="X62" s="16">
        <f t="shared" si="2"/>
        <v>25</v>
      </c>
      <c r="Y62" s="16"/>
      <c r="Z62" s="16"/>
      <c r="AA62" s="16"/>
      <c r="AB62" s="10" t="str">
        <f t="shared" si="3"/>
        <v>Closed in Dec</v>
      </c>
    </row>
    <row r="63" spans="1:28" x14ac:dyDescent="0.25">
      <c r="A63" s="14">
        <v>45973</v>
      </c>
      <c r="B63" s="15">
        <v>2025</v>
      </c>
      <c r="C63" s="24" t="s">
        <v>21</v>
      </c>
      <c r="D63" s="15" t="s">
        <v>194</v>
      </c>
      <c r="E63" s="34" t="s">
        <v>133</v>
      </c>
      <c r="F63" s="16" t="s">
        <v>60</v>
      </c>
      <c r="G63" s="9" t="s">
        <v>196</v>
      </c>
      <c r="H63" s="21">
        <v>9033920684</v>
      </c>
      <c r="I63" s="16"/>
      <c r="J63" s="17" t="s">
        <v>202</v>
      </c>
      <c r="K63" s="34" t="s">
        <v>203</v>
      </c>
      <c r="L63" s="33" t="s">
        <v>28</v>
      </c>
      <c r="M63" s="16" t="s">
        <v>31</v>
      </c>
      <c r="N63" s="53">
        <v>540</v>
      </c>
      <c r="O63" s="48" t="s">
        <v>265</v>
      </c>
      <c r="P63" s="47" t="str">
        <f t="shared" si="4"/>
        <v>23</v>
      </c>
      <c r="Q63" s="19" t="str">
        <f t="shared" si="5"/>
        <v>07</v>
      </c>
      <c r="R63" s="19" t="s">
        <v>25</v>
      </c>
      <c r="S63" s="19" t="s">
        <v>101</v>
      </c>
      <c r="T63" s="22" t="s">
        <v>31</v>
      </c>
      <c r="U63" s="16" t="s">
        <v>205</v>
      </c>
      <c r="V63" s="16" t="s">
        <v>93</v>
      </c>
      <c r="W63" s="14">
        <v>45998</v>
      </c>
      <c r="X63" s="16">
        <f t="shared" si="2"/>
        <v>25</v>
      </c>
      <c r="Y63" s="16"/>
      <c r="Z63" s="16"/>
      <c r="AA63" s="16"/>
      <c r="AB63" s="10" t="str">
        <f t="shared" si="3"/>
        <v>Closed in Dec</v>
      </c>
    </row>
    <row r="64" spans="1:28" x14ac:dyDescent="0.25">
      <c r="A64" s="14">
        <v>45973</v>
      </c>
      <c r="B64" s="15">
        <v>2025</v>
      </c>
      <c r="C64" s="24" t="s">
        <v>21</v>
      </c>
      <c r="D64" s="15" t="s">
        <v>194</v>
      </c>
      <c r="E64" s="34" t="s">
        <v>133</v>
      </c>
      <c r="F64" s="16" t="s">
        <v>60</v>
      </c>
      <c r="G64" s="9" t="s">
        <v>196</v>
      </c>
      <c r="H64" s="21">
        <v>9033920684</v>
      </c>
      <c r="I64" s="16"/>
      <c r="J64" s="17" t="s">
        <v>202</v>
      </c>
      <c r="K64" s="34" t="s">
        <v>203</v>
      </c>
      <c r="L64" s="33" t="s">
        <v>28</v>
      </c>
      <c r="M64" s="16" t="s">
        <v>31</v>
      </c>
      <c r="N64" s="53">
        <v>540</v>
      </c>
      <c r="O64" s="48" t="s">
        <v>266</v>
      </c>
      <c r="P64" s="47" t="str">
        <f t="shared" si="4"/>
        <v>23</v>
      </c>
      <c r="Q64" s="19" t="str">
        <f t="shared" si="5"/>
        <v>12</v>
      </c>
      <c r="R64" s="19" t="s">
        <v>25</v>
      </c>
      <c r="S64" s="19" t="s">
        <v>101</v>
      </c>
      <c r="T64" s="22" t="s">
        <v>31</v>
      </c>
      <c r="U64" s="16" t="s">
        <v>205</v>
      </c>
      <c r="V64" s="16" t="s">
        <v>93</v>
      </c>
      <c r="W64" s="14">
        <v>45998</v>
      </c>
      <c r="X64" s="16">
        <f t="shared" si="2"/>
        <v>25</v>
      </c>
      <c r="Y64" s="16"/>
      <c r="Z64" s="16"/>
      <c r="AA64" s="16"/>
      <c r="AB64" s="10" t="str">
        <f t="shared" si="3"/>
        <v>Closed in Dec</v>
      </c>
    </row>
    <row r="65" spans="1:28" x14ac:dyDescent="0.25">
      <c r="A65" s="14">
        <v>45973</v>
      </c>
      <c r="B65" s="15">
        <v>2025</v>
      </c>
      <c r="C65" s="24" t="s">
        <v>21</v>
      </c>
      <c r="D65" s="15" t="s">
        <v>194</v>
      </c>
      <c r="E65" s="34" t="s">
        <v>133</v>
      </c>
      <c r="F65" s="16" t="s">
        <v>60</v>
      </c>
      <c r="G65" s="9" t="s">
        <v>196</v>
      </c>
      <c r="H65" s="21">
        <v>9033920684</v>
      </c>
      <c r="I65" s="16"/>
      <c r="J65" s="17" t="s">
        <v>202</v>
      </c>
      <c r="K65" s="34" t="s">
        <v>203</v>
      </c>
      <c r="L65" s="33" t="s">
        <v>28</v>
      </c>
      <c r="M65" s="16" t="s">
        <v>31</v>
      </c>
      <c r="N65" s="53">
        <v>540</v>
      </c>
      <c r="O65" s="48" t="s">
        <v>267</v>
      </c>
      <c r="P65" s="47" t="str">
        <f t="shared" si="4"/>
        <v>23</v>
      </c>
      <c r="Q65" s="19" t="str">
        <f t="shared" si="5"/>
        <v>12</v>
      </c>
      <c r="R65" s="19" t="s">
        <v>25</v>
      </c>
      <c r="S65" s="19" t="s">
        <v>101</v>
      </c>
      <c r="T65" s="22" t="s">
        <v>31</v>
      </c>
      <c r="U65" s="16" t="s">
        <v>205</v>
      </c>
      <c r="V65" s="16" t="s">
        <v>93</v>
      </c>
      <c r="W65" s="14">
        <v>45998</v>
      </c>
      <c r="X65" s="16">
        <f t="shared" si="2"/>
        <v>25</v>
      </c>
      <c r="Y65" s="16"/>
      <c r="Z65" s="16"/>
      <c r="AA65" s="16"/>
      <c r="AB65" s="10" t="str">
        <f t="shared" si="3"/>
        <v>Closed in Dec</v>
      </c>
    </row>
    <row r="66" spans="1:28" x14ac:dyDescent="0.25">
      <c r="A66" s="14">
        <v>45973</v>
      </c>
      <c r="B66" s="15">
        <v>2025</v>
      </c>
      <c r="C66" s="24" t="s">
        <v>21</v>
      </c>
      <c r="D66" s="15" t="s">
        <v>194</v>
      </c>
      <c r="E66" s="34" t="s">
        <v>133</v>
      </c>
      <c r="F66" s="16" t="s">
        <v>60</v>
      </c>
      <c r="G66" s="9" t="s">
        <v>196</v>
      </c>
      <c r="H66" s="21">
        <v>9033920684</v>
      </c>
      <c r="I66" s="16"/>
      <c r="J66" s="17" t="s">
        <v>202</v>
      </c>
      <c r="K66" s="34" t="s">
        <v>203</v>
      </c>
      <c r="L66" s="33" t="s">
        <v>28</v>
      </c>
      <c r="M66" s="16" t="s">
        <v>31</v>
      </c>
      <c r="N66" s="53">
        <v>540</v>
      </c>
      <c r="O66" s="48" t="s">
        <v>268</v>
      </c>
      <c r="P66" s="47" t="str">
        <f t="shared" ref="P66:P97" si="6">MID(O66,5,2)</f>
        <v>23</v>
      </c>
      <c r="Q66" s="19" t="str">
        <f t="shared" ref="Q66:Q99" si="7">MID(O66,7,2)</f>
        <v>12</v>
      </c>
      <c r="R66" s="19" t="s">
        <v>25</v>
      </c>
      <c r="S66" s="19" t="s">
        <v>101</v>
      </c>
      <c r="T66" s="22" t="s">
        <v>31</v>
      </c>
      <c r="U66" s="16" t="s">
        <v>205</v>
      </c>
      <c r="V66" s="16" t="s">
        <v>93</v>
      </c>
      <c r="W66" s="14">
        <v>45998</v>
      </c>
      <c r="X66" s="16">
        <f t="shared" ref="X66:X129" si="8">W66-A66</f>
        <v>25</v>
      </c>
      <c r="Y66" s="16"/>
      <c r="Z66" s="16"/>
      <c r="AA66" s="16"/>
      <c r="AB66" s="10" t="str">
        <f t="shared" ref="AB66:AB129" si="9">IF(AND(F66="Closed",W66&gt;=DATE(2025,12,1),W66&lt;=DATE(2025,12,31)),"Closed in Dec","Other")</f>
        <v>Closed in Dec</v>
      </c>
    </row>
    <row r="67" spans="1:28" x14ac:dyDescent="0.25">
      <c r="A67" s="14">
        <v>45973</v>
      </c>
      <c r="B67" s="15">
        <v>2025</v>
      </c>
      <c r="C67" s="24" t="s">
        <v>21</v>
      </c>
      <c r="D67" s="15" t="s">
        <v>194</v>
      </c>
      <c r="E67" s="34" t="s">
        <v>133</v>
      </c>
      <c r="F67" s="16" t="s">
        <v>60</v>
      </c>
      <c r="G67" s="9" t="s">
        <v>196</v>
      </c>
      <c r="H67" s="21">
        <v>9033920684</v>
      </c>
      <c r="I67" s="16"/>
      <c r="J67" s="17" t="s">
        <v>202</v>
      </c>
      <c r="K67" s="34" t="s">
        <v>203</v>
      </c>
      <c r="L67" s="33" t="s">
        <v>28</v>
      </c>
      <c r="M67" s="16" t="s">
        <v>31</v>
      </c>
      <c r="N67" s="53">
        <v>540</v>
      </c>
      <c r="O67" s="48" t="s">
        <v>269</v>
      </c>
      <c r="P67" s="47" t="str">
        <f t="shared" si="6"/>
        <v>23</v>
      </c>
      <c r="Q67" s="19" t="str">
        <f t="shared" si="7"/>
        <v>12</v>
      </c>
      <c r="R67" s="19" t="s">
        <v>25</v>
      </c>
      <c r="S67" s="19" t="s">
        <v>101</v>
      </c>
      <c r="T67" s="22" t="s">
        <v>31</v>
      </c>
      <c r="U67" s="16" t="s">
        <v>205</v>
      </c>
      <c r="V67" s="16" t="s">
        <v>93</v>
      </c>
      <c r="W67" s="14">
        <v>45998</v>
      </c>
      <c r="X67" s="16">
        <f t="shared" si="8"/>
        <v>25</v>
      </c>
      <c r="Y67" s="16"/>
      <c r="Z67" s="16"/>
      <c r="AA67" s="16"/>
      <c r="AB67" s="10" t="str">
        <f t="shared" si="9"/>
        <v>Closed in Dec</v>
      </c>
    </row>
    <row r="68" spans="1:28" x14ac:dyDescent="0.25">
      <c r="A68" s="14">
        <v>45973</v>
      </c>
      <c r="B68" s="15">
        <v>2025</v>
      </c>
      <c r="C68" s="24" t="s">
        <v>21</v>
      </c>
      <c r="D68" s="15" t="s">
        <v>194</v>
      </c>
      <c r="E68" s="34" t="s">
        <v>133</v>
      </c>
      <c r="F68" s="16" t="s">
        <v>60</v>
      </c>
      <c r="G68" s="9" t="s">
        <v>196</v>
      </c>
      <c r="H68" s="21">
        <v>9033920684</v>
      </c>
      <c r="I68" s="16"/>
      <c r="J68" s="17" t="s">
        <v>202</v>
      </c>
      <c r="K68" s="34" t="s">
        <v>203</v>
      </c>
      <c r="L68" s="33" t="s">
        <v>28</v>
      </c>
      <c r="M68" s="16" t="s">
        <v>31</v>
      </c>
      <c r="N68" s="53">
        <v>540</v>
      </c>
      <c r="O68" s="48" t="s">
        <v>270</v>
      </c>
      <c r="P68" s="47" t="str">
        <f t="shared" si="6"/>
        <v>23</v>
      </c>
      <c r="Q68" s="19" t="str">
        <f t="shared" si="7"/>
        <v>12</v>
      </c>
      <c r="R68" s="19" t="s">
        <v>25</v>
      </c>
      <c r="S68" s="19" t="s">
        <v>101</v>
      </c>
      <c r="T68" s="22" t="s">
        <v>31</v>
      </c>
      <c r="U68" s="16" t="s">
        <v>205</v>
      </c>
      <c r="V68" s="16" t="s">
        <v>93</v>
      </c>
      <c r="W68" s="14">
        <v>45998</v>
      </c>
      <c r="X68" s="16">
        <f t="shared" si="8"/>
        <v>25</v>
      </c>
      <c r="Y68" s="16"/>
      <c r="Z68" s="16"/>
      <c r="AA68" s="16"/>
      <c r="AB68" s="10" t="str">
        <f t="shared" si="9"/>
        <v>Closed in Dec</v>
      </c>
    </row>
    <row r="69" spans="1:28" x14ac:dyDescent="0.25">
      <c r="A69" s="14">
        <v>45973</v>
      </c>
      <c r="B69" s="15">
        <v>2025</v>
      </c>
      <c r="C69" s="24" t="s">
        <v>21</v>
      </c>
      <c r="D69" s="15" t="s">
        <v>194</v>
      </c>
      <c r="E69" s="34" t="s">
        <v>133</v>
      </c>
      <c r="F69" s="16" t="s">
        <v>60</v>
      </c>
      <c r="G69" s="9" t="s">
        <v>196</v>
      </c>
      <c r="H69" s="21">
        <v>9033920684</v>
      </c>
      <c r="I69" s="16"/>
      <c r="J69" s="17" t="s">
        <v>202</v>
      </c>
      <c r="K69" s="34" t="s">
        <v>203</v>
      </c>
      <c r="L69" s="33" t="s">
        <v>28</v>
      </c>
      <c r="M69" s="16" t="s">
        <v>31</v>
      </c>
      <c r="N69" s="53">
        <v>540</v>
      </c>
      <c r="O69" s="48" t="s">
        <v>271</v>
      </c>
      <c r="P69" s="47" t="str">
        <f t="shared" si="6"/>
        <v>23</v>
      </c>
      <c r="Q69" s="19" t="str">
        <f t="shared" si="7"/>
        <v>12</v>
      </c>
      <c r="R69" s="19" t="s">
        <v>25</v>
      </c>
      <c r="S69" s="19" t="s">
        <v>101</v>
      </c>
      <c r="T69" s="22" t="s">
        <v>31</v>
      </c>
      <c r="U69" s="16" t="s">
        <v>205</v>
      </c>
      <c r="V69" s="16" t="s">
        <v>93</v>
      </c>
      <c r="W69" s="14">
        <v>45998</v>
      </c>
      <c r="X69" s="16">
        <f t="shared" si="8"/>
        <v>25</v>
      </c>
      <c r="Y69" s="16"/>
      <c r="Z69" s="16"/>
      <c r="AA69" s="16"/>
      <c r="AB69" s="10" t="str">
        <f t="shared" si="9"/>
        <v>Closed in Dec</v>
      </c>
    </row>
    <row r="70" spans="1:28" x14ac:dyDescent="0.25">
      <c r="A70" s="14">
        <v>45973</v>
      </c>
      <c r="B70" s="15">
        <v>2025</v>
      </c>
      <c r="C70" s="24" t="s">
        <v>21</v>
      </c>
      <c r="D70" s="15" t="s">
        <v>194</v>
      </c>
      <c r="E70" s="34" t="s">
        <v>133</v>
      </c>
      <c r="F70" s="16" t="s">
        <v>60</v>
      </c>
      <c r="G70" s="9" t="s">
        <v>196</v>
      </c>
      <c r="H70" s="21">
        <v>9033920684</v>
      </c>
      <c r="I70" s="16"/>
      <c r="J70" s="17" t="s">
        <v>202</v>
      </c>
      <c r="K70" s="34" t="s">
        <v>203</v>
      </c>
      <c r="L70" s="33" t="s">
        <v>28</v>
      </c>
      <c r="M70" s="16" t="s">
        <v>31</v>
      </c>
      <c r="N70" s="53">
        <v>540</v>
      </c>
      <c r="O70" s="48" t="s">
        <v>272</v>
      </c>
      <c r="P70" s="47" t="str">
        <f t="shared" si="6"/>
        <v>23</v>
      </c>
      <c r="Q70" s="19" t="str">
        <f t="shared" si="7"/>
        <v>12</v>
      </c>
      <c r="R70" s="19" t="s">
        <v>25</v>
      </c>
      <c r="S70" s="19" t="s">
        <v>101</v>
      </c>
      <c r="T70" s="22" t="s">
        <v>31</v>
      </c>
      <c r="U70" s="16" t="s">
        <v>205</v>
      </c>
      <c r="V70" s="16" t="s">
        <v>93</v>
      </c>
      <c r="W70" s="14">
        <v>45998</v>
      </c>
      <c r="X70" s="16">
        <f t="shared" si="8"/>
        <v>25</v>
      </c>
      <c r="Y70" s="16"/>
      <c r="Z70" s="16"/>
      <c r="AA70" s="16"/>
      <c r="AB70" s="10" t="str">
        <f t="shared" si="9"/>
        <v>Closed in Dec</v>
      </c>
    </row>
    <row r="71" spans="1:28" x14ac:dyDescent="0.25">
      <c r="A71" s="14">
        <v>45973</v>
      </c>
      <c r="B71" s="15">
        <v>2025</v>
      </c>
      <c r="C71" s="24" t="s">
        <v>21</v>
      </c>
      <c r="D71" s="15" t="s">
        <v>194</v>
      </c>
      <c r="E71" s="34" t="s">
        <v>133</v>
      </c>
      <c r="F71" s="16" t="s">
        <v>60</v>
      </c>
      <c r="G71" s="9" t="s">
        <v>196</v>
      </c>
      <c r="H71" s="21">
        <v>9033920684</v>
      </c>
      <c r="I71" s="16"/>
      <c r="J71" s="17" t="s">
        <v>202</v>
      </c>
      <c r="K71" s="34" t="s">
        <v>203</v>
      </c>
      <c r="L71" s="33" t="s">
        <v>28</v>
      </c>
      <c r="M71" s="16" t="s">
        <v>31</v>
      </c>
      <c r="N71" s="53">
        <v>540</v>
      </c>
      <c r="O71" s="48" t="s">
        <v>273</v>
      </c>
      <c r="P71" s="47" t="str">
        <f t="shared" si="6"/>
        <v>23</v>
      </c>
      <c r="Q71" s="19" t="str">
        <f t="shared" si="7"/>
        <v>12</v>
      </c>
      <c r="R71" s="19" t="s">
        <v>25</v>
      </c>
      <c r="S71" s="19" t="s">
        <v>101</v>
      </c>
      <c r="T71" s="22" t="s">
        <v>31</v>
      </c>
      <c r="U71" s="16" t="s">
        <v>205</v>
      </c>
      <c r="V71" s="16" t="s">
        <v>93</v>
      </c>
      <c r="W71" s="14">
        <v>45998</v>
      </c>
      <c r="X71" s="16">
        <f t="shared" si="8"/>
        <v>25</v>
      </c>
      <c r="Y71" s="16"/>
      <c r="Z71" s="16"/>
      <c r="AA71" s="16"/>
      <c r="AB71" s="10" t="str">
        <f t="shared" si="9"/>
        <v>Closed in Dec</v>
      </c>
    </row>
    <row r="72" spans="1:28" x14ac:dyDescent="0.25">
      <c r="A72" s="14">
        <v>45973</v>
      </c>
      <c r="B72" s="15">
        <v>2025</v>
      </c>
      <c r="C72" s="24" t="s">
        <v>21</v>
      </c>
      <c r="D72" s="15" t="s">
        <v>194</v>
      </c>
      <c r="E72" s="34" t="s">
        <v>133</v>
      </c>
      <c r="F72" s="16" t="s">
        <v>60</v>
      </c>
      <c r="G72" s="9" t="s">
        <v>196</v>
      </c>
      <c r="H72" s="21">
        <v>9033920684</v>
      </c>
      <c r="I72" s="16"/>
      <c r="J72" s="17" t="s">
        <v>202</v>
      </c>
      <c r="K72" s="34" t="s">
        <v>203</v>
      </c>
      <c r="L72" s="33" t="s">
        <v>28</v>
      </c>
      <c r="M72" s="16" t="s">
        <v>31</v>
      </c>
      <c r="N72" s="53">
        <v>540</v>
      </c>
      <c r="O72" s="48" t="s">
        <v>274</v>
      </c>
      <c r="P72" s="47" t="str">
        <f t="shared" si="6"/>
        <v>23</v>
      </c>
      <c r="Q72" s="19" t="str">
        <f t="shared" si="7"/>
        <v>12</v>
      </c>
      <c r="R72" s="19" t="s">
        <v>25</v>
      </c>
      <c r="S72" s="19" t="s">
        <v>101</v>
      </c>
      <c r="T72" s="22" t="s">
        <v>31</v>
      </c>
      <c r="U72" s="16" t="s">
        <v>205</v>
      </c>
      <c r="V72" s="16" t="s">
        <v>93</v>
      </c>
      <c r="W72" s="14">
        <v>45998</v>
      </c>
      <c r="X72" s="16">
        <f t="shared" si="8"/>
        <v>25</v>
      </c>
      <c r="Y72" s="16"/>
      <c r="Z72" s="16"/>
      <c r="AA72" s="16"/>
      <c r="AB72" s="10" t="str">
        <f t="shared" si="9"/>
        <v>Closed in Dec</v>
      </c>
    </row>
    <row r="73" spans="1:28" x14ac:dyDescent="0.25">
      <c r="A73" s="14">
        <v>45973</v>
      </c>
      <c r="B73" s="15">
        <v>2025</v>
      </c>
      <c r="C73" s="24" t="s">
        <v>21</v>
      </c>
      <c r="D73" s="15" t="s">
        <v>194</v>
      </c>
      <c r="E73" s="34" t="s">
        <v>133</v>
      </c>
      <c r="F73" s="16" t="s">
        <v>60</v>
      </c>
      <c r="G73" s="9" t="s">
        <v>196</v>
      </c>
      <c r="H73" s="21">
        <v>9033920684</v>
      </c>
      <c r="I73" s="16"/>
      <c r="J73" s="17" t="s">
        <v>202</v>
      </c>
      <c r="K73" s="34" t="s">
        <v>203</v>
      </c>
      <c r="L73" s="33" t="s">
        <v>28</v>
      </c>
      <c r="M73" s="16" t="s">
        <v>31</v>
      </c>
      <c r="N73" s="53">
        <v>540</v>
      </c>
      <c r="O73" s="48" t="s">
        <v>275</v>
      </c>
      <c r="P73" s="47" t="str">
        <f t="shared" si="6"/>
        <v>23</v>
      </c>
      <c r="Q73" s="19" t="str">
        <f t="shared" si="7"/>
        <v>12</v>
      </c>
      <c r="R73" s="19" t="s">
        <v>25</v>
      </c>
      <c r="S73" s="19" t="s">
        <v>101</v>
      </c>
      <c r="T73" s="22" t="s">
        <v>31</v>
      </c>
      <c r="U73" s="16" t="s">
        <v>205</v>
      </c>
      <c r="V73" s="16" t="s">
        <v>93</v>
      </c>
      <c r="W73" s="14">
        <v>45998</v>
      </c>
      <c r="X73" s="16">
        <f t="shared" si="8"/>
        <v>25</v>
      </c>
      <c r="Y73" s="16"/>
      <c r="Z73" s="16"/>
      <c r="AA73" s="16"/>
      <c r="AB73" s="10" t="str">
        <f t="shared" si="9"/>
        <v>Closed in Dec</v>
      </c>
    </row>
    <row r="74" spans="1:28" x14ac:dyDescent="0.25">
      <c r="A74" s="14">
        <v>45973</v>
      </c>
      <c r="B74" s="15">
        <v>2025</v>
      </c>
      <c r="C74" s="24" t="s">
        <v>21</v>
      </c>
      <c r="D74" s="15" t="s">
        <v>194</v>
      </c>
      <c r="E74" s="34" t="s">
        <v>133</v>
      </c>
      <c r="F74" s="16" t="s">
        <v>60</v>
      </c>
      <c r="G74" s="9" t="s">
        <v>196</v>
      </c>
      <c r="H74" s="21">
        <v>9033920684</v>
      </c>
      <c r="I74" s="16"/>
      <c r="J74" s="17" t="s">
        <v>202</v>
      </c>
      <c r="K74" s="34" t="s">
        <v>203</v>
      </c>
      <c r="L74" s="33" t="s">
        <v>28</v>
      </c>
      <c r="M74" s="16" t="s">
        <v>31</v>
      </c>
      <c r="N74" s="53">
        <v>540</v>
      </c>
      <c r="O74" s="48" t="s">
        <v>276</v>
      </c>
      <c r="P74" s="47" t="str">
        <f t="shared" si="6"/>
        <v>23</v>
      </c>
      <c r="Q74" s="19" t="str">
        <f t="shared" si="7"/>
        <v>07</v>
      </c>
      <c r="R74" s="19" t="s">
        <v>25</v>
      </c>
      <c r="S74" s="19" t="s">
        <v>101</v>
      </c>
      <c r="T74" s="22" t="s">
        <v>31</v>
      </c>
      <c r="U74" s="16" t="s">
        <v>205</v>
      </c>
      <c r="V74" s="16" t="s">
        <v>93</v>
      </c>
      <c r="W74" s="14">
        <v>45998</v>
      </c>
      <c r="X74" s="16">
        <f t="shared" si="8"/>
        <v>25</v>
      </c>
      <c r="Y74" s="16"/>
      <c r="Z74" s="16"/>
      <c r="AA74" s="16"/>
      <c r="AB74" s="10" t="str">
        <f t="shared" si="9"/>
        <v>Closed in Dec</v>
      </c>
    </row>
    <row r="75" spans="1:28" x14ac:dyDescent="0.25">
      <c r="A75" s="14">
        <v>45973</v>
      </c>
      <c r="B75" s="15">
        <v>2025</v>
      </c>
      <c r="C75" s="24" t="s">
        <v>21</v>
      </c>
      <c r="D75" s="15" t="s">
        <v>194</v>
      </c>
      <c r="E75" s="34" t="s">
        <v>133</v>
      </c>
      <c r="F75" s="16" t="s">
        <v>60</v>
      </c>
      <c r="G75" s="9" t="s">
        <v>196</v>
      </c>
      <c r="H75" s="21">
        <v>9033920684</v>
      </c>
      <c r="I75" s="16"/>
      <c r="J75" s="17" t="s">
        <v>202</v>
      </c>
      <c r="K75" s="34" t="s">
        <v>203</v>
      </c>
      <c r="L75" s="33" t="s">
        <v>28</v>
      </c>
      <c r="M75" s="16" t="s">
        <v>31</v>
      </c>
      <c r="N75" s="53">
        <v>540</v>
      </c>
      <c r="O75" s="48" t="s">
        <v>277</v>
      </c>
      <c r="P75" s="47" t="str">
        <f t="shared" si="6"/>
        <v>23</v>
      </c>
      <c r="Q75" s="19" t="str">
        <f t="shared" si="7"/>
        <v>07</v>
      </c>
      <c r="R75" s="19" t="s">
        <v>25</v>
      </c>
      <c r="S75" s="19" t="s">
        <v>101</v>
      </c>
      <c r="T75" s="22" t="s">
        <v>31</v>
      </c>
      <c r="U75" s="16" t="s">
        <v>205</v>
      </c>
      <c r="V75" s="16" t="s">
        <v>93</v>
      </c>
      <c r="W75" s="14">
        <v>45998</v>
      </c>
      <c r="X75" s="16">
        <f t="shared" si="8"/>
        <v>25</v>
      </c>
      <c r="Y75" s="16"/>
      <c r="Z75" s="16"/>
      <c r="AA75" s="16"/>
      <c r="AB75" s="10" t="str">
        <f t="shared" si="9"/>
        <v>Closed in Dec</v>
      </c>
    </row>
    <row r="76" spans="1:28" x14ac:dyDescent="0.25">
      <c r="A76" s="14">
        <v>45973</v>
      </c>
      <c r="B76" s="15">
        <v>2025</v>
      </c>
      <c r="C76" s="24" t="s">
        <v>21</v>
      </c>
      <c r="D76" s="15" t="s">
        <v>194</v>
      </c>
      <c r="E76" s="34" t="s">
        <v>133</v>
      </c>
      <c r="F76" s="16" t="s">
        <v>60</v>
      </c>
      <c r="G76" s="9" t="s">
        <v>196</v>
      </c>
      <c r="H76" s="21">
        <v>9033920684</v>
      </c>
      <c r="I76" s="16"/>
      <c r="J76" s="17" t="s">
        <v>202</v>
      </c>
      <c r="K76" s="34" t="s">
        <v>203</v>
      </c>
      <c r="L76" s="33" t="s">
        <v>28</v>
      </c>
      <c r="M76" s="16" t="s">
        <v>31</v>
      </c>
      <c r="N76" s="53">
        <v>540</v>
      </c>
      <c r="O76" s="48" t="s">
        <v>278</v>
      </c>
      <c r="P76" s="47" t="str">
        <f t="shared" si="6"/>
        <v>23</v>
      </c>
      <c r="Q76" s="19" t="str">
        <f t="shared" si="7"/>
        <v>07</v>
      </c>
      <c r="R76" s="19" t="s">
        <v>25</v>
      </c>
      <c r="S76" s="19" t="s">
        <v>101</v>
      </c>
      <c r="T76" s="22" t="s">
        <v>31</v>
      </c>
      <c r="U76" s="16" t="s">
        <v>205</v>
      </c>
      <c r="V76" s="16" t="s">
        <v>93</v>
      </c>
      <c r="W76" s="14">
        <v>45998</v>
      </c>
      <c r="X76" s="16">
        <f t="shared" si="8"/>
        <v>25</v>
      </c>
      <c r="Y76" s="16"/>
      <c r="Z76" s="16"/>
      <c r="AA76" s="16"/>
      <c r="AB76" s="10" t="str">
        <f t="shared" si="9"/>
        <v>Closed in Dec</v>
      </c>
    </row>
    <row r="77" spans="1:28" x14ac:dyDescent="0.25">
      <c r="A77" s="14">
        <v>45973</v>
      </c>
      <c r="B77" s="15">
        <v>2025</v>
      </c>
      <c r="C77" s="24" t="s">
        <v>21</v>
      </c>
      <c r="D77" s="15" t="s">
        <v>194</v>
      </c>
      <c r="E77" s="34" t="s">
        <v>133</v>
      </c>
      <c r="F77" s="16" t="s">
        <v>60</v>
      </c>
      <c r="G77" s="9" t="s">
        <v>196</v>
      </c>
      <c r="H77" s="21">
        <v>9033920684</v>
      </c>
      <c r="I77" s="16"/>
      <c r="J77" s="17" t="s">
        <v>202</v>
      </c>
      <c r="K77" s="34" t="s">
        <v>203</v>
      </c>
      <c r="L77" s="33" t="s">
        <v>28</v>
      </c>
      <c r="M77" s="16" t="s">
        <v>31</v>
      </c>
      <c r="N77" s="53">
        <v>540</v>
      </c>
      <c r="O77" s="48" t="s">
        <v>279</v>
      </c>
      <c r="P77" s="47" t="str">
        <f t="shared" si="6"/>
        <v>23</v>
      </c>
      <c r="Q77" s="19" t="str">
        <f t="shared" si="7"/>
        <v>07</v>
      </c>
      <c r="R77" s="19" t="s">
        <v>25</v>
      </c>
      <c r="S77" s="19" t="s">
        <v>101</v>
      </c>
      <c r="T77" s="22" t="s">
        <v>31</v>
      </c>
      <c r="U77" s="16" t="s">
        <v>205</v>
      </c>
      <c r="V77" s="16" t="s">
        <v>93</v>
      </c>
      <c r="W77" s="14">
        <v>45998</v>
      </c>
      <c r="X77" s="16">
        <f t="shared" si="8"/>
        <v>25</v>
      </c>
      <c r="Y77" s="16"/>
      <c r="Z77" s="16"/>
      <c r="AA77" s="16"/>
      <c r="AB77" s="10" t="str">
        <f t="shared" si="9"/>
        <v>Closed in Dec</v>
      </c>
    </row>
    <row r="78" spans="1:28" x14ac:dyDescent="0.25">
      <c r="A78" s="14">
        <v>45973</v>
      </c>
      <c r="B78" s="15">
        <v>2025</v>
      </c>
      <c r="C78" s="24" t="s">
        <v>21</v>
      </c>
      <c r="D78" s="15" t="s">
        <v>194</v>
      </c>
      <c r="E78" s="34" t="s">
        <v>133</v>
      </c>
      <c r="F78" s="16" t="s">
        <v>60</v>
      </c>
      <c r="G78" s="9" t="s">
        <v>196</v>
      </c>
      <c r="H78" s="21">
        <v>9033920684</v>
      </c>
      <c r="I78" s="16"/>
      <c r="J78" s="17" t="s">
        <v>202</v>
      </c>
      <c r="K78" s="34" t="s">
        <v>203</v>
      </c>
      <c r="L78" s="33" t="s">
        <v>28</v>
      </c>
      <c r="M78" s="16" t="s">
        <v>31</v>
      </c>
      <c r="N78" s="53">
        <v>540</v>
      </c>
      <c r="O78" s="48" t="s">
        <v>280</v>
      </c>
      <c r="P78" s="47" t="str">
        <f t="shared" si="6"/>
        <v>23</v>
      </c>
      <c r="Q78" s="19" t="str">
        <f t="shared" si="7"/>
        <v>07</v>
      </c>
      <c r="R78" s="19" t="s">
        <v>25</v>
      </c>
      <c r="S78" s="19" t="s">
        <v>101</v>
      </c>
      <c r="T78" s="22" t="s">
        <v>31</v>
      </c>
      <c r="U78" s="16" t="s">
        <v>205</v>
      </c>
      <c r="V78" s="16" t="s">
        <v>93</v>
      </c>
      <c r="W78" s="14">
        <v>45998</v>
      </c>
      <c r="X78" s="16">
        <f t="shared" si="8"/>
        <v>25</v>
      </c>
      <c r="Y78" s="16"/>
      <c r="Z78" s="16"/>
      <c r="AA78" s="16"/>
      <c r="AB78" s="10" t="str">
        <f t="shared" si="9"/>
        <v>Closed in Dec</v>
      </c>
    </row>
    <row r="79" spans="1:28" x14ac:dyDescent="0.25">
      <c r="A79" s="14">
        <v>45973</v>
      </c>
      <c r="B79" s="15">
        <v>2025</v>
      </c>
      <c r="C79" s="24" t="s">
        <v>21</v>
      </c>
      <c r="D79" s="15" t="s">
        <v>194</v>
      </c>
      <c r="E79" s="34" t="s">
        <v>133</v>
      </c>
      <c r="F79" s="16" t="s">
        <v>60</v>
      </c>
      <c r="G79" s="9" t="s">
        <v>196</v>
      </c>
      <c r="H79" s="21">
        <v>9033920684</v>
      </c>
      <c r="I79" s="16"/>
      <c r="J79" s="17" t="s">
        <v>202</v>
      </c>
      <c r="K79" s="34" t="s">
        <v>203</v>
      </c>
      <c r="L79" s="33" t="s">
        <v>28</v>
      </c>
      <c r="M79" s="16" t="s">
        <v>31</v>
      </c>
      <c r="N79" s="53">
        <v>540</v>
      </c>
      <c r="O79" s="48" t="s">
        <v>281</v>
      </c>
      <c r="P79" s="47" t="str">
        <f t="shared" si="6"/>
        <v>23</v>
      </c>
      <c r="Q79" s="19" t="str">
        <f t="shared" si="7"/>
        <v>07</v>
      </c>
      <c r="R79" s="19" t="s">
        <v>25</v>
      </c>
      <c r="S79" s="19" t="s">
        <v>101</v>
      </c>
      <c r="T79" s="22" t="s">
        <v>31</v>
      </c>
      <c r="U79" s="16" t="s">
        <v>205</v>
      </c>
      <c r="V79" s="16" t="s">
        <v>93</v>
      </c>
      <c r="W79" s="14">
        <v>45998</v>
      </c>
      <c r="X79" s="16">
        <f t="shared" si="8"/>
        <v>25</v>
      </c>
      <c r="Y79" s="16"/>
      <c r="Z79" s="16"/>
      <c r="AA79" s="16"/>
      <c r="AB79" s="10" t="str">
        <f t="shared" si="9"/>
        <v>Closed in Dec</v>
      </c>
    </row>
    <row r="80" spans="1:28" x14ac:dyDescent="0.25">
      <c r="A80" s="14">
        <v>45973</v>
      </c>
      <c r="B80" s="15">
        <v>2025</v>
      </c>
      <c r="C80" s="24" t="s">
        <v>21</v>
      </c>
      <c r="D80" s="15" t="s">
        <v>194</v>
      </c>
      <c r="E80" s="34" t="s">
        <v>133</v>
      </c>
      <c r="F80" s="16" t="s">
        <v>60</v>
      </c>
      <c r="G80" s="9" t="s">
        <v>196</v>
      </c>
      <c r="H80" s="21">
        <v>9033920684</v>
      </c>
      <c r="I80" s="16"/>
      <c r="J80" s="17" t="s">
        <v>202</v>
      </c>
      <c r="K80" s="34" t="s">
        <v>203</v>
      </c>
      <c r="L80" s="33" t="s">
        <v>28</v>
      </c>
      <c r="M80" s="16" t="s">
        <v>31</v>
      </c>
      <c r="N80" s="53">
        <v>540</v>
      </c>
      <c r="O80" s="48" t="s">
        <v>282</v>
      </c>
      <c r="P80" s="47" t="str">
        <f t="shared" si="6"/>
        <v>23</v>
      </c>
      <c r="Q80" s="19" t="str">
        <f t="shared" si="7"/>
        <v>07</v>
      </c>
      <c r="R80" s="19" t="s">
        <v>25</v>
      </c>
      <c r="S80" s="19" t="s">
        <v>101</v>
      </c>
      <c r="T80" s="22" t="s">
        <v>31</v>
      </c>
      <c r="U80" s="16" t="s">
        <v>205</v>
      </c>
      <c r="V80" s="16" t="s">
        <v>93</v>
      </c>
      <c r="W80" s="14">
        <v>45998</v>
      </c>
      <c r="X80" s="16">
        <f t="shared" si="8"/>
        <v>25</v>
      </c>
      <c r="Y80" s="16"/>
      <c r="Z80" s="16"/>
      <c r="AA80" s="16"/>
      <c r="AB80" s="10" t="str">
        <f t="shared" si="9"/>
        <v>Closed in Dec</v>
      </c>
    </row>
    <row r="81" spans="1:28" x14ac:dyDescent="0.25">
      <c r="A81" s="14">
        <v>45973</v>
      </c>
      <c r="B81" s="15">
        <v>2025</v>
      </c>
      <c r="C81" s="24" t="s">
        <v>21</v>
      </c>
      <c r="D81" s="15" t="s">
        <v>194</v>
      </c>
      <c r="E81" s="34" t="s">
        <v>133</v>
      </c>
      <c r="F81" s="16" t="s">
        <v>60</v>
      </c>
      <c r="G81" s="9" t="s">
        <v>196</v>
      </c>
      <c r="H81" s="21">
        <v>9033920684</v>
      </c>
      <c r="I81" s="16"/>
      <c r="J81" s="17" t="s">
        <v>202</v>
      </c>
      <c r="K81" s="34" t="s">
        <v>203</v>
      </c>
      <c r="L81" s="33" t="s">
        <v>28</v>
      </c>
      <c r="M81" s="16" t="s">
        <v>31</v>
      </c>
      <c r="N81" s="53">
        <v>540</v>
      </c>
      <c r="O81" s="48" t="s">
        <v>283</v>
      </c>
      <c r="P81" s="47" t="str">
        <f t="shared" si="6"/>
        <v>23</v>
      </c>
      <c r="Q81" s="19" t="str">
        <f t="shared" si="7"/>
        <v>07</v>
      </c>
      <c r="R81" s="19" t="s">
        <v>25</v>
      </c>
      <c r="S81" s="19" t="s">
        <v>101</v>
      </c>
      <c r="T81" s="22" t="s">
        <v>31</v>
      </c>
      <c r="U81" s="16" t="s">
        <v>205</v>
      </c>
      <c r="V81" s="16" t="s">
        <v>93</v>
      </c>
      <c r="W81" s="14">
        <v>45998</v>
      </c>
      <c r="X81" s="16">
        <f t="shared" si="8"/>
        <v>25</v>
      </c>
      <c r="Y81" s="16"/>
      <c r="Z81" s="16"/>
      <c r="AA81" s="16"/>
      <c r="AB81" s="10" t="str">
        <f t="shared" si="9"/>
        <v>Closed in Dec</v>
      </c>
    </row>
    <row r="82" spans="1:28" x14ac:dyDescent="0.25">
      <c r="A82" s="14">
        <v>45973</v>
      </c>
      <c r="B82" s="15">
        <v>2025</v>
      </c>
      <c r="C82" s="24" t="s">
        <v>21</v>
      </c>
      <c r="D82" s="15" t="s">
        <v>194</v>
      </c>
      <c r="E82" s="34" t="s">
        <v>133</v>
      </c>
      <c r="F82" s="16" t="s">
        <v>60</v>
      </c>
      <c r="G82" s="9" t="s">
        <v>196</v>
      </c>
      <c r="H82" s="21">
        <v>9033920684</v>
      </c>
      <c r="I82" s="16"/>
      <c r="J82" s="17" t="s">
        <v>202</v>
      </c>
      <c r="K82" s="34" t="s">
        <v>203</v>
      </c>
      <c r="L82" s="33" t="s">
        <v>28</v>
      </c>
      <c r="M82" s="16" t="s">
        <v>31</v>
      </c>
      <c r="N82" s="53">
        <v>540</v>
      </c>
      <c r="O82" s="48" t="s">
        <v>284</v>
      </c>
      <c r="P82" s="47" t="str">
        <f t="shared" si="6"/>
        <v>23</v>
      </c>
      <c r="Q82" s="19" t="str">
        <f t="shared" si="7"/>
        <v>07</v>
      </c>
      <c r="R82" s="19" t="s">
        <v>25</v>
      </c>
      <c r="S82" s="19" t="s">
        <v>101</v>
      </c>
      <c r="T82" s="22" t="s">
        <v>31</v>
      </c>
      <c r="U82" s="16" t="s">
        <v>205</v>
      </c>
      <c r="V82" s="16" t="s">
        <v>93</v>
      </c>
      <c r="W82" s="14">
        <v>45998</v>
      </c>
      <c r="X82" s="16">
        <f t="shared" si="8"/>
        <v>25</v>
      </c>
      <c r="Y82" s="16"/>
      <c r="Z82" s="16"/>
      <c r="AA82" s="16"/>
      <c r="AB82" s="10" t="str">
        <f t="shared" si="9"/>
        <v>Closed in Dec</v>
      </c>
    </row>
    <row r="83" spans="1:28" x14ac:dyDescent="0.25">
      <c r="A83" s="14">
        <v>45973</v>
      </c>
      <c r="B83" s="15">
        <v>2025</v>
      </c>
      <c r="C83" s="24" t="s">
        <v>21</v>
      </c>
      <c r="D83" s="15" t="s">
        <v>194</v>
      </c>
      <c r="E83" s="34" t="s">
        <v>133</v>
      </c>
      <c r="F83" s="16" t="s">
        <v>60</v>
      </c>
      <c r="G83" s="9" t="s">
        <v>196</v>
      </c>
      <c r="H83" s="21">
        <v>9033920684</v>
      </c>
      <c r="I83" s="16"/>
      <c r="J83" s="17" t="s">
        <v>202</v>
      </c>
      <c r="K83" s="34" t="s">
        <v>203</v>
      </c>
      <c r="L83" s="33" t="s">
        <v>28</v>
      </c>
      <c r="M83" s="16" t="s">
        <v>31</v>
      </c>
      <c r="N83" s="53">
        <v>540</v>
      </c>
      <c r="O83" s="48" t="s">
        <v>285</v>
      </c>
      <c r="P83" s="47" t="str">
        <f t="shared" si="6"/>
        <v>23</v>
      </c>
      <c r="Q83" s="19" t="str">
        <f t="shared" si="7"/>
        <v>07</v>
      </c>
      <c r="R83" s="19" t="s">
        <v>25</v>
      </c>
      <c r="S83" s="19" t="s">
        <v>101</v>
      </c>
      <c r="T83" s="22" t="s">
        <v>31</v>
      </c>
      <c r="U83" s="16" t="s">
        <v>205</v>
      </c>
      <c r="V83" s="16" t="s">
        <v>93</v>
      </c>
      <c r="W83" s="14">
        <v>45998</v>
      </c>
      <c r="X83" s="16">
        <f t="shared" si="8"/>
        <v>25</v>
      </c>
      <c r="Y83" s="16"/>
      <c r="Z83" s="16"/>
      <c r="AA83" s="16"/>
      <c r="AB83" s="10" t="str">
        <f t="shared" si="9"/>
        <v>Closed in Dec</v>
      </c>
    </row>
    <row r="84" spans="1:28" x14ac:dyDescent="0.25">
      <c r="A84" s="14">
        <v>45973</v>
      </c>
      <c r="B84" s="15">
        <v>2025</v>
      </c>
      <c r="C84" s="24" t="s">
        <v>21</v>
      </c>
      <c r="D84" s="15" t="s">
        <v>194</v>
      </c>
      <c r="E84" s="34" t="s">
        <v>133</v>
      </c>
      <c r="F84" s="16" t="s">
        <v>60</v>
      </c>
      <c r="G84" s="9" t="s">
        <v>196</v>
      </c>
      <c r="H84" s="21">
        <v>9033920684</v>
      </c>
      <c r="I84" s="16"/>
      <c r="J84" s="17" t="s">
        <v>202</v>
      </c>
      <c r="K84" s="34" t="s">
        <v>203</v>
      </c>
      <c r="L84" s="33" t="s">
        <v>28</v>
      </c>
      <c r="M84" s="16" t="s">
        <v>31</v>
      </c>
      <c r="N84" s="53">
        <v>540</v>
      </c>
      <c r="O84" s="58" t="s">
        <v>286</v>
      </c>
      <c r="P84" s="47" t="str">
        <f t="shared" si="6"/>
        <v>23</v>
      </c>
      <c r="Q84" s="19" t="str">
        <f t="shared" si="7"/>
        <v>07</v>
      </c>
      <c r="R84" s="19" t="s">
        <v>25</v>
      </c>
      <c r="S84" s="19" t="s">
        <v>101</v>
      </c>
      <c r="T84" s="22" t="s">
        <v>31</v>
      </c>
      <c r="U84" s="16" t="s">
        <v>205</v>
      </c>
      <c r="V84" s="16" t="s">
        <v>93</v>
      </c>
      <c r="W84" s="14">
        <v>45998</v>
      </c>
      <c r="X84" s="16">
        <f t="shared" si="8"/>
        <v>25</v>
      </c>
      <c r="Y84" s="16"/>
      <c r="Z84" s="16"/>
      <c r="AA84" s="16"/>
      <c r="AB84" s="10" t="str">
        <f t="shared" si="9"/>
        <v>Closed in Dec</v>
      </c>
    </row>
    <row r="85" spans="1:28" x14ac:dyDescent="0.25">
      <c r="A85" s="14">
        <v>45973</v>
      </c>
      <c r="B85" s="15">
        <v>2025</v>
      </c>
      <c r="C85" s="24" t="s">
        <v>21</v>
      </c>
      <c r="D85" s="15" t="s">
        <v>194</v>
      </c>
      <c r="E85" s="34" t="s">
        <v>133</v>
      </c>
      <c r="F85" s="16" t="s">
        <v>60</v>
      </c>
      <c r="G85" s="9" t="s">
        <v>196</v>
      </c>
      <c r="H85" s="21">
        <v>9033920684</v>
      </c>
      <c r="I85" s="16"/>
      <c r="J85" s="17" t="s">
        <v>202</v>
      </c>
      <c r="K85" s="34" t="s">
        <v>203</v>
      </c>
      <c r="L85" s="33" t="s">
        <v>28</v>
      </c>
      <c r="M85" s="16" t="s">
        <v>31</v>
      </c>
      <c r="N85" s="53">
        <v>540</v>
      </c>
      <c r="O85" s="58" t="s">
        <v>287</v>
      </c>
      <c r="P85" s="47" t="str">
        <f t="shared" si="6"/>
        <v>23</v>
      </c>
      <c r="Q85" s="19" t="str">
        <f t="shared" si="7"/>
        <v>07</v>
      </c>
      <c r="R85" s="19" t="s">
        <v>25</v>
      </c>
      <c r="S85" s="19" t="s">
        <v>101</v>
      </c>
      <c r="T85" s="22" t="s">
        <v>31</v>
      </c>
      <c r="U85" s="16" t="s">
        <v>205</v>
      </c>
      <c r="V85" s="16" t="s">
        <v>93</v>
      </c>
      <c r="W85" s="14">
        <v>45998</v>
      </c>
      <c r="X85" s="16">
        <f t="shared" si="8"/>
        <v>25</v>
      </c>
      <c r="Y85" s="16"/>
      <c r="Z85" s="16"/>
      <c r="AA85" s="16"/>
      <c r="AB85" s="10" t="str">
        <f t="shared" si="9"/>
        <v>Closed in Dec</v>
      </c>
    </row>
    <row r="86" spans="1:28" x14ac:dyDescent="0.25">
      <c r="A86" s="14">
        <v>45973</v>
      </c>
      <c r="B86" s="15">
        <v>2025</v>
      </c>
      <c r="C86" s="24" t="s">
        <v>21</v>
      </c>
      <c r="D86" s="15" t="s">
        <v>194</v>
      </c>
      <c r="E86" s="34" t="s">
        <v>133</v>
      </c>
      <c r="F86" s="16" t="s">
        <v>60</v>
      </c>
      <c r="G86" s="9" t="s">
        <v>196</v>
      </c>
      <c r="H86" s="21">
        <v>9033920684</v>
      </c>
      <c r="I86" s="16"/>
      <c r="J86" s="17" t="s">
        <v>202</v>
      </c>
      <c r="K86" s="34" t="s">
        <v>203</v>
      </c>
      <c r="L86" s="33" t="s">
        <v>28</v>
      </c>
      <c r="M86" s="16" t="s">
        <v>31</v>
      </c>
      <c r="N86" s="53">
        <v>540</v>
      </c>
      <c r="O86" s="58" t="s">
        <v>288</v>
      </c>
      <c r="P86" s="47" t="str">
        <f t="shared" si="6"/>
        <v>23</v>
      </c>
      <c r="Q86" s="19" t="str">
        <f t="shared" si="7"/>
        <v>07</v>
      </c>
      <c r="R86" s="19" t="s">
        <v>25</v>
      </c>
      <c r="S86" s="19" t="s">
        <v>101</v>
      </c>
      <c r="T86" s="22" t="s">
        <v>31</v>
      </c>
      <c r="U86" s="16" t="s">
        <v>205</v>
      </c>
      <c r="V86" s="16" t="s">
        <v>93</v>
      </c>
      <c r="W86" s="14">
        <v>45998</v>
      </c>
      <c r="X86" s="16">
        <f t="shared" si="8"/>
        <v>25</v>
      </c>
      <c r="Y86" s="16"/>
      <c r="Z86" s="16"/>
      <c r="AA86" s="16"/>
      <c r="AB86" s="10" t="str">
        <f t="shared" si="9"/>
        <v>Closed in Dec</v>
      </c>
    </row>
    <row r="87" spans="1:28" x14ac:dyDescent="0.25">
      <c r="A87" s="14">
        <v>45973</v>
      </c>
      <c r="B87" s="15">
        <v>2025</v>
      </c>
      <c r="C87" s="24" t="s">
        <v>21</v>
      </c>
      <c r="D87" s="15" t="s">
        <v>194</v>
      </c>
      <c r="E87" s="34" t="s">
        <v>133</v>
      </c>
      <c r="F87" s="16" t="s">
        <v>60</v>
      </c>
      <c r="G87" s="9" t="s">
        <v>196</v>
      </c>
      <c r="H87" s="21">
        <v>9033920684</v>
      </c>
      <c r="I87" s="16"/>
      <c r="J87" s="17" t="s">
        <v>202</v>
      </c>
      <c r="K87" s="34" t="s">
        <v>203</v>
      </c>
      <c r="L87" s="33" t="s">
        <v>28</v>
      </c>
      <c r="M87" s="16" t="s">
        <v>31</v>
      </c>
      <c r="N87" s="53">
        <v>540</v>
      </c>
      <c r="O87" s="58" t="s">
        <v>289</v>
      </c>
      <c r="P87" s="47" t="str">
        <f t="shared" si="6"/>
        <v>23</v>
      </c>
      <c r="Q87" s="19" t="str">
        <f t="shared" si="7"/>
        <v>07</v>
      </c>
      <c r="R87" s="19" t="s">
        <v>25</v>
      </c>
      <c r="S87" s="19" t="s">
        <v>101</v>
      </c>
      <c r="T87" s="22" t="s">
        <v>31</v>
      </c>
      <c r="U87" s="16" t="s">
        <v>205</v>
      </c>
      <c r="V87" s="16" t="s">
        <v>93</v>
      </c>
      <c r="W87" s="14">
        <v>45998</v>
      </c>
      <c r="X87" s="16">
        <f t="shared" si="8"/>
        <v>25</v>
      </c>
      <c r="Y87" s="16"/>
      <c r="Z87" s="16"/>
      <c r="AA87" s="16"/>
      <c r="AB87" s="10" t="str">
        <f t="shared" si="9"/>
        <v>Closed in Dec</v>
      </c>
    </row>
    <row r="88" spans="1:28" x14ac:dyDescent="0.25">
      <c r="A88" s="14">
        <v>45973</v>
      </c>
      <c r="B88" s="15">
        <v>2025</v>
      </c>
      <c r="C88" s="24" t="s">
        <v>21</v>
      </c>
      <c r="D88" s="15" t="s">
        <v>194</v>
      </c>
      <c r="E88" s="34" t="s">
        <v>133</v>
      </c>
      <c r="F88" s="16" t="s">
        <v>60</v>
      </c>
      <c r="G88" s="9" t="s">
        <v>196</v>
      </c>
      <c r="H88" s="21">
        <v>9033920684</v>
      </c>
      <c r="I88" s="16"/>
      <c r="J88" s="17" t="s">
        <v>202</v>
      </c>
      <c r="K88" s="34" t="s">
        <v>203</v>
      </c>
      <c r="L88" s="33" t="s">
        <v>28</v>
      </c>
      <c r="M88" s="16" t="s">
        <v>31</v>
      </c>
      <c r="N88" s="53">
        <v>540</v>
      </c>
      <c r="O88" s="58" t="s">
        <v>290</v>
      </c>
      <c r="P88" s="47" t="str">
        <f t="shared" si="6"/>
        <v>23</v>
      </c>
      <c r="Q88" s="19" t="str">
        <f t="shared" si="7"/>
        <v>07</v>
      </c>
      <c r="R88" s="19" t="s">
        <v>25</v>
      </c>
      <c r="S88" s="19" t="s">
        <v>101</v>
      </c>
      <c r="T88" s="22" t="s">
        <v>31</v>
      </c>
      <c r="U88" s="16" t="s">
        <v>205</v>
      </c>
      <c r="V88" s="16" t="s">
        <v>93</v>
      </c>
      <c r="W88" s="14">
        <v>45998</v>
      </c>
      <c r="X88" s="16">
        <f t="shared" si="8"/>
        <v>25</v>
      </c>
      <c r="Y88" s="16"/>
      <c r="Z88" s="16"/>
      <c r="AA88" s="16"/>
      <c r="AB88" s="10" t="str">
        <f t="shared" si="9"/>
        <v>Closed in Dec</v>
      </c>
    </row>
    <row r="89" spans="1:28" x14ac:dyDescent="0.25">
      <c r="A89" s="14">
        <v>45973</v>
      </c>
      <c r="B89" s="15">
        <v>2025</v>
      </c>
      <c r="C89" s="24" t="s">
        <v>21</v>
      </c>
      <c r="D89" s="15" t="s">
        <v>194</v>
      </c>
      <c r="E89" s="34" t="s">
        <v>133</v>
      </c>
      <c r="F89" s="16" t="s">
        <v>60</v>
      </c>
      <c r="G89" s="9" t="s">
        <v>196</v>
      </c>
      <c r="H89" s="21">
        <v>9033920684</v>
      </c>
      <c r="I89" s="16"/>
      <c r="J89" s="17" t="s">
        <v>202</v>
      </c>
      <c r="K89" s="34" t="s">
        <v>203</v>
      </c>
      <c r="L89" s="33" t="s">
        <v>28</v>
      </c>
      <c r="M89" s="16" t="s">
        <v>31</v>
      </c>
      <c r="N89" s="53">
        <v>540</v>
      </c>
      <c r="O89" s="58" t="s">
        <v>291</v>
      </c>
      <c r="P89" s="47" t="str">
        <f t="shared" si="6"/>
        <v>23</v>
      </c>
      <c r="Q89" s="19" t="str">
        <f t="shared" si="7"/>
        <v>07</v>
      </c>
      <c r="R89" s="19" t="s">
        <v>25</v>
      </c>
      <c r="S89" s="19" t="s">
        <v>101</v>
      </c>
      <c r="T89" s="22" t="s">
        <v>31</v>
      </c>
      <c r="U89" s="16" t="s">
        <v>205</v>
      </c>
      <c r="V89" s="16" t="s">
        <v>93</v>
      </c>
      <c r="W89" s="14">
        <v>45998</v>
      </c>
      <c r="X89" s="16">
        <f t="shared" si="8"/>
        <v>25</v>
      </c>
      <c r="Y89" s="16"/>
      <c r="Z89" s="16"/>
      <c r="AA89" s="16"/>
      <c r="AB89" s="10" t="str">
        <f t="shared" si="9"/>
        <v>Closed in Dec</v>
      </c>
    </row>
    <row r="90" spans="1:28" x14ac:dyDescent="0.25">
      <c r="A90" s="14">
        <v>45973</v>
      </c>
      <c r="B90" s="15">
        <v>2025</v>
      </c>
      <c r="C90" s="24" t="s">
        <v>21</v>
      </c>
      <c r="D90" s="15" t="s">
        <v>194</v>
      </c>
      <c r="E90" s="34" t="s">
        <v>133</v>
      </c>
      <c r="F90" s="16" t="s">
        <v>60</v>
      </c>
      <c r="G90" s="9" t="s">
        <v>196</v>
      </c>
      <c r="H90" s="21">
        <v>9033920684</v>
      </c>
      <c r="I90" s="16"/>
      <c r="J90" s="17" t="s">
        <v>202</v>
      </c>
      <c r="K90" s="34" t="s">
        <v>203</v>
      </c>
      <c r="L90" s="33" t="s">
        <v>28</v>
      </c>
      <c r="M90" s="16" t="s">
        <v>31</v>
      </c>
      <c r="N90" s="53">
        <v>540</v>
      </c>
      <c r="O90" s="58" t="s">
        <v>292</v>
      </c>
      <c r="P90" s="47" t="str">
        <f t="shared" si="6"/>
        <v>23</v>
      </c>
      <c r="Q90" s="19" t="str">
        <f t="shared" si="7"/>
        <v>07</v>
      </c>
      <c r="R90" s="19" t="s">
        <v>25</v>
      </c>
      <c r="S90" s="19" t="s">
        <v>101</v>
      </c>
      <c r="T90" s="22" t="s">
        <v>31</v>
      </c>
      <c r="U90" s="16" t="s">
        <v>205</v>
      </c>
      <c r="V90" s="16" t="s">
        <v>93</v>
      </c>
      <c r="W90" s="14">
        <v>45998</v>
      </c>
      <c r="X90" s="16">
        <f t="shared" si="8"/>
        <v>25</v>
      </c>
      <c r="Y90" s="16"/>
      <c r="Z90" s="16"/>
      <c r="AA90" s="16"/>
      <c r="AB90" s="10" t="str">
        <f t="shared" si="9"/>
        <v>Closed in Dec</v>
      </c>
    </row>
    <row r="91" spans="1:28" x14ac:dyDescent="0.25">
      <c r="A91" s="14">
        <v>45973</v>
      </c>
      <c r="B91" s="15">
        <v>2025</v>
      </c>
      <c r="C91" s="24" t="s">
        <v>21</v>
      </c>
      <c r="D91" s="15" t="s">
        <v>194</v>
      </c>
      <c r="E91" s="34" t="s">
        <v>133</v>
      </c>
      <c r="F91" s="16" t="s">
        <v>60</v>
      </c>
      <c r="G91" s="9" t="s">
        <v>196</v>
      </c>
      <c r="H91" s="21">
        <v>9033920684</v>
      </c>
      <c r="I91" s="16"/>
      <c r="J91" s="17" t="s">
        <v>202</v>
      </c>
      <c r="K91" s="34" t="s">
        <v>203</v>
      </c>
      <c r="L91" s="33" t="s">
        <v>28</v>
      </c>
      <c r="M91" s="16" t="s">
        <v>31</v>
      </c>
      <c r="N91" s="53">
        <v>540</v>
      </c>
      <c r="O91" s="58" t="s">
        <v>293</v>
      </c>
      <c r="P91" s="47" t="str">
        <f t="shared" si="6"/>
        <v>23</v>
      </c>
      <c r="Q91" s="19" t="str">
        <f t="shared" si="7"/>
        <v>07</v>
      </c>
      <c r="R91" s="19" t="s">
        <v>25</v>
      </c>
      <c r="S91" s="19" t="s">
        <v>101</v>
      </c>
      <c r="T91" s="22" t="s">
        <v>31</v>
      </c>
      <c r="U91" s="16" t="s">
        <v>205</v>
      </c>
      <c r="V91" s="16" t="s">
        <v>93</v>
      </c>
      <c r="W91" s="14">
        <v>45998</v>
      </c>
      <c r="X91" s="16">
        <f t="shared" si="8"/>
        <v>25</v>
      </c>
      <c r="Y91" s="16"/>
      <c r="Z91" s="16"/>
      <c r="AA91" s="16"/>
      <c r="AB91" s="10" t="str">
        <f t="shared" si="9"/>
        <v>Closed in Dec</v>
      </c>
    </row>
    <row r="92" spans="1:28" x14ac:dyDescent="0.25">
      <c r="A92" s="14">
        <v>45973</v>
      </c>
      <c r="B92" s="15">
        <v>2025</v>
      </c>
      <c r="C92" s="24" t="s">
        <v>21</v>
      </c>
      <c r="D92" s="15" t="s">
        <v>194</v>
      </c>
      <c r="E92" s="34" t="s">
        <v>133</v>
      </c>
      <c r="F92" s="16" t="s">
        <v>60</v>
      </c>
      <c r="G92" s="9" t="s">
        <v>196</v>
      </c>
      <c r="H92" s="21">
        <v>9033920684</v>
      </c>
      <c r="I92" s="16"/>
      <c r="J92" s="17" t="s">
        <v>202</v>
      </c>
      <c r="K92" s="34" t="s">
        <v>203</v>
      </c>
      <c r="L92" s="33" t="s">
        <v>28</v>
      </c>
      <c r="M92" s="16" t="s">
        <v>31</v>
      </c>
      <c r="N92" s="53">
        <v>540</v>
      </c>
      <c r="O92" s="58" t="s">
        <v>294</v>
      </c>
      <c r="P92" s="47" t="str">
        <f t="shared" si="6"/>
        <v>23</v>
      </c>
      <c r="Q92" s="19" t="str">
        <f t="shared" si="7"/>
        <v>07</v>
      </c>
      <c r="R92" s="19" t="s">
        <v>25</v>
      </c>
      <c r="S92" s="19" t="s">
        <v>101</v>
      </c>
      <c r="T92" s="22" t="s">
        <v>31</v>
      </c>
      <c r="U92" s="16" t="s">
        <v>205</v>
      </c>
      <c r="V92" s="16" t="s">
        <v>93</v>
      </c>
      <c r="W92" s="14">
        <v>45998</v>
      </c>
      <c r="X92" s="16">
        <f t="shared" si="8"/>
        <v>25</v>
      </c>
      <c r="Y92" s="16"/>
      <c r="Z92" s="16"/>
      <c r="AA92" s="16"/>
      <c r="AB92" s="10" t="str">
        <f t="shared" si="9"/>
        <v>Closed in Dec</v>
      </c>
    </row>
    <row r="93" spans="1:28" x14ac:dyDescent="0.25">
      <c r="A93" s="14">
        <v>45973</v>
      </c>
      <c r="B93" s="15">
        <v>2025</v>
      </c>
      <c r="C93" s="24" t="s">
        <v>21</v>
      </c>
      <c r="D93" s="15" t="s">
        <v>194</v>
      </c>
      <c r="E93" s="34" t="s">
        <v>133</v>
      </c>
      <c r="F93" s="16" t="s">
        <v>60</v>
      </c>
      <c r="G93" s="9" t="s">
        <v>196</v>
      </c>
      <c r="H93" s="21">
        <v>9033920684</v>
      </c>
      <c r="I93" s="16"/>
      <c r="J93" s="17" t="s">
        <v>202</v>
      </c>
      <c r="K93" s="34" t="s">
        <v>203</v>
      </c>
      <c r="L93" s="33" t="s">
        <v>28</v>
      </c>
      <c r="M93" s="16" t="s">
        <v>31</v>
      </c>
      <c r="N93" s="53">
        <v>540</v>
      </c>
      <c r="O93" s="58" t="s">
        <v>295</v>
      </c>
      <c r="P93" s="47" t="str">
        <f t="shared" si="6"/>
        <v>23</v>
      </c>
      <c r="Q93" s="19" t="str">
        <f t="shared" si="7"/>
        <v>07</v>
      </c>
      <c r="R93" s="19" t="s">
        <v>25</v>
      </c>
      <c r="S93" s="19" t="s">
        <v>101</v>
      </c>
      <c r="T93" s="22" t="s">
        <v>31</v>
      </c>
      <c r="U93" s="16" t="s">
        <v>205</v>
      </c>
      <c r="V93" s="16" t="s">
        <v>93</v>
      </c>
      <c r="W93" s="14">
        <v>45998</v>
      </c>
      <c r="X93" s="16">
        <f t="shared" si="8"/>
        <v>25</v>
      </c>
      <c r="Y93" s="16"/>
      <c r="Z93" s="16"/>
      <c r="AA93" s="16"/>
      <c r="AB93" s="10" t="str">
        <f t="shared" si="9"/>
        <v>Closed in Dec</v>
      </c>
    </row>
    <row r="94" spans="1:28" x14ac:dyDescent="0.25">
      <c r="A94" s="14">
        <v>45973</v>
      </c>
      <c r="B94" s="15">
        <v>2025</v>
      </c>
      <c r="C94" s="24" t="s">
        <v>21</v>
      </c>
      <c r="D94" s="15" t="s">
        <v>194</v>
      </c>
      <c r="E94" s="34" t="s">
        <v>133</v>
      </c>
      <c r="F94" s="16" t="s">
        <v>60</v>
      </c>
      <c r="G94" s="9" t="s">
        <v>196</v>
      </c>
      <c r="H94" s="21">
        <v>9033920684</v>
      </c>
      <c r="I94" s="16"/>
      <c r="J94" s="17" t="s">
        <v>202</v>
      </c>
      <c r="K94" s="34" t="s">
        <v>203</v>
      </c>
      <c r="L94" s="33" t="s">
        <v>28</v>
      </c>
      <c r="M94" s="16" t="s">
        <v>31</v>
      </c>
      <c r="N94" s="53">
        <v>540</v>
      </c>
      <c r="O94" s="58" t="s">
        <v>296</v>
      </c>
      <c r="P94" s="47" t="str">
        <f t="shared" si="6"/>
        <v>23</v>
      </c>
      <c r="Q94" s="19" t="str">
        <f t="shared" si="7"/>
        <v>07</v>
      </c>
      <c r="R94" s="19" t="s">
        <v>25</v>
      </c>
      <c r="S94" s="19" t="s">
        <v>101</v>
      </c>
      <c r="T94" s="22" t="s">
        <v>31</v>
      </c>
      <c r="U94" s="16" t="s">
        <v>205</v>
      </c>
      <c r="V94" s="16" t="s">
        <v>93</v>
      </c>
      <c r="W94" s="14">
        <v>45998</v>
      </c>
      <c r="X94" s="16">
        <f t="shared" si="8"/>
        <v>25</v>
      </c>
      <c r="Y94" s="16"/>
      <c r="Z94" s="16"/>
      <c r="AA94" s="16"/>
      <c r="AB94" s="10" t="str">
        <f t="shared" si="9"/>
        <v>Closed in Dec</v>
      </c>
    </row>
    <row r="95" spans="1:28" x14ac:dyDescent="0.25">
      <c r="A95" s="14">
        <v>45973</v>
      </c>
      <c r="B95" s="15">
        <v>2025</v>
      </c>
      <c r="C95" s="24" t="s">
        <v>21</v>
      </c>
      <c r="D95" s="15" t="s">
        <v>194</v>
      </c>
      <c r="E95" s="34" t="s">
        <v>133</v>
      </c>
      <c r="F95" s="16" t="s">
        <v>60</v>
      </c>
      <c r="G95" s="9" t="s">
        <v>196</v>
      </c>
      <c r="H95" s="21">
        <v>9033920684</v>
      </c>
      <c r="I95" s="16"/>
      <c r="J95" s="17" t="s">
        <v>202</v>
      </c>
      <c r="K95" s="34" t="s">
        <v>203</v>
      </c>
      <c r="L95" s="33" t="s">
        <v>28</v>
      </c>
      <c r="M95" s="16" t="s">
        <v>31</v>
      </c>
      <c r="N95" s="53">
        <v>540</v>
      </c>
      <c r="O95" s="58" t="s">
        <v>297</v>
      </c>
      <c r="P95" s="47" t="str">
        <f t="shared" si="6"/>
        <v>23</v>
      </c>
      <c r="Q95" s="19" t="str">
        <f t="shared" si="7"/>
        <v>07</v>
      </c>
      <c r="R95" s="19" t="s">
        <v>25</v>
      </c>
      <c r="S95" s="19" t="s">
        <v>101</v>
      </c>
      <c r="T95" s="22" t="s">
        <v>31</v>
      </c>
      <c r="U95" s="16" t="s">
        <v>205</v>
      </c>
      <c r="V95" s="16" t="s">
        <v>93</v>
      </c>
      <c r="W95" s="14">
        <v>45998</v>
      </c>
      <c r="X95" s="16">
        <f t="shared" si="8"/>
        <v>25</v>
      </c>
      <c r="Y95" s="16"/>
      <c r="Z95" s="16"/>
      <c r="AA95" s="16"/>
      <c r="AB95" s="10" t="str">
        <f t="shared" si="9"/>
        <v>Closed in Dec</v>
      </c>
    </row>
    <row r="96" spans="1:28" x14ac:dyDescent="0.25">
      <c r="A96" s="14">
        <v>45973</v>
      </c>
      <c r="B96" s="15">
        <v>2025</v>
      </c>
      <c r="C96" s="24" t="s">
        <v>21</v>
      </c>
      <c r="D96" s="15" t="s">
        <v>194</v>
      </c>
      <c r="E96" s="34" t="s">
        <v>133</v>
      </c>
      <c r="F96" s="16" t="s">
        <v>60</v>
      </c>
      <c r="G96" s="9" t="s">
        <v>196</v>
      </c>
      <c r="H96" s="21">
        <v>9033920684</v>
      </c>
      <c r="I96" s="16"/>
      <c r="J96" s="17" t="s">
        <v>202</v>
      </c>
      <c r="K96" s="34" t="s">
        <v>203</v>
      </c>
      <c r="L96" s="33" t="s">
        <v>28</v>
      </c>
      <c r="M96" s="16" t="s">
        <v>31</v>
      </c>
      <c r="N96" s="53">
        <v>540</v>
      </c>
      <c r="O96" s="58" t="s">
        <v>298</v>
      </c>
      <c r="P96" s="47" t="str">
        <f t="shared" si="6"/>
        <v>23</v>
      </c>
      <c r="Q96" s="19" t="str">
        <f t="shared" si="7"/>
        <v>07</v>
      </c>
      <c r="R96" s="19" t="s">
        <v>25</v>
      </c>
      <c r="S96" s="19" t="s">
        <v>101</v>
      </c>
      <c r="T96" s="22" t="s">
        <v>31</v>
      </c>
      <c r="U96" s="16" t="s">
        <v>205</v>
      </c>
      <c r="V96" s="16" t="s">
        <v>93</v>
      </c>
      <c r="W96" s="14">
        <v>45998</v>
      </c>
      <c r="X96" s="16">
        <f t="shared" si="8"/>
        <v>25</v>
      </c>
      <c r="Y96" s="16"/>
      <c r="Z96" s="16"/>
      <c r="AA96" s="16"/>
      <c r="AB96" s="10" t="str">
        <f t="shared" si="9"/>
        <v>Closed in Dec</v>
      </c>
    </row>
    <row r="97" spans="1:28" x14ac:dyDescent="0.25">
      <c r="A97" s="14">
        <v>45973</v>
      </c>
      <c r="B97" s="15">
        <v>2025</v>
      </c>
      <c r="C97" s="24" t="s">
        <v>21</v>
      </c>
      <c r="D97" s="15" t="s">
        <v>194</v>
      </c>
      <c r="E97" s="34" t="s">
        <v>133</v>
      </c>
      <c r="F97" s="16" t="s">
        <v>60</v>
      </c>
      <c r="G97" s="9" t="s">
        <v>196</v>
      </c>
      <c r="H97" s="21">
        <v>9033920684</v>
      </c>
      <c r="I97" s="16"/>
      <c r="J97" s="17" t="s">
        <v>202</v>
      </c>
      <c r="K97" s="34" t="s">
        <v>203</v>
      </c>
      <c r="L97" s="33" t="s">
        <v>28</v>
      </c>
      <c r="M97" s="16" t="s">
        <v>31</v>
      </c>
      <c r="N97" s="53">
        <v>540</v>
      </c>
      <c r="O97" s="58" t="s">
        <v>299</v>
      </c>
      <c r="P97" s="47" t="str">
        <f t="shared" si="6"/>
        <v>23</v>
      </c>
      <c r="Q97" s="19" t="str">
        <f t="shared" si="7"/>
        <v>07</v>
      </c>
      <c r="R97" s="19" t="s">
        <v>25</v>
      </c>
      <c r="S97" s="19" t="s">
        <v>101</v>
      </c>
      <c r="T97" s="22" t="s">
        <v>31</v>
      </c>
      <c r="U97" s="16" t="s">
        <v>205</v>
      </c>
      <c r="V97" s="16" t="s">
        <v>93</v>
      </c>
      <c r="W97" s="14">
        <v>45998</v>
      </c>
      <c r="X97" s="16">
        <f t="shared" si="8"/>
        <v>25</v>
      </c>
      <c r="Y97" s="16"/>
      <c r="Z97" s="16"/>
      <c r="AA97" s="16"/>
      <c r="AB97" s="10" t="str">
        <f t="shared" si="9"/>
        <v>Closed in Dec</v>
      </c>
    </row>
    <row r="98" spans="1:28" x14ac:dyDescent="0.25">
      <c r="A98" s="14">
        <v>45973</v>
      </c>
      <c r="B98" s="15">
        <v>2025</v>
      </c>
      <c r="C98" s="24" t="s">
        <v>21</v>
      </c>
      <c r="D98" s="15" t="s">
        <v>194</v>
      </c>
      <c r="E98" s="34" t="s">
        <v>133</v>
      </c>
      <c r="F98" s="16" t="s">
        <v>60</v>
      </c>
      <c r="G98" s="9" t="s">
        <v>196</v>
      </c>
      <c r="H98" s="21">
        <v>9033920684</v>
      </c>
      <c r="I98" s="16"/>
      <c r="J98" s="17" t="s">
        <v>202</v>
      </c>
      <c r="K98" s="34" t="s">
        <v>203</v>
      </c>
      <c r="L98" s="33" t="s">
        <v>28</v>
      </c>
      <c r="M98" s="16" t="s">
        <v>31</v>
      </c>
      <c r="N98" s="53">
        <v>540</v>
      </c>
      <c r="O98" s="58" t="s">
        <v>300</v>
      </c>
      <c r="P98" s="47" t="str">
        <f t="shared" ref="P98:P99" si="10">MID(O98,5,2)</f>
        <v>23</v>
      </c>
      <c r="Q98" s="19" t="str">
        <f t="shared" si="7"/>
        <v>07</v>
      </c>
      <c r="R98" s="19" t="s">
        <v>25</v>
      </c>
      <c r="S98" s="19" t="s">
        <v>101</v>
      </c>
      <c r="T98" s="22" t="s">
        <v>31</v>
      </c>
      <c r="U98" s="16" t="s">
        <v>205</v>
      </c>
      <c r="V98" s="16" t="s">
        <v>93</v>
      </c>
      <c r="W98" s="14">
        <v>45998</v>
      </c>
      <c r="X98" s="16">
        <f t="shared" si="8"/>
        <v>25</v>
      </c>
      <c r="Y98" s="16"/>
      <c r="Z98" s="16"/>
      <c r="AA98" s="16"/>
      <c r="AB98" s="10" t="str">
        <f t="shared" si="9"/>
        <v>Closed in Dec</v>
      </c>
    </row>
    <row r="99" spans="1:28" x14ac:dyDescent="0.25">
      <c r="A99" s="14">
        <v>45973</v>
      </c>
      <c r="B99" s="15">
        <v>2025</v>
      </c>
      <c r="C99" s="24" t="s">
        <v>21</v>
      </c>
      <c r="D99" s="15" t="s">
        <v>194</v>
      </c>
      <c r="E99" s="34" t="s">
        <v>133</v>
      </c>
      <c r="F99" s="16" t="s">
        <v>60</v>
      </c>
      <c r="G99" s="9" t="s">
        <v>196</v>
      </c>
      <c r="H99" s="21">
        <v>9033920684</v>
      </c>
      <c r="I99" s="16"/>
      <c r="J99" s="17" t="s">
        <v>202</v>
      </c>
      <c r="K99" s="34" t="s">
        <v>203</v>
      </c>
      <c r="L99" s="33" t="s">
        <v>28</v>
      </c>
      <c r="M99" s="16" t="s">
        <v>31</v>
      </c>
      <c r="N99" s="53">
        <v>540</v>
      </c>
      <c r="O99" s="58" t="s">
        <v>301</v>
      </c>
      <c r="P99" s="47" t="str">
        <f t="shared" si="10"/>
        <v>23</v>
      </c>
      <c r="Q99" s="19" t="str">
        <f t="shared" si="7"/>
        <v>07</v>
      </c>
      <c r="R99" s="19" t="s">
        <v>25</v>
      </c>
      <c r="S99" s="19" t="s">
        <v>101</v>
      </c>
      <c r="T99" s="22" t="s">
        <v>31</v>
      </c>
      <c r="U99" s="16" t="s">
        <v>205</v>
      </c>
      <c r="V99" s="16" t="s">
        <v>93</v>
      </c>
      <c r="W99" s="14">
        <v>45998</v>
      </c>
      <c r="X99" s="16">
        <f t="shared" si="8"/>
        <v>25</v>
      </c>
      <c r="Y99" s="16"/>
      <c r="Z99" s="16"/>
      <c r="AA99" s="16"/>
      <c r="AB99" s="10" t="str">
        <f t="shared" si="9"/>
        <v>Closed in Dec</v>
      </c>
    </row>
    <row r="100" spans="1:28" x14ac:dyDescent="0.25">
      <c r="A100" s="14">
        <v>45923</v>
      </c>
      <c r="B100" s="15">
        <v>2025</v>
      </c>
      <c r="C100" s="9" t="s">
        <v>302</v>
      </c>
      <c r="D100" s="15" t="s">
        <v>194</v>
      </c>
      <c r="E100" s="16"/>
      <c r="F100" s="16" t="s">
        <v>60</v>
      </c>
      <c r="G100" s="9" t="s">
        <v>303</v>
      </c>
      <c r="H100" s="9">
        <v>7902222180</v>
      </c>
      <c r="I100" s="16"/>
      <c r="J100" s="9" t="s">
        <v>304</v>
      </c>
      <c r="K100" s="9" t="s">
        <v>142</v>
      </c>
      <c r="L100" s="33" t="s">
        <v>28</v>
      </c>
      <c r="M100" s="16" t="s">
        <v>29</v>
      </c>
      <c r="N100" s="53">
        <v>545</v>
      </c>
      <c r="O100" s="59" t="s">
        <v>305</v>
      </c>
      <c r="P100" s="47" t="s">
        <v>135</v>
      </c>
      <c r="Q100" s="19" t="s">
        <v>135</v>
      </c>
      <c r="R100" s="19"/>
      <c r="S100" s="19"/>
      <c r="T100" s="9" t="s">
        <v>143</v>
      </c>
      <c r="U100" s="9" t="s">
        <v>143</v>
      </c>
      <c r="V100" s="16" t="s">
        <v>93</v>
      </c>
      <c r="W100" s="14">
        <v>45999</v>
      </c>
      <c r="X100" s="16">
        <f t="shared" si="8"/>
        <v>76</v>
      </c>
      <c r="Y100" s="16"/>
      <c r="Z100" s="16"/>
      <c r="AA100" s="16"/>
      <c r="AB100" s="10" t="str">
        <f t="shared" si="9"/>
        <v>Closed in Dec</v>
      </c>
    </row>
    <row r="101" spans="1:28" x14ac:dyDescent="0.25">
      <c r="A101" s="14">
        <v>45996</v>
      </c>
      <c r="B101" s="15">
        <v>2025</v>
      </c>
      <c r="C101" s="10" t="s">
        <v>77</v>
      </c>
      <c r="D101" s="15" t="s">
        <v>194</v>
      </c>
      <c r="E101" s="16"/>
      <c r="F101" s="16" t="s">
        <v>60</v>
      </c>
      <c r="G101" s="9" t="s">
        <v>306</v>
      </c>
      <c r="H101" s="20">
        <v>7719846027</v>
      </c>
      <c r="I101" s="16"/>
      <c r="J101" s="9" t="s">
        <v>197</v>
      </c>
      <c r="K101" s="16" t="s">
        <v>141</v>
      </c>
      <c r="L101" s="25" t="s">
        <v>40</v>
      </c>
      <c r="M101" s="16" t="s">
        <v>33</v>
      </c>
      <c r="N101" s="54">
        <v>445</v>
      </c>
      <c r="O101" s="60" t="s">
        <v>307</v>
      </c>
      <c r="P101" s="47" t="str">
        <f>MID(O101,5,2)</f>
        <v>22</v>
      </c>
      <c r="Q101" s="19" t="str">
        <f>MID(O101,7,2)</f>
        <v>03</v>
      </c>
      <c r="R101" s="19" t="s">
        <v>25</v>
      </c>
      <c r="S101" s="19" t="s">
        <v>101</v>
      </c>
      <c r="T101" s="9" t="s">
        <v>33</v>
      </c>
      <c r="U101" s="15" t="s">
        <v>308</v>
      </c>
      <c r="V101" s="16" t="s">
        <v>93</v>
      </c>
      <c r="W101" s="14">
        <v>45999</v>
      </c>
      <c r="X101" s="16">
        <f t="shared" si="8"/>
        <v>3</v>
      </c>
      <c r="Y101" s="16"/>
      <c r="Z101" s="16"/>
      <c r="AA101" s="16"/>
      <c r="AB101" s="10" t="str">
        <f t="shared" si="9"/>
        <v>Closed in Dec</v>
      </c>
    </row>
    <row r="102" spans="1:28" x14ac:dyDescent="0.25">
      <c r="A102" s="14">
        <v>45994</v>
      </c>
      <c r="B102" s="15">
        <v>2025</v>
      </c>
      <c r="C102" s="10" t="s">
        <v>77</v>
      </c>
      <c r="D102" s="15" t="s">
        <v>194</v>
      </c>
      <c r="E102" s="16"/>
      <c r="F102" s="16" t="s">
        <v>60</v>
      </c>
      <c r="G102" s="9" t="s">
        <v>306</v>
      </c>
      <c r="H102" s="20">
        <v>7719846027</v>
      </c>
      <c r="I102" s="16"/>
      <c r="J102" s="9" t="s">
        <v>197</v>
      </c>
      <c r="K102" s="16" t="s">
        <v>141</v>
      </c>
      <c r="L102" s="25" t="s">
        <v>40</v>
      </c>
      <c r="M102" s="16" t="s">
        <v>29</v>
      </c>
      <c r="N102" s="53">
        <v>545</v>
      </c>
      <c r="O102" s="60" t="s">
        <v>309</v>
      </c>
      <c r="P102" s="47" t="str">
        <f>MID(O102,5,2)</f>
        <v>22</v>
      </c>
      <c r="Q102" s="19" t="str">
        <f>MID(O102,7,2)</f>
        <v>11</v>
      </c>
      <c r="R102" s="19" t="s">
        <v>25</v>
      </c>
      <c r="S102" s="19" t="s">
        <v>101</v>
      </c>
      <c r="T102" s="22" t="s">
        <v>31</v>
      </c>
      <c r="U102" s="16" t="s">
        <v>310</v>
      </c>
      <c r="V102" s="16" t="s">
        <v>93</v>
      </c>
      <c r="W102" s="14">
        <v>45999</v>
      </c>
      <c r="X102" s="16">
        <f t="shared" si="8"/>
        <v>5</v>
      </c>
      <c r="Y102" s="16"/>
      <c r="Z102" s="16"/>
      <c r="AA102" s="16"/>
      <c r="AB102" s="10" t="str">
        <f t="shared" si="9"/>
        <v>Closed in Dec</v>
      </c>
    </row>
    <row r="103" spans="1:28" x14ac:dyDescent="0.25">
      <c r="A103" s="14">
        <v>45994</v>
      </c>
      <c r="B103" s="15">
        <v>2025</v>
      </c>
      <c r="C103" s="10" t="s">
        <v>77</v>
      </c>
      <c r="D103" s="15" t="s">
        <v>194</v>
      </c>
      <c r="E103" s="16"/>
      <c r="F103" s="16" t="s">
        <v>60</v>
      </c>
      <c r="G103" s="9" t="s">
        <v>306</v>
      </c>
      <c r="H103" s="20">
        <v>7719846027</v>
      </c>
      <c r="I103" s="16"/>
      <c r="J103" s="9" t="s">
        <v>197</v>
      </c>
      <c r="K103" s="16" t="s">
        <v>141</v>
      </c>
      <c r="L103" s="25" t="s">
        <v>40</v>
      </c>
      <c r="M103" s="16" t="s">
        <v>29</v>
      </c>
      <c r="N103" s="53">
        <v>545</v>
      </c>
      <c r="O103" s="60" t="s">
        <v>311</v>
      </c>
      <c r="P103" s="47" t="str">
        <f>MID(O103,5,2)</f>
        <v>22</v>
      </c>
      <c r="Q103" s="19" t="str">
        <f>MID(O103,7,2)</f>
        <v>11</v>
      </c>
      <c r="R103" s="19" t="s">
        <v>25</v>
      </c>
      <c r="S103" s="19" t="s">
        <v>101</v>
      </c>
      <c r="T103" s="22" t="s">
        <v>31</v>
      </c>
      <c r="U103" s="16" t="s">
        <v>310</v>
      </c>
      <c r="V103" s="16" t="s">
        <v>93</v>
      </c>
      <c r="W103" s="14">
        <v>45999</v>
      </c>
      <c r="X103" s="16">
        <f t="shared" si="8"/>
        <v>5</v>
      </c>
      <c r="Y103" s="16"/>
      <c r="Z103" s="16"/>
      <c r="AA103" s="16"/>
      <c r="AB103" s="10" t="str">
        <f t="shared" si="9"/>
        <v>Closed in Dec</v>
      </c>
    </row>
    <row r="104" spans="1:28" x14ac:dyDescent="0.25">
      <c r="A104" s="14">
        <v>45994</v>
      </c>
      <c r="B104" s="15">
        <v>2025</v>
      </c>
      <c r="C104" s="10" t="s">
        <v>77</v>
      </c>
      <c r="D104" s="15" t="s">
        <v>194</v>
      </c>
      <c r="E104" s="16"/>
      <c r="F104" s="16" t="s">
        <v>60</v>
      </c>
      <c r="G104" s="9" t="s">
        <v>306</v>
      </c>
      <c r="H104" s="20">
        <v>7719846027</v>
      </c>
      <c r="I104" s="16"/>
      <c r="J104" s="9" t="s">
        <v>197</v>
      </c>
      <c r="K104" s="16" t="s">
        <v>141</v>
      </c>
      <c r="L104" s="25" t="s">
        <v>40</v>
      </c>
      <c r="M104" s="16" t="s">
        <v>29</v>
      </c>
      <c r="N104" s="53">
        <v>545</v>
      </c>
      <c r="O104" s="60" t="s">
        <v>312</v>
      </c>
      <c r="P104" s="47" t="str">
        <f>MID(O104,5,2)</f>
        <v>22</v>
      </c>
      <c r="Q104" s="19" t="str">
        <f>MID(O104,7,2)</f>
        <v>11</v>
      </c>
      <c r="R104" s="19" t="s">
        <v>25</v>
      </c>
      <c r="S104" s="19" t="s">
        <v>101</v>
      </c>
      <c r="T104" s="22" t="s">
        <v>31</v>
      </c>
      <c r="U104" s="16" t="s">
        <v>310</v>
      </c>
      <c r="V104" s="16" t="s">
        <v>93</v>
      </c>
      <c r="W104" s="14">
        <v>45999</v>
      </c>
      <c r="X104" s="16">
        <f t="shared" si="8"/>
        <v>5</v>
      </c>
      <c r="Y104" s="16"/>
      <c r="Z104" s="16"/>
      <c r="AA104" s="16"/>
      <c r="AB104" s="10" t="str">
        <f t="shared" si="9"/>
        <v>Closed in Dec</v>
      </c>
    </row>
    <row r="105" spans="1:28" x14ac:dyDescent="0.25">
      <c r="A105" s="14">
        <v>45996</v>
      </c>
      <c r="B105" s="15">
        <v>2025</v>
      </c>
      <c r="C105" s="10" t="s">
        <v>77</v>
      </c>
      <c r="D105" s="15" t="s">
        <v>194</v>
      </c>
      <c r="E105" s="16"/>
      <c r="F105" s="16" t="s">
        <v>60</v>
      </c>
      <c r="G105" s="9" t="s">
        <v>306</v>
      </c>
      <c r="H105" s="20">
        <v>7719846027</v>
      </c>
      <c r="I105" s="16"/>
      <c r="J105" s="9" t="s">
        <v>197</v>
      </c>
      <c r="K105" s="8" t="s">
        <v>137</v>
      </c>
      <c r="L105" s="16" t="s">
        <v>38</v>
      </c>
      <c r="M105" s="16" t="s">
        <v>29</v>
      </c>
      <c r="N105" s="53">
        <v>535</v>
      </c>
      <c r="O105" s="59" t="s">
        <v>313</v>
      </c>
      <c r="P105" s="47">
        <v>23</v>
      </c>
      <c r="Q105" s="19" t="str">
        <f>MID(O105,9,2)</f>
        <v>05</v>
      </c>
      <c r="R105" s="19" t="s">
        <v>25</v>
      </c>
      <c r="S105" s="19" t="s">
        <v>101</v>
      </c>
      <c r="T105" s="22" t="s">
        <v>31</v>
      </c>
      <c r="U105" s="16" t="s">
        <v>314</v>
      </c>
      <c r="V105" s="16" t="s">
        <v>93</v>
      </c>
      <c r="W105" s="14">
        <v>45999</v>
      </c>
      <c r="X105" s="16">
        <f t="shared" si="8"/>
        <v>3</v>
      </c>
      <c r="Y105" s="16"/>
      <c r="Z105" s="16"/>
      <c r="AA105" s="16"/>
      <c r="AB105" s="10" t="str">
        <f t="shared" si="9"/>
        <v>Closed in Dec</v>
      </c>
    </row>
    <row r="106" spans="1:28" x14ac:dyDescent="0.25">
      <c r="A106" s="14">
        <v>45999</v>
      </c>
      <c r="B106" s="26">
        <v>2025</v>
      </c>
      <c r="C106" s="9" t="s">
        <v>15</v>
      </c>
      <c r="D106" s="26" t="s">
        <v>315</v>
      </c>
      <c r="E106" s="16"/>
      <c r="F106" s="16" t="s">
        <v>60</v>
      </c>
      <c r="G106" s="35" t="s">
        <v>316</v>
      </c>
      <c r="H106" s="35">
        <v>9972197300</v>
      </c>
      <c r="I106" s="16"/>
      <c r="J106" s="9" t="s">
        <v>317</v>
      </c>
      <c r="K106" s="16" t="s">
        <v>153</v>
      </c>
      <c r="L106" s="9" t="s">
        <v>28</v>
      </c>
      <c r="M106" s="8" t="s">
        <v>116</v>
      </c>
      <c r="N106" s="55">
        <v>580</v>
      </c>
      <c r="O106" s="58" t="s">
        <v>318</v>
      </c>
      <c r="P106" s="47" t="str">
        <f t="shared" ref="P106:P137" si="11">MID(O106,5,2)</f>
        <v>25</v>
      </c>
      <c r="Q106" s="19" t="str">
        <f t="shared" ref="Q106:Q137" si="12">MID(O106,7,2)</f>
        <v>04</v>
      </c>
      <c r="R106" s="19" t="s">
        <v>27</v>
      </c>
      <c r="S106" s="19" t="s">
        <v>100</v>
      </c>
      <c r="T106" s="15" t="s">
        <v>31</v>
      </c>
      <c r="U106" s="15" t="s">
        <v>319</v>
      </c>
      <c r="V106" s="16" t="s">
        <v>93</v>
      </c>
      <c r="W106" s="36">
        <v>46003</v>
      </c>
      <c r="X106" s="16">
        <f t="shared" si="8"/>
        <v>4</v>
      </c>
      <c r="Y106" s="16"/>
      <c r="Z106" s="16"/>
      <c r="AA106" s="16"/>
      <c r="AB106" s="10" t="str">
        <f t="shared" si="9"/>
        <v>Closed in Dec</v>
      </c>
    </row>
    <row r="107" spans="1:28" x14ac:dyDescent="0.25">
      <c r="A107" s="14">
        <v>45999</v>
      </c>
      <c r="B107" s="26">
        <v>2025</v>
      </c>
      <c r="C107" s="9" t="s">
        <v>15</v>
      </c>
      <c r="D107" s="26" t="s">
        <v>315</v>
      </c>
      <c r="E107" s="16"/>
      <c r="F107" s="16" t="s">
        <v>60</v>
      </c>
      <c r="G107" s="35" t="s">
        <v>316</v>
      </c>
      <c r="H107" s="35">
        <v>9972197300</v>
      </c>
      <c r="I107" s="16"/>
      <c r="J107" s="9" t="s">
        <v>317</v>
      </c>
      <c r="K107" s="16" t="s">
        <v>153</v>
      </c>
      <c r="L107" s="9" t="s">
        <v>28</v>
      </c>
      <c r="M107" s="8" t="s">
        <v>116</v>
      </c>
      <c r="N107" s="55">
        <v>580</v>
      </c>
      <c r="O107" s="58" t="s">
        <v>320</v>
      </c>
      <c r="P107" s="47" t="str">
        <f t="shared" si="11"/>
        <v>25</v>
      </c>
      <c r="Q107" s="19" t="str">
        <f t="shared" si="12"/>
        <v>04</v>
      </c>
      <c r="R107" s="19" t="s">
        <v>27</v>
      </c>
      <c r="S107" s="19" t="s">
        <v>100</v>
      </c>
      <c r="T107" s="15" t="s">
        <v>31</v>
      </c>
      <c r="U107" s="15" t="s">
        <v>319</v>
      </c>
      <c r="V107" s="16" t="s">
        <v>93</v>
      </c>
      <c r="W107" s="36">
        <v>46003</v>
      </c>
      <c r="X107" s="16">
        <f t="shared" si="8"/>
        <v>4</v>
      </c>
      <c r="Y107" s="16"/>
      <c r="Z107" s="16"/>
      <c r="AA107" s="16"/>
      <c r="AB107" s="10" t="str">
        <f t="shared" si="9"/>
        <v>Closed in Dec</v>
      </c>
    </row>
    <row r="108" spans="1:28" x14ac:dyDescent="0.25">
      <c r="A108" s="14">
        <v>45999</v>
      </c>
      <c r="B108" s="26">
        <v>2025</v>
      </c>
      <c r="C108" s="9" t="s">
        <v>15</v>
      </c>
      <c r="D108" s="26" t="s">
        <v>315</v>
      </c>
      <c r="E108" s="16"/>
      <c r="F108" s="16" t="s">
        <v>60</v>
      </c>
      <c r="G108" s="35" t="s">
        <v>316</v>
      </c>
      <c r="H108" s="35">
        <v>9972197300</v>
      </c>
      <c r="I108" s="16"/>
      <c r="J108" s="9" t="s">
        <v>317</v>
      </c>
      <c r="K108" s="16" t="s">
        <v>153</v>
      </c>
      <c r="L108" s="9" t="s">
        <v>28</v>
      </c>
      <c r="M108" s="8" t="s">
        <v>116</v>
      </c>
      <c r="N108" s="55">
        <v>580</v>
      </c>
      <c r="O108" s="58" t="s">
        <v>321</v>
      </c>
      <c r="P108" s="47" t="str">
        <f t="shared" si="11"/>
        <v>25</v>
      </c>
      <c r="Q108" s="19" t="str">
        <f t="shared" si="12"/>
        <v>04</v>
      </c>
      <c r="R108" s="19" t="s">
        <v>27</v>
      </c>
      <c r="S108" s="19" t="s">
        <v>100</v>
      </c>
      <c r="T108" s="15" t="s">
        <v>31</v>
      </c>
      <c r="U108" s="15" t="s">
        <v>319</v>
      </c>
      <c r="V108" s="16" t="s">
        <v>93</v>
      </c>
      <c r="W108" s="36">
        <v>46003</v>
      </c>
      <c r="X108" s="16">
        <f t="shared" si="8"/>
        <v>4</v>
      </c>
      <c r="Y108" s="16"/>
      <c r="Z108" s="16"/>
      <c r="AA108" s="16"/>
      <c r="AB108" s="10" t="str">
        <f t="shared" si="9"/>
        <v>Closed in Dec</v>
      </c>
    </row>
    <row r="109" spans="1:28" x14ac:dyDescent="0.25">
      <c r="A109" s="14">
        <v>45999</v>
      </c>
      <c r="B109" s="26">
        <v>2025</v>
      </c>
      <c r="C109" s="9" t="s">
        <v>15</v>
      </c>
      <c r="D109" s="26" t="s">
        <v>315</v>
      </c>
      <c r="E109" s="16"/>
      <c r="F109" s="16" t="s">
        <v>60</v>
      </c>
      <c r="G109" s="35" t="s">
        <v>316</v>
      </c>
      <c r="H109" s="35">
        <v>9972197300</v>
      </c>
      <c r="I109" s="16"/>
      <c r="J109" s="9" t="s">
        <v>317</v>
      </c>
      <c r="K109" s="16" t="s">
        <v>153</v>
      </c>
      <c r="L109" s="9" t="s">
        <v>28</v>
      </c>
      <c r="M109" s="8" t="s">
        <v>116</v>
      </c>
      <c r="N109" s="55">
        <v>580</v>
      </c>
      <c r="O109" s="58" t="s">
        <v>322</v>
      </c>
      <c r="P109" s="47" t="str">
        <f t="shared" si="11"/>
        <v>25</v>
      </c>
      <c r="Q109" s="19" t="str">
        <f t="shared" si="12"/>
        <v>04</v>
      </c>
      <c r="R109" s="19" t="s">
        <v>27</v>
      </c>
      <c r="S109" s="19" t="s">
        <v>100</v>
      </c>
      <c r="T109" s="15" t="s">
        <v>31</v>
      </c>
      <c r="U109" s="15" t="s">
        <v>319</v>
      </c>
      <c r="V109" s="16" t="s">
        <v>93</v>
      </c>
      <c r="W109" s="36">
        <v>46003</v>
      </c>
      <c r="X109" s="16">
        <f t="shared" si="8"/>
        <v>4</v>
      </c>
      <c r="Y109" s="16"/>
      <c r="Z109" s="16"/>
      <c r="AA109" s="16"/>
      <c r="AB109" s="10" t="str">
        <f t="shared" si="9"/>
        <v>Closed in Dec</v>
      </c>
    </row>
    <row r="110" spans="1:28" x14ac:dyDescent="0.25">
      <c r="A110" s="14">
        <v>45999</v>
      </c>
      <c r="B110" s="26">
        <v>2025</v>
      </c>
      <c r="C110" s="9" t="s">
        <v>15</v>
      </c>
      <c r="D110" s="26" t="s">
        <v>315</v>
      </c>
      <c r="E110" s="16"/>
      <c r="F110" s="16" t="s">
        <v>60</v>
      </c>
      <c r="G110" s="35" t="s">
        <v>316</v>
      </c>
      <c r="H110" s="35">
        <v>9972197300</v>
      </c>
      <c r="I110" s="16"/>
      <c r="J110" s="9" t="s">
        <v>317</v>
      </c>
      <c r="K110" s="16" t="s">
        <v>153</v>
      </c>
      <c r="L110" s="9" t="s">
        <v>28</v>
      </c>
      <c r="M110" s="8" t="s">
        <v>116</v>
      </c>
      <c r="N110" s="55">
        <v>580</v>
      </c>
      <c r="O110" s="58" t="s">
        <v>323</v>
      </c>
      <c r="P110" s="47" t="str">
        <f t="shared" si="11"/>
        <v>25</v>
      </c>
      <c r="Q110" s="19" t="str">
        <f t="shared" si="12"/>
        <v>04</v>
      </c>
      <c r="R110" s="19" t="s">
        <v>27</v>
      </c>
      <c r="S110" s="19" t="s">
        <v>100</v>
      </c>
      <c r="T110" s="15" t="s">
        <v>31</v>
      </c>
      <c r="U110" s="15" t="s">
        <v>319</v>
      </c>
      <c r="V110" s="16" t="s">
        <v>93</v>
      </c>
      <c r="W110" s="36">
        <v>46003</v>
      </c>
      <c r="X110" s="16">
        <f t="shared" si="8"/>
        <v>4</v>
      </c>
      <c r="Y110" s="16"/>
      <c r="Z110" s="16"/>
      <c r="AA110" s="16"/>
      <c r="AB110" s="10" t="str">
        <f t="shared" si="9"/>
        <v>Closed in Dec</v>
      </c>
    </row>
    <row r="111" spans="1:28" x14ac:dyDescent="0.25">
      <c r="A111" s="14">
        <v>45999</v>
      </c>
      <c r="B111" s="26">
        <v>2025</v>
      </c>
      <c r="C111" s="9" t="s">
        <v>15</v>
      </c>
      <c r="D111" s="26" t="s">
        <v>315</v>
      </c>
      <c r="E111" s="16"/>
      <c r="F111" s="16" t="s">
        <v>60</v>
      </c>
      <c r="G111" s="35" t="s">
        <v>316</v>
      </c>
      <c r="H111" s="35">
        <v>9972197300</v>
      </c>
      <c r="I111" s="16"/>
      <c r="J111" s="9" t="s">
        <v>317</v>
      </c>
      <c r="K111" s="16" t="s">
        <v>153</v>
      </c>
      <c r="L111" s="9" t="s">
        <v>28</v>
      </c>
      <c r="M111" s="8" t="s">
        <v>116</v>
      </c>
      <c r="N111" s="55">
        <v>580</v>
      </c>
      <c r="O111" s="58" t="s">
        <v>324</v>
      </c>
      <c r="P111" s="47" t="str">
        <f t="shared" si="11"/>
        <v>25</v>
      </c>
      <c r="Q111" s="19" t="str">
        <f t="shared" si="12"/>
        <v>04</v>
      </c>
      <c r="R111" s="19" t="s">
        <v>27</v>
      </c>
      <c r="S111" s="19" t="s">
        <v>100</v>
      </c>
      <c r="T111" s="15" t="s">
        <v>325</v>
      </c>
      <c r="U111" s="16" t="s">
        <v>205</v>
      </c>
      <c r="V111" s="16" t="s">
        <v>93</v>
      </c>
      <c r="W111" s="36">
        <v>46003</v>
      </c>
      <c r="X111" s="16">
        <f t="shared" si="8"/>
        <v>4</v>
      </c>
      <c r="Y111" s="16"/>
      <c r="Z111" s="16"/>
      <c r="AA111" s="16"/>
      <c r="AB111" s="10" t="str">
        <f t="shared" si="9"/>
        <v>Closed in Dec</v>
      </c>
    </row>
    <row r="112" spans="1:28" x14ac:dyDescent="0.25">
      <c r="A112" s="14">
        <v>45999</v>
      </c>
      <c r="B112" s="26">
        <v>2025</v>
      </c>
      <c r="C112" s="9" t="s">
        <v>15</v>
      </c>
      <c r="D112" s="26" t="s">
        <v>315</v>
      </c>
      <c r="E112" s="16"/>
      <c r="F112" s="16" t="s">
        <v>60</v>
      </c>
      <c r="G112" s="35" t="s">
        <v>316</v>
      </c>
      <c r="H112" s="35">
        <v>9972197300</v>
      </c>
      <c r="I112" s="16"/>
      <c r="J112" s="9" t="s">
        <v>317</v>
      </c>
      <c r="K112" s="16" t="s">
        <v>153</v>
      </c>
      <c r="L112" s="9" t="s">
        <v>28</v>
      </c>
      <c r="M112" s="8" t="s">
        <v>116</v>
      </c>
      <c r="N112" s="55">
        <v>580</v>
      </c>
      <c r="O112" s="58" t="s">
        <v>326</v>
      </c>
      <c r="P112" s="47" t="str">
        <f t="shared" si="11"/>
        <v>25</v>
      </c>
      <c r="Q112" s="19" t="str">
        <f t="shared" si="12"/>
        <v>04</v>
      </c>
      <c r="R112" s="19" t="s">
        <v>27</v>
      </c>
      <c r="S112" s="19" t="s">
        <v>100</v>
      </c>
      <c r="T112" s="15" t="s">
        <v>31</v>
      </c>
      <c r="U112" s="15" t="s">
        <v>319</v>
      </c>
      <c r="V112" s="16" t="s">
        <v>93</v>
      </c>
      <c r="W112" s="36">
        <v>46004</v>
      </c>
      <c r="X112" s="16">
        <f t="shared" si="8"/>
        <v>5</v>
      </c>
      <c r="Y112" s="16"/>
      <c r="Z112" s="16"/>
      <c r="AA112" s="16"/>
      <c r="AB112" s="10" t="str">
        <f t="shared" si="9"/>
        <v>Closed in Dec</v>
      </c>
    </row>
    <row r="113" spans="1:28" x14ac:dyDescent="0.25">
      <c r="A113" s="14">
        <v>45999</v>
      </c>
      <c r="B113" s="26">
        <v>2025</v>
      </c>
      <c r="C113" s="9" t="s">
        <v>15</v>
      </c>
      <c r="D113" s="26" t="s">
        <v>315</v>
      </c>
      <c r="E113" s="16"/>
      <c r="F113" s="16" t="s">
        <v>60</v>
      </c>
      <c r="G113" s="35" t="s">
        <v>316</v>
      </c>
      <c r="H113" s="35">
        <v>9972197300</v>
      </c>
      <c r="I113" s="16"/>
      <c r="J113" s="9" t="s">
        <v>317</v>
      </c>
      <c r="K113" s="16" t="s">
        <v>153</v>
      </c>
      <c r="L113" s="9" t="s">
        <v>28</v>
      </c>
      <c r="M113" s="8" t="s">
        <v>116</v>
      </c>
      <c r="N113" s="55">
        <v>580</v>
      </c>
      <c r="O113" s="58" t="s">
        <v>327</v>
      </c>
      <c r="P113" s="47" t="str">
        <f t="shared" si="11"/>
        <v>25</v>
      </c>
      <c r="Q113" s="19" t="str">
        <f t="shared" si="12"/>
        <v>04</v>
      </c>
      <c r="R113" s="19" t="s">
        <v>27</v>
      </c>
      <c r="S113" s="19" t="s">
        <v>100</v>
      </c>
      <c r="T113" s="15" t="s">
        <v>325</v>
      </c>
      <c r="U113" s="15" t="s">
        <v>328</v>
      </c>
      <c r="V113" s="16" t="s">
        <v>93</v>
      </c>
      <c r="W113" s="36">
        <v>46004</v>
      </c>
      <c r="X113" s="16">
        <f t="shared" si="8"/>
        <v>5</v>
      </c>
      <c r="Y113" s="16"/>
      <c r="Z113" s="16"/>
      <c r="AA113" s="16"/>
      <c r="AB113" s="10" t="str">
        <f t="shared" si="9"/>
        <v>Closed in Dec</v>
      </c>
    </row>
    <row r="114" spans="1:28" x14ac:dyDescent="0.25">
      <c r="A114" s="14">
        <v>45999</v>
      </c>
      <c r="B114" s="26">
        <v>2025</v>
      </c>
      <c r="C114" s="9" t="s">
        <v>15</v>
      </c>
      <c r="D114" s="26" t="s">
        <v>315</v>
      </c>
      <c r="E114" s="16"/>
      <c r="F114" s="16" t="s">
        <v>60</v>
      </c>
      <c r="G114" s="35" t="s">
        <v>316</v>
      </c>
      <c r="H114" s="35">
        <v>9972197300</v>
      </c>
      <c r="I114" s="16"/>
      <c r="J114" s="9" t="s">
        <v>317</v>
      </c>
      <c r="K114" s="16" t="s">
        <v>153</v>
      </c>
      <c r="L114" s="9" t="s">
        <v>28</v>
      </c>
      <c r="M114" s="8" t="s">
        <v>116</v>
      </c>
      <c r="N114" s="55">
        <v>580</v>
      </c>
      <c r="O114" s="58" t="s">
        <v>329</v>
      </c>
      <c r="P114" s="47" t="str">
        <f t="shared" si="11"/>
        <v>25</v>
      </c>
      <c r="Q114" s="19" t="str">
        <f t="shared" si="12"/>
        <v>04</v>
      </c>
      <c r="R114" s="19" t="s">
        <v>27</v>
      </c>
      <c r="S114" s="19" t="s">
        <v>100</v>
      </c>
      <c r="T114" s="15" t="s">
        <v>31</v>
      </c>
      <c r="U114" s="15" t="s">
        <v>319</v>
      </c>
      <c r="V114" s="16" t="s">
        <v>93</v>
      </c>
      <c r="W114" s="36">
        <v>46004</v>
      </c>
      <c r="X114" s="16">
        <f t="shared" si="8"/>
        <v>5</v>
      </c>
      <c r="Y114" s="16"/>
      <c r="Z114" s="16"/>
      <c r="AA114" s="16"/>
      <c r="AB114" s="10" t="str">
        <f t="shared" si="9"/>
        <v>Closed in Dec</v>
      </c>
    </row>
    <row r="115" spans="1:28" x14ac:dyDescent="0.25">
      <c r="A115" s="14">
        <v>45999</v>
      </c>
      <c r="B115" s="26">
        <v>2025</v>
      </c>
      <c r="C115" s="9" t="s">
        <v>15</v>
      </c>
      <c r="D115" s="26" t="s">
        <v>315</v>
      </c>
      <c r="E115" s="16"/>
      <c r="F115" s="16" t="s">
        <v>60</v>
      </c>
      <c r="G115" s="35" t="s">
        <v>316</v>
      </c>
      <c r="H115" s="35">
        <v>9972197300</v>
      </c>
      <c r="I115" s="16"/>
      <c r="J115" s="9" t="s">
        <v>317</v>
      </c>
      <c r="K115" s="16" t="s">
        <v>153</v>
      </c>
      <c r="L115" s="9" t="s">
        <v>28</v>
      </c>
      <c r="M115" s="8" t="s">
        <v>116</v>
      </c>
      <c r="N115" s="55">
        <v>580</v>
      </c>
      <c r="O115" s="58" t="s">
        <v>330</v>
      </c>
      <c r="P115" s="47" t="str">
        <f t="shared" si="11"/>
        <v>25</v>
      </c>
      <c r="Q115" s="19" t="str">
        <f t="shared" si="12"/>
        <v>04</v>
      </c>
      <c r="R115" s="19" t="s">
        <v>27</v>
      </c>
      <c r="S115" s="19" t="s">
        <v>100</v>
      </c>
      <c r="T115" s="15" t="s">
        <v>31</v>
      </c>
      <c r="U115" s="15" t="s">
        <v>319</v>
      </c>
      <c r="V115" s="16" t="s">
        <v>93</v>
      </c>
      <c r="W115" s="36">
        <v>46004</v>
      </c>
      <c r="X115" s="16">
        <f t="shared" si="8"/>
        <v>5</v>
      </c>
      <c r="Y115" s="16"/>
      <c r="Z115" s="16"/>
      <c r="AA115" s="16"/>
      <c r="AB115" s="10" t="str">
        <f t="shared" si="9"/>
        <v>Closed in Dec</v>
      </c>
    </row>
    <row r="116" spans="1:28" x14ac:dyDescent="0.25">
      <c r="A116" s="14">
        <v>45999</v>
      </c>
      <c r="B116" s="26">
        <v>2025</v>
      </c>
      <c r="C116" s="9" t="s">
        <v>15</v>
      </c>
      <c r="D116" s="26" t="s">
        <v>315</v>
      </c>
      <c r="E116" s="16"/>
      <c r="F116" s="16" t="s">
        <v>60</v>
      </c>
      <c r="G116" s="35" t="s">
        <v>316</v>
      </c>
      <c r="H116" s="35">
        <v>9972197300</v>
      </c>
      <c r="I116" s="16"/>
      <c r="J116" s="9" t="s">
        <v>317</v>
      </c>
      <c r="K116" s="16" t="s">
        <v>153</v>
      </c>
      <c r="L116" s="9" t="s">
        <v>28</v>
      </c>
      <c r="M116" s="8" t="s">
        <v>116</v>
      </c>
      <c r="N116" s="55">
        <v>580</v>
      </c>
      <c r="O116" s="58" t="s">
        <v>331</v>
      </c>
      <c r="P116" s="47" t="str">
        <f t="shared" si="11"/>
        <v>25</v>
      </c>
      <c r="Q116" s="19" t="str">
        <f t="shared" si="12"/>
        <v>04</v>
      </c>
      <c r="R116" s="19" t="s">
        <v>27</v>
      </c>
      <c r="S116" s="19" t="s">
        <v>100</v>
      </c>
      <c r="T116" s="22" t="s">
        <v>31</v>
      </c>
      <c r="U116" s="22" t="s">
        <v>200</v>
      </c>
      <c r="V116" s="16" t="s">
        <v>93</v>
      </c>
      <c r="W116" s="36">
        <v>46004</v>
      </c>
      <c r="X116" s="16">
        <f t="shared" si="8"/>
        <v>5</v>
      </c>
      <c r="Y116" s="16"/>
      <c r="Z116" s="16"/>
      <c r="AA116" s="16"/>
      <c r="AB116" s="10" t="str">
        <f t="shared" si="9"/>
        <v>Closed in Dec</v>
      </c>
    </row>
    <row r="117" spans="1:28" x14ac:dyDescent="0.25">
      <c r="A117" s="14">
        <v>46001</v>
      </c>
      <c r="B117" s="26">
        <v>2025</v>
      </c>
      <c r="C117" s="9" t="s">
        <v>709</v>
      </c>
      <c r="D117" s="16" t="s">
        <v>194</v>
      </c>
      <c r="E117" s="16"/>
      <c r="F117" s="16" t="s">
        <v>60</v>
      </c>
      <c r="G117" s="9" t="s">
        <v>332</v>
      </c>
      <c r="H117" s="9">
        <v>9440789940</v>
      </c>
      <c r="I117" s="16"/>
      <c r="J117" s="9" t="s">
        <v>197</v>
      </c>
      <c r="K117" s="16" t="s">
        <v>333</v>
      </c>
      <c r="L117" s="16" t="s">
        <v>78</v>
      </c>
      <c r="M117" s="16" t="s">
        <v>29</v>
      </c>
      <c r="N117" s="23">
        <v>590</v>
      </c>
      <c r="O117" s="61" t="s">
        <v>334</v>
      </c>
      <c r="P117" s="47" t="str">
        <f t="shared" si="11"/>
        <v>25</v>
      </c>
      <c r="Q117" s="19" t="str">
        <f t="shared" si="12"/>
        <v>06</v>
      </c>
      <c r="R117" s="19" t="s">
        <v>27</v>
      </c>
      <c r="S117" s="19" t="s">
        <v>102</v>
      </c>
      <c r="T117" s="22" t="s">
        <v>31</v>
      </c>
      <c r="U117" s="16" t="s">
        <v>314</v>
      </c>
      <c r="V117" s="16" t="s">
        <v>93</v>
      </c>
      <c r="W117" s="36">
        <v>46011</v>
      </c>
      <c r="X117" s="16">
        <f t="shared" si="8"/>
        <v>10</v>
      </c>
      <c r="Y117" s="16"/>
      <c r="Z117" s="16"/>
      <c r="AA117" s="16"/>
      <c r="AB117" s="10" t="str">
        <f t="shared" si="9"/>
        <v>Closed in Dec</v>
      </c>
    </row>
    <row r="118" spans="1:28" x14ac:dyDescent="0.25">
      <c r="A118" s="14">
        <v>45974</v>
      </c>
      <c r="B118" s="15">
        <v>2025</v>
      </c>
      <c r="C118" s="9" t="s">
        <v>81</v>
      </c>
      <c r="D118" s="26" t="s">
        <v>315</v>
      </c>
      <c r="E118" s="16" t="s">
        <v>88</v>
      </c>
      <c r="F118" s="15" t="s">
        <v>60</v>
      </c>
      <c r="G118" s="8" t="s">
        <v>335</v>
      </c>
      <c r="H118" s="8">
        <v>7854906505</v>
      </c>
      <c r="I118" s="16"/>
      <c r="J118" s="37" t="s">
        <v>336</v>
      </c>
      <c r="K118" s="16" t="s">
        <v>155</v>
      </c>
      <c r="L118" s="8" t="s">
        <v>80</v>
      </c>
      <c r="M118" s="15" t="s">
        <v>29</v>
      </c>
      <c r="N118" s="23">
        <v>585</v>
      </c>
      <c r="O118" s="58" t="s">
        <v>337</v>
      </c>
      <c r="P118" s="47" t="str">
        <f t="shared" si="11"/>
        <v>24</v>
      </c>
      <c r="Q118" s="19" t="str">
        <f t="shared" si="12"/>
        <v>09</v>
      </c>
      <c r="R118" s="19" t="s">
        <v>27</v>
      </c>
      <c r="S118" s="19" t="s">
        <v>100</v>
      </c>
      <c r="T118" s="22" t="s">
        <v>31</v>
      </c>
      <c r="U118" s="15" t="s">
        <v>338</v>
      </c>
      <c r="V118" s="15" t="s">
        <v>93</v>
      </c>
      <c r="W118" s="14">
        <v>46004</v>
      </c>
      <c r="X118" s="16">
        <f t="shared" si="8"/>
        <v>30</v>
      </c>
      <c r="Y118" s="16"/>
      <c r="Z118" s="16"/>
      <c r="AA118" s="16"/>
      <c r="AB118" s="10" t="str">
        <f t="shared" si="9"/>
        <v>Closed in Dec</v>
      </c>
    </row>
    <row r="119" spans="1:28" x14ac:dyDescent="0.25">
      <c r="A119" s="14">
        <v>45974</v>
      </c>
      <c r="B119" s="15">
        <v>2025</v>
      </c>
      <c r="C119" s="9" t="s">
        <v>81</v>
      </c>
      <c r="D119" s="26" t="s">
        <v>315</v>
      </c>
      <c r="E119" s="16" t="s">
        <v>88</v>
      </c>
      <c r="F119" s="15" t="s">
        <v>60</v>
      </c>
      <c r="G119" s="8" t="s">
        <v>335</v>
      </c>
      <c r="H119" s="8">
        <v>7854906506</v>
      </c>
      <c r="I119" s="16"/>
      <c r="J119" s="37" t="s">
        <v>336</v>
      </c>
      <c r="K119" s="16" t="s">
        <v>155</v>
      </c>
      <c r="L119" s="8" t="s">
        <v>80</v>
      </c>
      <c r="M119" s="15" t="s">
        <v>29</v>
      </c>
      <c r="N119" s="23">
        <v>585</v>
      </c>
      <c r="O119" s="58" t="s">
        <v>339</v>
      </c>
      <c r="P119" s="47" t="str">
        <f t="shared" si="11"/>
        <v>24</v>
      </c>
      <c r="Q119" s="19" t="str">
        <f t="shared" si="12"/>
        <v>09</v>
      </c>
      <c r="R119" s="19" t="s">
        <v>27</v>
      </c>
      <c r="S119" s="19" t="s">
        <v>100</v>
      </c>
      <c r="T119" s="22" t="s">
        <v>31</v>
      </c>
      <c r="U119" s="15" t="s">
        <v>338</v>
      </c>
      <c r="V119" s="15" t="s">
        <v>93</v>
      </c>
      <c r="W119" s="14">
        <v>46004</v>
      </c>
      <c r="X119" s="16">
        <f t="shared" si="8"/>
        <v>30</v>
      </c>
      <c r="Y119" s="16"/>
      <c r="Z119" s="16"/>
      <c r="AA119" s="16"/>
      <c r="AB119" s="10" t="str">
        <f t="shared" si="9"/>
        <v>Closed in Dec</v>
      </c>
    </row>
    <row r="120" spans="1:28" x14ac:dyDescent="0.25">
      <c r="A120" s="14">
        <v>45974</v>
      </c>
      <c r="B120" s="15">
        <v>2025</v>
      </c>
      <c r="C120" s="9" t="s">
        <v>81</v>
      </c>
      <c r="D120" s="26" t="s">
        <v>315</v>
      </c>
      <c r="E120" s="16" t="s">
        <v>88</v>
      </c>
      <c r="F120" s="15" t="s">
        <v>60</v>
      </c>
      <c r="G120" s="8" t="s">
        <v>335</v>
      </c>
      <c r="H120" s="8">
        <v>7854906507</v>
      </c>
      <c r="I120" s="16"/>
      <c r="J120" s="37" t="s">
        <v>336</v>
      </c>
      <c r="K120" s="16" t="s">
        <v>155</v>
      </c>
      <c r="L120" s="8" t="s">
        <v>80</v>
      </c>
      <c r="M120" s="15" t="s">
        <v>29</v>
      </c>
      <c r="N120" s="23">
        <v>585</v>
      </c>
      <c r="O120" s="58" t="s">
        <v>340</v>
      </c>
      <c r="P120" s="47" t="str">
        <f t="shared" si="11"/>
        <v>24</v>
      </c>
      <c r="Q120" s="19" t="str">
        <f t="shared" si="12"/>
        <v>09</v>
      </c>
      <c r="R120" s="19" t="s">
        <v>27</v>
      </c>
      <c r="S120" s="19" t="s">
        <v>100</v>
      </c>
      <c r="T120" s="22" t="s">
        <v>31</v>
      </c>
      <c r="U120" s="15" t="s">
        <v>338</v>
      </c>
      <c r="V120" s="15" t="s">
        <v>93</v>
      </c>
      <c r="W120" s="14">
        <v>46004</v>
      </c>
      <c r="X120" s="16">
        <f t="shared" si="8"/>
        <v>30</v>
      </c>
      <c r="Y120" s="16"/>
      <c r="Z120" s="16"/>
      <c r="AA120" s="16"/>
      <c r="AB120" s="10" t="str">
        <f t="shared" si="9"/>
        <v>Closed in Dec</v>
      </c>
    </row>
    <row r="121" spans="1:28" x14ac:dyDescent="0.25">
      <c r="A121" s="14">
        <v>45974</v>
      </c>
      <c r="B121" s="15">
        <v>2025</v>
      </c>
      <c r="C121" s="9" t="s">
        <v>81</v>
      </c>
      <c r="D121" s="26" t="s">
        <v>315</v>
      </c>
      <c r="E121" s="16" t="s">
        <v>88</v>
      </c>
      <c r="F121" s="15" t="s">
        <v>60</v>
      </c>
      <c r="G121" s="8" t="s">
        <v>335</v>
      </c>
      <c r="H121" s="8">
        <v>7854906508</v>
      </c>
      <c r="I121" s="16"/>
      <c r="J121" s="37" t="s">
        <v>336</v>
      </c>
      <c r="K121" s="16" t="s">
        <v>155</v>
      </c>
      <c r="L121" s="8" t="s">
        <v>80</v>
      </c>
      <c r="M121" s="15" t="s">
        <v>29</v>
      </c>
      <c r="N121" s="23">
        <v>585</v>
      </c>
      <c r="O121" s="58" t="s">
        <v>341</v>
      </c>
      <c r="P121" s="47" t="str">
        <f t="shared" si="11"/>
        <v>24</v>
      </c>
      <c r="Q121" s="19" t="str">
        <f t="shared" si="12"/>
        <v>09</v>
      </c>
      <c r="R121" s="19" t="s">
        <v>27</v>
      </c>
      <c r="S121" s="19" t="s">
        <v>100</v>
      </c>
      <c r="T121" s="22" t="s">
        <v>31</v>
      </c>
      <c r="U121" s="15" t="s">
        <v>338</v>
      </c>
      <c r="V121" s="15" t="s">
        <v>93</v>
      </c>
      <c r="W121" s="14">
        <v>46004</v>
      </c>
      <c r="X121" s="16">
        <f t="shared" si="8"/>
        <v>30</v>
      </c>
      <c r="Y121" s="16"/>
      <c r="Z121" s="16"/>
      <c r="AA121" s="16"/>
      <c r="AB121" s="10" t="str">
        <f t="shared" si="9"/>
        <v>Closed in Dec</v>
      </c>
    </row>
    <row r="122" spans="1:28" x14ac:dyDescent="0.25">
      <c r="A122" s="14">
        <v>45974</v>
      </c>
      <c r="B122" s="15">
        <v>2025</v>
      </c>
      <c r="C122" s="9" t="s">
        <v>81</v>
      </c>
      <c r="D122" s="26" t="s">
        <v>315</v>
      </c>
      <c r="E122" s="16" t="s">
        <v>88</v>
      </c>
      <c r="F122" s="15" t="s">
        <v>60</v>
      </c>
      <c r="G122" s="8" t="s">
        <v>335</v>
      </c>
      <c r="H122" s="8">
        <v>7854906509</v>
      </c>
      <c r="I122" s="16"/>
      <c r="J122" s="37" t="s">
        <v>336</v>
      </c>
      <c r="K122" s="16" t="s">
        <v>155</v>
      </c>
      <c r="L122" s="8" t="s">
        <v>80</v>
      </c>
      <c r="M122" s="15" t="s">
        <v>29</v>
      </c>
      <c r="N122" s="23">
        <v>585</v>
      </c>
      <c r="O122" s="58" t="s">
        <v>342</v>
      </c>
      <c r="P122" s="47" t="str">
        <f t="shared" si="11"/>
        <v>24</v>
      </c>
      <c r="Q122" s="19" t="str">
        <f t="shared" si="12"/>
        <v>09</v>
      </c>
      <c r="R122" s="19" t="s">
        <v>27</v>
      </c>
      <c r="S122" s="19" t="s">
        <v>100</v>
      </c>
      <c r="T122" s="22" t="s">
        <v>31</v>
      </c>
      <c r="U122" s="15" t="s">
        <v>338</v>
      </c>
      <c r="V122" s="15" t="s">
        <v>93</v>
      </c>
      <c r="W122" s="14">
        <v>46004</v>
      </c>
      <c r="X122" s="16">
        <f t="shared" si="8"/>
        <v>30</v>
      </c>
      <c r="Y122" s="16"/>
      <c r="Z122" s="16"/>
      <c r="AA122" s="16"/>
      <c r="AB122" s="10" t="str">
        <f t="shared" si="9"/>
        <v>Closed in Dec</v>
      </c>
    </row>
    <row r="123" spans="1:28" x14ac:dyDescent="0.25">
      <c r="A123" s="14">
        <v>45974</v>
      </c>
      <c r="B123" s="15">
        <v>2025</v>
      </c>
      <c r="C123" s="9" t="s">
        <v>81</v>
      </c>
      <c r="D123" s="26" t="s">
        <v>315</v>
      </c>
      <c r="E123" s="16" t="s">
        <v>88</v>
      </c>
      <c r="F123" s="15" t="s">
        <v>60</v>
      </c>
      <c r="G123" s="8" t="s">
        <v>335</v>
      </c>
      <c r="H123" s="8">
        <v>7854906510</v>
      </c>
      <c r="I123" s="16"/>
      <c r="J123" s="37" t="s">
        <v>336</v>
      </c>
      <c r="K123" s="16" t="s">
        <v>155</v>
      </c>
      <c r="L123" s="8" t="s">
        <v>80</v>
      </c>
      <c r="M123" s="16" t="s">
        <v>31</v>
      </c>
      <c r="N123" s="23">
        <v>585</v>
      </c>
      <c r="O123" s="58" t="s">
        <v>343</v>
      </c>
      <c r="P123" s="47" t="str">
        <f t="shared" si="11"/>
        <v>24</v>
      </c>
      <c r="Q123" s="19" t="str">
        <f t="shared" si="12"/>
        <v>09</v>
      </c>
      <c r="R123" s="19" t="s">
        <v>27</v>
      </c>
      <c r="S123" s="19" t="s">
        <v>100</v>
      </c>
      <c r="T123" s="22" t="s">
        <v>31</v>
      </c>
      <c r="U123" s="22" t="s">
        <v>200</v>
      </c>
      <c r="V123" s="15" t="s">
        <v>93</v>
      </c>
      <c r="W123" s="14">
        <v>46004</v>
      </c>
      <c r="X123" s="16">
        <f t="shared" si="8"/>
        <v>30</v>
      </c>
      <c r="Y123" s="16"/>
      <c r="Z123" s="16"/>
      <c r="AA123" s="16"/>
      <c r="AB123" s="10" t="str">
        <f t="shared" si="9"/>
        <v>Closed in Dec</v>
      </c>
    </row>
    <row r="124" spans="1:28" x14ac:dyDescent="0.25">
      <c r="A124" s="14">
        <v>45974</v>
      </c>
      <c r="B124" s="15">
        <v>2025</v>
      </c>
      <c r="C124" s="9" t="s">
        <v>81</v>
      </c>
      <c r="D124" s="26" t="s">
        <v>315</v>
      </c>
      <c r="E124" s="16" t="s">
        <v>88</v>
      </c>
      <c r="F124" s="15" t="s">
        <v>60</v>
      </c>
      <c r="G124" s="8" t="s">
        <v>335</v>
      </c>
      <c r="H124" s="8">
        <v>7854906511</v>
      </c>
      <c r="I124" s="16"/>
      <c r="J124" s="37" t="s">
        <v>336</v>
      </c>
      <c r="K124" s="16" t="s">
        <v>155</v>
      </c>
      <c r="L124" s="8" t="s">
        <v>80</v>
      </c>
      <c r="M124" s="15" t="s">
        <v>29</v>
      </c>
      <c r="N124" s="23">
        <v>585</v>
      </c>
      <c r="O124" s="58" t="s">
        <v>344</v>
      </c>
      <c r="P124" s="47" t="str">
        <f t="shared" si="11"/>
        <v>24</v>
      </c>
      <c r="Q124" s="19" t="str">
        <f t="shared" si="12"/>
        <v>09</v>
      </c>
      <c r="R124" s="19" t="s">
        <v>27</v>
      </c>
      <c r="S124" s="19" t="s">
        <v>100</v>
      </c>
      <c r="T124" s="22" t="s">
        <v>31</v>
      </c>
      <c r="U124" s="15" t="s">
        <v>338</v>
      </c>
      <c r="V124" s="15" t="s">
        <v>93</v>
      </c>
      <c r="W124" s="14">
        <v>46006</v>
      </c>
      <c r="X124" s="16">
        <f t="shared" si="8"/>
        <v>32</v>
      </c>
      <c r="Y124" s="16"/>
      <c r="Z124" s="16"/>
      <c r="AA124" s="16"/>
      <c r="AB124" s="10" t="str">
        <f t="shared" si="9"/>
        <v>Closed in Dec</v>
      </c>
    </row>
    <row r="125" spans="1:28" x14ac:dyDescent="0.25">
      <c r="A125" s="14">
        <v>45974</v>
      </c>
      <c r="B125" s="15">
        <v>2025</v>
      </c>
      <c r="C125" s="9" t="s">
        <v>81</v>
      </c>
      <c r="D125" s="26" t="s">
        <v>315</v>
      </c>
      <c r="E125" s="16" t="s">
        <v>88</v>
      </c>
      <c r="F125" s="15" t="s">
        <v>60</v>
      </c>
      <c r="G125" s="8" t="s">
        <v>335</v>
      </c>
      <c r="H125" s="8">
        <v>7854906512</v>
      </c>
      <c r="I125" s="16"/>
      <c r="J125" s="37" t="s">
        <v>336</v>
      </c>
      <c r="K125" s="16" t="s">
        <v>155</v>
      </c>
      <c r="L125" s="8" t="s">
        <v>80</v>
      </c>
      <c r="M125" s="15" t="s">
        <v>29</v>
      </c>
      <c r="N125" s="23">
        <v>585</v>
      </c>
      <c r="O125" s="58" t="s">
        <v>345</v>
      </c>
      <c r="P125" s="47" t="str">
        <f t="shared" si="11"/>
        <v>24</v>
      </c>
      <c r="Q125" s="19" t="str">
        <f t="shared" si="12"/>
        <v>09</v>
      </c>
      <c r="R125" s="19" t="s">
        <v>27</v>
      </c>
      <c r="S125" s="19" t="s">
        <v>100</v>
      </c>
      <c r="T125" s="22" t="s">
        <v>31</v>
      </c>
      <c r="U125" s="15" t="s">
        <v>338</v>
      </c>
      <c r="V125" s="15" t="s">
        <v>93</v>
      </c>
      <c r="W125" s="14">
        <v>46006</v>
      </c>
      <c r="X125" s="16">
        <f t="shared" si="8"/>
        <v>32</v>
      </c>
      <c r="Y125" s="16"/>
      <c r="Z125" s="16"/>
      <c r="AA125" s="16"/>
      <c r="AB125" s="10" t="str">
        <f t="shared" si="9"/>
        <v>Closed in Dec</v>
      </c>
    </row>
    <row r="126" spans="1:28" x14ac:dyDescent="0.25">
      <c r="A126" s="14">
        <v>45974</v>
      </c>
      <c r="B126" s="15">
        <v>2025</v>
      </c>
      <c r="C126" s="9" t="s">
        <v>81</v>
      </c>
      <c r="D126" s="26" t="s">
        <v>315</v>
      </c>
      <c r="E126" s="16" t="s">
        <v>88</v>
      </c>
      <c r="F126" s="15" t="s">
        <v>60</v>
      </c>
      <c r="G126" s="8" t="s">
        <v>335</v>
      </c>
      <c r="H126" s="8">
        <v>7854906513</v>
      </c>
      <c r="I126" s="16"/>
      <c r="J126" s="37" t="s">
        <v>336</v>
      </c>
      <c r="K126" s="16" t="s">
        <v>155</v>
      </c>
      <c r="L126" s="8" t="s">
        <v>80</v>
      </c>
      <c r="M126" s="16" t="s">
        <v>31</v>
      </c>
      <c r="N126" s="23">
        <v>585</v>
      </c>
      <c r="O126" s="58" t="s">
        <v>346</v>
      </c>
      <c r="P126" s="47" t="str">
        <f t="shared" si="11"/>
        <v>24</v>
      </c>
      <c r="Q126" s="19" t="str">
        <f t="shared" si="12"/>
        <v>09</v>
      </c>
      <c r="R126" s="19" t="s">
        <v>27</v>
      </c>
      <c r="S126" s="19" t="s">
        <v>100</v>
      </c>
      <c r="T126" s="22" t="s">
        <v>31</v>
      </c>
      <c r="U126" s="22" t="s">
        <v>200</v>
      </c>
      <c r="V126" s="15" t="s">
        <v>93</v>
      </c>
      <c r="W126" s="14">
        <v>46006</v>
      </c>
      <c r="X126" s="16">
        <f t="shared" si="8"/>
        <v>32</v>
      </c>
      <c r="Y126" s="16"/>
      <c r="Z126" s="16"/>
      <c r="AA126" s="16"/>
      <c r="AB126" s="10" t="str">
        <f t="shared" si="9"/>
        <v>Closed in Dec</v>
      </c>
    </row>
    <row r="127" spans="1:28" x14ac:dyDescent="0.25">
      <c r="A127" s="14">
        <v>45974</v>
      </c>
      <c r="B127" s="15">
        <v>2025</v>
      </c>
      <c r="C127" s="9" t="s">
        <v>81</v>
      </c>
      <c r="D127" s="26" t="s">
        <v>315</v>
      </c>
      <c r="E127" s="16" t="s">
        <v>88</v>
      </c>
      <c r="F127" s="15" t="s">
        <v>60</v>
      </c>
      <c r="G127" s="8" t="s">
        <v>335</v>
      </c>
      <c r="H127" s="8">
        <v>7854906514</v>
      </c>
      <c r="I127" s="16"/>
      <c r="J127" s="37" t="s">
        <v>336</v>
      </c>
      <c r="K127" s="16" t="s">
        <v>155</v>
      </c>
      <c r="L127" s="8" t="s">
        <v>80</v>
      </c>
      <c r="M127" s="15" t="s">
        <v>29</v>
      </c>
      <c r="N127" s="23">
        <v>585</v>
      </c>
      <c r="O127" s="62" t="s">
        <v>347</v>
      </c>
      <c r="P127" s="47" t="str">
        <f t="shared" si="11"/>
        <v>24</v>
      </c>
      <c r="Q127" s="19" t="str">
        <f t="shared" si="12"/>
        <v>09</v>
      </c>
      <c r="R127" s="19" t="s">
        <v>27</v>
      </c>
      <c r="S127" s="19" t="s">
        <v>100</v>
      </c>
      <c r="T127" s="22" t="s">
        <v>31</v>
      </c>
      <c r="U127" s="16" t="s">
        <v>310</v>
      </c>
      <c r="V127" s="15" t="s">
        <v>93</v>
      </c>
      <c r="W127" s="14">
        <v>46006</v>
      </c>
      <c r="X127" s="16">
        <f t="shared" si="8"/>
        <v>32</v>
      </c>
      <c r="Y127" s="16"/>
      <c r="Z127" s="16"/>
      <c r="AA127" s="16"/>
      <c r="AB127" s="10" t="str">
        <f t="shared" si="9"/>
        <v>Closed in Dec</v>
      </c>
    </row>
    <row r="128" spans="1:28" x14ac:dyDescent="0.25">
      <c r="A128" s="14">
        <v>45974</v>
      </c>
      <c r="B128" s="15">
        <v>2025</v>
      </c>
      <c r="C128" s="9" t="s">
        <v>81</v>
      </c>
      <c r="D128" s="26" t="s">
        <v>315</v>
      </c>
      <c r="E128" s="16" t="s">
        <v>88</v>
      </c>
      <c r="F128" s="15" t="s">
        <v>60</v>
      </c>
      <c r="G128" s="8" t="s">
        <v>335</v>
      </c>
      <c r="H128" s="8">
        <v>7854906515</v>
      </c>
      <c r="I128" s="16"/>
      <c r="J128" s="37" t="s">
        <v>336</v>
      </c>
      <c r="K128" s="16" t="s">
        <v>155</v>
      </c>
      <c r="L128" s="8" t="s">
        <v>80</v>
      </c>
      <c r="M128" s="15" t="s">
        <v>29</v>
      </c>
      <c r="N128" s="23">
        <v>585</v>
      </c>
      <c r="O128" s="58" t="s">
        <v>348</v>
      </c>
      <c r="P128" s="47" t="str">
        <f t="shared" si="11"/>
        <v>24</v>
      </c>
      <c r="Q128" s="19" t="str">
        <f t="shared" si="12"/>
        <v>09</v>
      </c>
      <c r="R128" s="19" t="s">
        <v>27</v>
      </c>
      <c r="S128" s="19" t="s">
        <v>100</v>
      </c>
      <c r="T128" s="22" t="s">
        <v>31</v>
      </c>
      <c r="U128" s="15" t="s">
        <v>338</v>
      </c>
      <c r="V128" s="15" t="s">
        <v>93</v>
      </c>
      <c r="W128" s="14">
        <v>46006</v>
      </c>
      <c r="X128" s="16">
        <f t="shared" si="8"/>
        <v>32</v>
      </c>
      <c r="Y128" s="16"/>
      <c r="Z128" s="16"/>
      <c r="AA128" s="16"/>
      <c r="AB128" s="10" t="str">
        <f t="shared" si="9"/>
        <v>Closed in Dec</v>
      </c>
    </row>
    <row r="129" spans="1:28" x14ac:dyDescent="0.25">
      <c r="A129" s="14">
        <v>45974</v>
      </c>
      <c r="B129" s="15">
        <v>2025</v>
      </c>
      <c r="C129" s="9" t="s">
        <v>81</v>
      </c>
      <c r="D129" s="26" t="s">
        <v>315</v>
      </c>
      <c r="E129" s="16" t="s">
        <v>88</v>
      </c>
      <c r="F129" s="15" t="s">
        <v>60</v>
      </c>
      <c r="G129" s="8" t="s">
        <v>335</v>
      </c>
      <c r="H129" s="8">
        <v>7854906516</v>
      </c>
      <c r="I129" s="16"/>
      <c r="J129" s="37" t="s">
        <v>336</v>
      </c>
      <c r="K129" s="16" t="s">
        <v>155</v>
      </c>
      <c r="L129" s="8" t="s">
        <v>80</v>
      </c>
      <c r="M129" s="16" t="s">
        <v>31</v>
      </c>
      <c r="N129" s="23">
        <v>585</v>
      </c>
      <c r="O129" s="58" t="s">
        <v>349</v>
      </c>
      <c r="P129" s="47" t="str">
        <f t="shared" si="11"/>
        <v>24</v>
      </c>
      <c r="Q129" s="19" t="str">
        <f t="shared" si="12"/>
        <v>09</v>
      </c>
      <c r="R129" s="19" t="s">
        <v>27</v>
      </c>
      <c r="S129" s="19" t="s">
        <v>100</v>
      </c>
      <c r="T129" s="22" t="s">
        <v>31</v>
      </c>
      <c r="U129" s="16" t="s">
        <v>205</v>
      </c>
      <c r="V129" s="15" t="s">
        <v>93</v>
      </c>
      <c r="W129" s="14">
        <v>46006</v>
      </c>
      <c r="X129" s="16">
        <f t="shared" si="8"/>
        <v>32</v>
      </c>
      <c r="Y129" s="16"/>
      <c r="Z129" s="16"/>
      <c r="AA129" s="16"/>
      <c r="AB129" s="10" t="str">
        <f t="shared" si="9"/>
        <v>Closed in Dec</v>
      </c>
    </row>
    <row r="130" spans="1:28" x14ac:dyDescent="0.25">
      <c r="A130" s="14">
        <v>45974</v>
      </c>
      <c r="B130" s="15">
        <v>2025</v>
      </c>
      <c r="C130" s="9" t="s">
        <v>81</v>
      </c>
      <c r="D130" s="26" t="s">
        <v>315</v>
      </c>
      <c r="E130" s="16" t="s">
        <v>88</v>
      </c>
      <c r="F130" s="15" t="s">
        <v>60</v>
      </c>
      <c r="G130" s="8" t="s">
        <v>335</v>
      </c>
      <c r="H130" s="8">
        <v>7854906517</v>
      </c>
      <c r="I130" s="16"/>
      <c r="J130" s="37" t="s">
        <v>336</v>
      </c>
      <c r="K130" s="16" t="s">
        <v>155</v>
      </c>
      <c r="L130" s="8" t="s">
        <v>80</v>
      </c>
      <c r="M130" s="16" t="s">
        <v>31</v>
      </c>
      <c r="N130" s="23">
        <v>585</v>
      </c>
      <c r="O130" s="58" t="s">
        <v>350</v>
      </c>
      <c r="P130" s="47" t="str">
        <f t="shared" si="11"/>
        <v>24</v>
      </c>
      <c r="Q130" s="19" t="str">
        <f t="shared" si="12"/>
        <v>09</v>
      </c>
      <c r="R130" s="19" t="s">
        <v>27</v>
      </c>
      <c r="S130" s="19" t="s">
        <v>100</v>
      </c>
      <c r="T130" s="22" t="s">
        <v>31</v>
      </c>
      <c r="U130" s="16" t="s">
        <v>205</v>
      </c>
      <c r="V130" s="15" t="s">
        <v>93</v>
      </c>
      <c r="W130" s="14">
        <v>46006</v>
      </c>
      <c r="X130" s="16">
        <f t="shared" ref="X130:X193" si="13">W130-A130</f>
        <v>32</v>
      </c>
      <c r="Y130" s="16"/>
      <c r="Z130" s="16"/>
      <c r="AA130" s="16"/>
      <c r="AB130" s="10" t="str">
        <f t="shared" ref="AB130:AB193" si="14">IF(AND(F130="Closed",W130&gt;=DATE(2025,12,1),W130&lt;=DATE(2025,12,31)),"Closed in Dec","Other")</f>
        <v>Closed in Dec</v>
      </c>
    </row>
    <row r="131" spans="1:28" x14ac:dyDescent="0.25">
      <c r="A131" s="14">
        <v>45974</v>
      </c>
      <c r="B131" s="15">
        <v>2025</v>
      </c>
      <c r="C131" s="9" t="s">
        <v>81</v>
      </c>
      <c r="D131" s="26" t="s">
        <v>315</v>
      </c>
      <c r="E131" s="16" t="s">
        <v>88</v>
      </c>
      <c r="F131" s="15" t="s">
        <v>60</v>
      </c>
      <c r="G131" s="8" t="s">
        <v>335</v>
      </c>
      <c r="H131" s="8">
        <v>7854906518</v>
      </c>
      <c r="I131" s="16"/>
      <c r="J131" s="37" t="s">
        <v>336</v>
      </c>
      <c r="K131" s="16" t="s">
        <v>155</v>
      </c>
      <c r="L131" s="8" t="s">
        <v>80</v>
      </c>
      <c r="M131" s="8" t="s">
        <v>117</v>
      </c>
      <c r="N131" s="23">
        <v>585</v>
      </c>
      <c r="O131" s="58" t="s">
        <v>351</v>
      </c>
      <c r="P131" s="47" t="str">
        <f t="shared" si="11"/>
        <v>24</v>
      </c>
      <c r="Q131" s="19" t="str">
        <f t="shared" si="12"/>
        <v>09</v>
      </c>
      <c r="R131" s="19" t="s">
        <v>27</v>
      </c>
      <c r="S131" s="19" t="s">
        <v>100</v>
      </c>
      <c r="T131" s="15" t="s">
        <v>352</v>
      </c>
      <c r="U131" s="15" t="s">
        <v>352</v>
      </c>
      <c r="V131" s="39" t="s">
        <v>94</v>
      </c>
      <c r="W131" s="14">
        <v>46006</v>
      </c>
      <c r="X131" s="16">
        <f t="shared" si="13"/>
        <v>32</v>
      </c>
      <c r="Y131" s="16"/>
      <c r="Z131" s="16"/>
      <c r="AA131" s="16"/>
      <c r="AB131" s="10" t="str">
        <f t="shared" si="14"/>
        <v>Closed in Dec</v>
      </c>
    </row>
    <row r="132" spans="1:28" x14ac:dyDescent="0.25">
      <c r="A132" s="14">
        <v>45974</v>
      </c>
      <c r="B132" s="15">
        <v>2025</v>
      </c>
      <c r="C132" s="9" t="s">
        <v>81</v>
      </c>
      <c r="D132" s="26" t="s">
        <v>315</v>
      </c>
      <c r="E132" s="16" t="s">
        <v>88</v>
      </c>
      <c r="F132" s="15" t="s">
        <v>60</v>
      </c>
      <c r="G132" s="8" t="s">
        <v>335</v>
      </c>
      <c r="H132" s="8">
        <v>7854906519</v>
      </c>
      <c r="I132" s="16"/>
      <c r="J132" s="37" t="s">
        <v>336</v>
      </c>
      <c r="K132" s="16" t="s">
        <v>155</v>
      </c>
      <c r="L132" s="8" t="s">
        <v>80</v>
      </c>
      <c r="M132" s="8" t="s">
        <v>117</v>
      </c>
      <c r="N132" s="23">
        <v>585</v>
      </c>
      <c r="O132" s="58" t="s">
        <v>353</v>
      </c>
      <c r="P132" s="47" t="str">
        <f t="shared" si="11"/>
        <v>24</v>
      </c>
      <c r="Q132" s="19" t="str">
        <f t="shared" si="12"/>
        <v>09</v>
      </c>
      <c r="R132" s="19" t="s">
        <v>27</v>
      </c>
      <c r="S132" s="19" t="s">
        <v>100</v>
      </c>
      <c r="T132" s="15" t="s">
        <v>352</v>
      </c>
      <c r="U132" s="15" t="s">
        <v>352</v>
      </c>
      <c r="V132" s="39" t="s">
        <v>94</v>
      </c>
      <c r="W132" s="14">
        <v>46006</v>
      </c>
      <c r="X132" s="16">
        <f t="shared" si="13"/>
        <v>32</v>
      </c>
      <c r="Y132" s="16"/>
      <c r="Z132" s="16"/>
      <c r="AA132" s="16"/>
      <c r="AB132" s="10" t="str">
        <f t="shared" si="14"/>
        <v>Closed in Dec</v>
      </c>
    </row>
    <row r="133" spans="1:28" x14ac:dyDescent="0.25">
      <c r="A133" s="14">
        <v>45974</v>
      </c>
      <c r="B133" s="15">
        <v>2025</v>
      </c>
      <c r="C133" s="9" t="s">
        <v>81</v>
      </c>
      <c r="D133" s="26" t="s">
        <v>315</v>
      </c>
      <c r="E133" s="16" t="s">
        <v>88</v>
      </c>
      <c r="F133" s="15" t="s">
        <v>60</v>
      </c>
      <c r="G133" s="8" t="s">
        <v>335</v>
      </c>
      <c r="H133" s="8">
        <v>7854906520</v>
      </c>
      <c r="I133" s="16"/>
      <c r="J133" s="37" t="s">
        <v>336</v>
      </c>
      <c r="K133" s="16" t="s">
        <v>155</v>
      </c>
      <c r="L133" s="8" t="s">
        <v>80</v>
      </c>
      <c r="M133" s="8" t="s">
        <v>117</v>
      </c>
      <c r="N133" s="23">
        <v>585</v>
      </c>
      <c r="O133" s="58" t="s">
        <v>354</v>
      </c>
      <c r="P133" s="47" t="str">
        <f t="shared" si="11"/>
        <v>24</v>
      </c>
      <c r="Q133" s="19" t="str">
        <f t="shared" si="12"/>
        <v>09</v>
      </c>
      <c r="R133" s="19" t="s">
        <v>27</v>
      </c>
      <c r="S133" s="19" t="s">
        <v>100</v>
      </c>
      <c r="T133" s="15" t="s">
        <v>352</v>
      </c>
      <c r="U133" s="15" t="s">
        <v>352</v>
      </c>
      <c r="V133" s="39" t="s">
        <v>94</v>
      </c>
      <c r="W133" s="14">
        <v>46006</v>
      </c>
      <c r="X133" s="16">
        <f t="shared" si="13"/>
        <v>32</v>
      </c>
      <c r="Y133" s="16"/>
      <c r="Z133" s="16"/>
      <c r="AA133" s="16"/>
      <c r="AB133" s="10" t="str">
        <f t="shared" si="14"/>
        <v>Closed in Dec</v>
      </c>
    </row>
    <row r="134" spans="1:28" x14ac:dyDescent="0.25">
      <c r="A134" s="14">
        <v>45974</v>
      </c>
      <c r="B134" s="15">
        <v>2025</v>
      </c>
      <c r="C134" s="9" t="s">
        <v>81</v>
      </c>
      <c r="D134" s="26" t="s">
        <v>315</v>
      </c>
      <c r="E134" s="16" t="s">
        <v>88</v>
      </c>
      <c r="F134" s="15" t="s">
        <v>60</v>
      </c>
      <c r="G134" s="8" t="s">
        <v>335</v>
      </c>
      <c r="H134" s="8">
        <v>7854906521</v>
      </c>
      <c r="I134" s="16"/>
      <c r="J134" s="37" t="s">
        <v>336</v>
      </c>
      <c r="K134" s="16" t="s">
        <v>155</v>
      </c>
      <c r="L134" s="8" t="s">
        <v>80</v>
      </c>
      <c r="M134" s="16" t="s">
        <v>31</v>
      </c>
      <c r="N134" s="23">
        <v>585</v>
      </c>
      <c r="O134" s="58" t="s">
        <v>355</v>
      </c>
      <c r="P134" s="47" t="str">
        <f t="shared" si="11"/>
        <v>24</v>
      </c>
      <c r="Q134" s="19" t="str">
        <f t="shared" si="12"/>
        <v>09</v>
      </c>
      <c r="R134" s="19" t="s">
        <v>27</v>
      </c>
      <c r="S134" s="19" t="s">
        <v>100</v>
      </c>
      <c r="T134" s="22" t="s">
        <v>31</v>
      </c>
      <c r="U134" s="16" t="s">
        <v>205</v>
      </c>
      <c r="V134" s="38" t="s">
        <v>93</v>
      </c>
      <c r="W134" s="14">
        <v>46007</v>
      </c>
      <c r="X134" s="16">
        <f t="shared" si="13"/>
        <v>33</v>
      </c>
      <c r="Y134" s="16"/>
      <c r="Z134" s="16"/>
      <c r="AA134" s="16"/>
      <c r="AB134" s="10" t="str">
        <f t="shared" si="14"/>
        <v>Closed in Dec</v>
      </c>
    </row>
    <row r="135" spans="1:28" x14ac:dyDescent="0.25">
      <c r="A135" s="14">
        <v>45974</v>
      </c>
      <c r="B135" s="15">
        <v>2025</v>
      </c>
      <c r="C135" s="9" t="s">
        <v>81</v>
      </c>
      <c r="D135" s="26" t="s">
        <v>315</v>
      </c>
      <c r="E135" s="16" t="s">
        <v>88</v>
      </c>
      <c r="F135" s="15" t="s">
        <v>60</v>
      </c>
      <c r="G135" s="8" t="s">
        <v>335</v>
      </c>
      <c r="H135" s="8">
        <v>7854906522</v>
      </c>
      <c r="I135" s="16"/>
      <c r="J135" s="37" t="s">
        <v>336</v>
      </c>
      <c r="K135" s="16" t="s">
        <v>155</v>
      </c>
      <c r="L135" s="8" t="s">
        <v>80</v>
      </c>
      <c r="M135" s="15" t="s">
        <v>29</v>
      </c>
      <c r="N135" s="23">
        <v>585</v>
      </c>
      <c r="O135" s="58" t="s">
        <v>356</v>
      </c>
      <c r="P135" s="47" t="str">
        <f t="shared" si="11"/>
        <v>24</v>
      </c>
      <c r="Q135" s="19" t="str">
        <f t="shared" si="12"/>
        <v>09</v>
      </c>
      <c r="R135" s="19" t="s">
        <v>27</v>
      </c>
      <c r="S135" s="19" t="s">
        <v>100</v>
      </c>
      <c r="T135" s="22" t="s">
        <v>31</v>
      </c>
      <c r="U135" s="16" t="s">
        <v>314</v>
      </c>
      <c r="V135" s="38" t="s">
        <v>93</v>
      </c>
      <c r="W135" s="14">
        <v>46007</v>
      </c>
      <c r="X135" s="16">
        <f t="shared" si="13"/>
        <v>33</v>
      </c>
      <c r="Y135" s="16"/>
      <c r="Z135" s="16"/>
      <c r="AA135" s="16"/>
      <c r="AB135" s="10" t="str">
        <f t="shared" si="14"/>
        <v>Closed in Dec</v>
      </c>
    </row>
    <row r="136" spans="1:28" x14ac:dyDescent="0.25">
      <c r="A136" s="14">
        <v>45974</v>
      </c>
      <c r="B136" s="15">
        <v>2025</v>
      </c>
      <c r="C136" s="9" t="s">
        <v>81</v>
      </c>
      <c r="D136" s="26" t="s">
        <v>315</v>
      </c>
      <c r="E136" s="16" t="s">
        <v>88</v>
      </c>
      <c r="F136" s="15" t="s">
        <v>60</v>
      </c>
      <c r="G136" s="8" t="s">
        <v>335</v>
      </c>
      <c r="H136" s="8">
        <v>7854906523</v>
      </c>
      <c r="I136" s="16"/>
      <c r="J136" s="37" t="s">
        <v>336</v>
      </c>
      <c r="K136" s="16" t="s">
        <v>155</v>
      </c>
      <c r="L136" s="8" t="s">
        <v>80</v>
      </c>
      <c r="M136" s="15" t="s">
        <v>29</v>
      </c>
      <c r="N136" s="23">
        <v>585</v>
      </c>
      <c r="O136" s="58" t="s">
        <v>357</v>
      </c>
      <c r="P136" s="47" t="str">
        <f t="shared" si="11"/>
        <v>24</v>
      </c>
      <c r="Q136" s="19" t="str">
        <f t="shared" si="12"/>
        <v>09</v>
      </c>
      <c r="R136" s="19" t="s">
        <v>27</v>
      </c>
      <c r="S136" s="19" t="s">
        <v>100</v>
      </c>
      <c r="T136" s="22" t="s">
        <v>31</v>
      </c>
      <c r="U136" s="38" t="s">
        <v>338</v>
      </c>
      <c r="V136" s="38" t="s">
        <v>93</v>
      </c>
      <c r="W136" s="14">
        <v>46007</v>
      </c>
      <c r="X136" s="16">
        <f t="shared" si="13"/>
        <v>33</v>
      </c>
      <c r="Y136" s="16"/>
      <c r="Z136" s="16"/>
      <c r="AA136" s="16"/>
      <c r="AB136" s="10" t="str">
        <f t="shared" si="14"/>
        <v>Closed in Dec</v>
      </c>
    </row>
    <row r="137" spans="1:28" x14ac:dyDescent="0.25">
      <c r="A137" s="14">
        <v>45974</v>
      </c>
      <c r="B137" s="15">
        <v>2025</v>
      </c>
      <c r="C137" s="9" t="s">
        <v>81</v>
      </c>
      <c r="D137" s="26" t="s">
        <v>315</v>
      </c>
      <c r="E137" s="16" t="s">
        <v>88</v>
      </c>
      <c r="F137" s="15" t="s">
        <v>60</v>
      </c>
      <c r="G137" s="8" t="s">
        <v>335</v>
      </c>
      <c r="H137" s="8">
        <v>7854906524</v>
      </c>
      <c r="I137" s="16"/>
      <c r="J137" s="37" t="s">
        <v>336</v>
      </c>
      <c r="K137" s="16" t="s">
        <v>155</v>
      </c>
      <c r="L137" s="8" t="s">
        <v>80</v>
      </c>
      <c r="M137" s="15" t="s">
        <v>29</v>
      </c>
      <c r="N137" s="23">
        <v>585</v>
      </c>
      <c r="O137" s="58" t="s">
        <v>358</v>
      </c>
      <c r="P137" s="47" t="str">
        <f t="shared" si="11"/>
        <v>24</v>
      </c>
      <c r="Q137" s="19" t="str">
        <f t="shared" si="12"/>
        <v>09</v>
      </c>
      <c r="R137" s="19" t="s">
        <v>27</v>
      </c>
      <c r="S137" s="19" t="s">
        <v>100</v>
      </c>
      <c r="T137" s="22" t="s">
        <v>31</v>
      </c>
      <c r="U137" s="38" t="s">
        <v>338</v>
      </c>
      <c r="V137" s="38" t="s">
        <v>93</v>
      </c>
      <c r="W137" s="14">
        <v>46007</v>
      </c>
      <c r="X137" s="16">
        <f t="shared" si="13"/>
        <v>33</v>
      </c>
      <c r="Y137" s="16"/>
      <c r="Z137" s="16"/>
      <c r="AA137" s="16"/>
      <c r="AB137" s="10" t="str">
        <f t="shared" si="14"/>
        <v>Closed in Dec</v>
      </c>
    </row>
    <row r="138" spans="1:28" x14ac:dyDescent="0.25">
      <c r="A138" s="14">
        <v>45974</v>
      </c>
      <c r="B138" s="15">
        <v>2025</v>
      </c>
      <c r="C138" s="9" t="s">
        <v>81</v>
      </c>
      <c r="D138" s="26" t="s">
        <v>315</v>
      </c>
      <c r="E138" s="16" t="s">
        <v>88</v>
      </c>
      <c r="F138" s="15" t="s">
        <v>60</v>
      </c>
      <c r="G138" s="8" t="s">
        <v>335</v>
      </c>
      <c r="H138" s="8">
        <v>7854906525</v>
      </c>
      <c r="I138" s="16"/>
      <c r="J138" s="37" t="s">
        <v>336</v>
      </c>
      <c r="K138" s="16" t="s">
        <v>155</v>
      </c>
      <c r="L138" s="8" t="s">
        <v>80</v>
      </c>
      <c r="M138" s="15" t="s">
        <v>29</v>
      </c>
      <c r="N138" s="23">
        <v>585</v>
      </c>
      <c r="O138" s="58" t="s">
        <v>359</v>
      </c>
      <c r="P138" s="47" t="str">
        <f t="shared" ref="P138:P169" si="15">MID(O138,5,2)</f>
        <v>24</v>
      </c>
      <c r="Q138" s="19" t="str">
        <f t="shared" ref="Q138:Q169" si="16">MID(O138,7,2)</f>
        <v>09</v>
      </c>
      <c r="R138" s="19" t="s">
        <v>27</v>
      </c>
      <c r="S138" s="19" t="s">
        <v>100</v>
      </c>
      <c r="T138" s="22" t="s">
        <v>31</v>
      </c>
      <c r="U138" s="38" t="s">
        <v>338</v>
      </c>
      <c r="V138" s="38" t="s">
        <v>93</v>
      </c>
      <c r="W138" s="14">
        <v>46007</v>
      </c>
      <c r="X138" s="16">
        <f t="shared" si="13"/>
        <v>33</v>
      </c>
      <c r="Y138" s="16"/>
      <c r="Z138" s="16"/>
      <c r="AA138" s="16"/>
      <c r="AB138" s="10" t="str">
        <f t="shared" si="14"/>
        <v>Closed in Dec</v>
      </c>
    </row>
    <row r="139" spans="1:28" x14ac:dyDescent="0.25">
      <c r="A139" s="14">
        <v>45974</v>
      </c>
      <c r="B139" s="15">
        <v>2025</v>
      </c>
      <c r="C139" s="9" t="s">
        <v>81</v>
      </c>
      <c r="D139" s="26" t="s">
        <v>315</v>
      </c>
      <c r="E139" s="16" t="s">
        <v>88</v>
      </c>
      <c r="F139" s="15" t="s">
        <v>60</v>
      </c>
      <c r="G139" s="8" t="s">
        <v>335</v>
      </c>
      <c r="H139" s="8">
        <v>7854906526</v>
      </c>
      <c r="I139" s="16"/>
      <c r="J139" s="37" t="s">
        <v>336</v>
      </c>
      <c r="K139" s="16" t="s">
        <v>155</v>
      </c>
      <c r="L139" s="8" t="s">
        <v>80</v>
      </c>
      <c r="M139" s="15" t="s">
        <v>29</v>
      </c>
      <c r="N139" s="23">
        <v>585</v>
      </c>
      <c r="O139" s="62" t="s">
        <v>360</v>
      </c>
      <c r="P139" s="47" t="str">
        <f t="shared" si="15"/>
        <v>24</v>
      </c>
      <c r="Q139" s="19" t="str">
        <f t="shared" si="16"/>
        <v>09</v>
      </c>
      <c r="R139" s="19" t="s">
        <v>27</v>
      </c>
      <c r="S139" s="19" t="s">
        <v>100</v>
      </c>
      <c r="T139" s="22" t="s">
        <v>31</v>
      </c>
      <c r="U139" s="16" t="s">
        <v>314</v>
      </c>
      <c r="V139" s="38" t="s">
        <v>93</v>
      </c>
      <c r="W139" s="14">
        <v>46008</v>
      </c>
      <c r="X139" s="16">
        <f t="shared" si="13"/>
        <v>34</v>
      </c>
      <c r="Y139" s="16"/>
      <c r="Z139" s="16"/>
      <c r="AA139" s="16"/>
      <c r="AB139" s="10" t="str">
        <f t="shared" si="14"/>
        <v>Closed in Dec</v>
      </c>
    </row>
    <row r="140" spans="1:28" x14ac:dyDescent="0.25">
      <c r="A140" s="14">
        <v>45974</v>
      </c>
      <c r="B140" s="15">
        <v>2025</v>
      </c>
      <c r="C140" s="9" t="s">
        <v>81</v>
      </c>
      <c r="D140" s="26" t="s">
        <v>315</v>
      </c>
      <c r="E140" s="16" t="s">
        <v>88</v>
      </c>
      <c r="F140" s="15" t="s">
        <v>60</v>
      </c>
      <c r="G140" s="8" t="s">
        <v>335</v>
      </c>
      <c r="H140" s="8">
        <v>7854906527</v>
      </c>
      <c r="I140" s="16"/>
      <c r="J140" s="37" t="s">
        <v>336</v>
      </c>
      <c r="K140" s="16" t="s">
        <v>155</v>
      </c>
      <c r="L140" s="8" t="s">
        <v>80</v>
      </c>
      <c r="M140" s="15" t="s">
        <v>29</v>
      </c>
      <c r="N140" s="23">
        <v>585</v>
      </c>
      <c r="O140" s="62" t="s">
        <v>361</v>
      </c>
      <c r="P140" s="47" t="str">
        <f t="shared" si="15"/>
        <v>24</v>
      </c>
      <c r="Q140" s="19" t="str">
        <f t="shared" si="16"/>
        <v>09</v>
      </c>
      <c r="R140" s="19" t="s">
        <v>27</v>
      </c>
      <c r="S140" s="19" t="s">
        <v>100</v>
      </c>
      <c r="T140" s="22" t="s">
        <v>31</v>
      </c>
      <c r="U140" s="38" t="s">
        <v>338</v>
      </c>
      <c r="V140" s="38" t="s">
        <v>93</v>
      </c>
      <c r="W140" s="14">
        <v>46008</v>
      </c>
      <c r="X140" s="16">
        <f t="shared" si="13"/>
        <v>34</v>
      </c>
      <c r="Y140" s="16"/>
      <c r="Z140" s="16"/>
      <c r="AA140" s="16"/>
      <c r="AB140" s="10" t="str">
        <f t="shared" si="14"/>
        <v>Closed in Dec</v>
      </c>
    </row>
    <row r="141" spans="1:28" x14ac:dyDescent="0.25">
      <c r="A141" s="14">
        <v>45974</v>
      </c>
      <c r="B141" s="15">
        <v>2025</v>
      </c>
      <c r="C141" s="9" t="s">
        <v>81</v>
      </c>
      <c r="D141" s="26" t="s">
        <v>315</v>
      </c>
      <c r="E141" s="16" t="s">
        <v>88</v>
      </c>
      <c r="F141" s="15" t="s">
        <v>60</v>
      </c>
      <c r="G141" s="8" t="s">
        <v>335</v>
      </c>
      <c r="H141" s="8">
        <v>7854906528</v>
      </c>
      <c r="I141" s="16"/>
      <c r="J141" s="37" t="s">
        <v>336</v>
      </c>
      <c r="K141" s="16" t="s">
        <v>155</v>
      </c>
      <c r="L141" s="8" t="s">
        <v>80</v>
      </c>
      <c r="M141" s="15" t="s">
        <v>29</v>
      </c>
      <c r="N141" s="23">
        <v>585</v>
      </c>
      <c r="O141" s="62" t="s">
        <v>362</v>
      </c>
      <c r="P141" s="47" t="str">
        <f t="shared" si="15"/>
        <v>24</v>
      </c>
      <c r="Q141" s="19" t="str">
        <f t="shared" si="16"/>
        <v>09</v>
      </c>
      <c r="R141" s="19" t="s">
        <v>27</v>
      </c>
      <c r="S141" s="19" t="s">
        <v>100</v>
      </c>
      <c r="T141" s="22" t="s">
        <v>31</v>
      </c>
      <c r="U141" s="38" t="s">
        <v>338</v>
      </c>
      <c r="V141" s="38" t="s">
        <v>93</v>
      </c>
      <c r="W141" s="14">
        <v>46008</v>
      </c>
      <c r="X141" s="16">
        <f t="shared" si="13"/>
        <v>34</v>
      </c>
      <c r="Y141" s="16"/>
      <c r="Z141" s="16"/>
      <c r="AA141" s="16"/>
      <c r="AB141" s="10" t="str">
        <f t="shared" si="14"/>
        <v>Closed in Dec</v>
      </c>
    </row>
    <row r="142" spans="1:28" x14ac:dyDescent="0.25">
      <c r="A142" s="14">
        <v>45974</v>
      </c>
      <c r="B142" s="15">
        <v>2025</v>
      </c>
      <c r="C142" s="9" t="s">
        <v>81</v>
      </c>
      <c r="D142" s="26" t="s">
        <v>315</v>
      </c>
      <c r="E142" s="16" t="s">
        <v>88</v>
      </c>
      <c r="F142" s="15" t="s">
        <v>60</v>
      </c>
      <c r="G142" s="8" t="s">
        <v>335</v>
      </c>
      <c r="H142" s="8">
        <v>7854906529</v>
      </c>
      <c r="I142" s="16"/>
      <c r="J142" s="37" t="s">
        <v>336</v>
      </c>
      <c r="K142" s="16" t="s">
        <v>155</v>
      </c>
      <c r="L142" s="8" t="s">
        <v>80</v>
      </c>
      <c r="M142" s="8" t="s">
        <v>117</v>
      </c>
      <c r="N142" s="23">
        <v>585</v>
      </c>
      <c r="O142" s="62" t="s">
        <v>363</v>
      </c>
      <c r="P142" s="47" t="str">
        <f t="shared" si="15"/>
        <v>24</v>
      </c>
      <c r="Q142" s="19" t="str">
        <f t="shared" si="16"/>
        <v>09</v>
      </c>
      <c r="R142" s="19" t="s">
        <v>27</v>
      </c>
      <c r="S142" s="19" t="s">
        <v>100</v>
      </c>
      <c r="T142" s="15" t="s">
        <v>352</v>
      </c>
      <c r="U142" s="15" t="s">
        <v>352</v>
      </c>
      <c r="V142" s="38" t="s">
        <v>94</v>
      </c>
      <c r="W142" s="14">
        <v>46008</v>
      </c>
      <c r="X142" s="16">
        <f t="shared" si="13"/>
        <v>34</v>
      </c>
      <c r="Y142" s="16"/>
      <c r="Z142" s="16"/>
      <c r="AA142" s="16"/>
      <c r="AB142" s="10" t="str">
        <f t="shared" si="14"/>
        <v>Closed in Dec</v>
      </c>
    </row>
    <row r="143" spans="1:28" x14ac:dyDescent="0.25">
      <c r="A143" s="14">
        <v>45974</v>
      </c>
      <c r="B143" s="15">
        <v>2025</v>
      </c>
      <c r="C143" s="9" t="s">
        <v>81</v>
      </c>
      <c r="D143" s="26" t="s">
        <v>315</v>
      </c>
      <c r="E143" s="16" t="s">
        <v>88</v>
      </c>
      <c r="F143" s="15" t="s">
        <v>60</v>
      </c>
      <c r="G143" s="8" t="s">
        <v>335</v>
      </c>
      <c r="H143" s="8">
        <v>7854906530</v>
      </c>
      <c r="I143" s="16"/>
      <c r="J143" s="37" t="s">
        <v>336</v>
      </c>
      <c r="K143" s="16" t="s">
        <v>155</v>
      </c>
      <c r="L143" s="8" t="s">
        <v>80</v>
      </c>
      <c r="M143" s="38" t="s">
        <v>29</v>
      </c>
      <c r="N143" s="23">
        <v>585</v>
      </c>
      <c r="O143" s="62" t="s">
        <v>364</v>
      </c>
      <c r="P143" s="47" t="str">
        <f t="shared" si="15"/>
        <v>24</v>
      </c>
      <c r="Q143" s="19" t="str">
        <f t="shared" si="16"/>
        <v>09</v>
      </c>
      <c r="R143" s="19" t="s">
        <v>27</v>
      </c>
      <c r="S143" s="19" t="s">
        <v>100</v>
      </c>
      <c r="T143" s="22" t="s">
        <v>31</v>
      </c>
      <c r="U143" s="38" t="s">
        <v>338</v>
      </c>
      <c r="V143" s="38" t="s">
        <v>93</v>
      </c>
      <c r="W143" s="14">
        <v>46009</v>
      </c>
      <c r="X143" s="16">
        <f t="shared" si="13"/>
        <v>35</v>
      </c>
      <c r="Y143" s="16"/>
      <c r="Z143" s="16"/>
      <c r="AA143" s="16"/>
      <c r="AB143" s="10" t="str">
        <f t="shared" si="14"/>
        <v>Closed in Dec</v>
      </c>
    </row>
    <row r="144" spans="1:28" x14ac:dyDescent="0.25">
      <c r="A144" s="14">
        <v>45974</v>
      </c>
      <c r="B144" s="15">
        <v>2025</v>
      </c>
      <c r="C144" s="9" t="s">
        <v>81</v>
      </c>
      <c r="D144" s="26" t="s">
        <v>315</v>
      </c>
      <c r="E144" s="16" t="s">
        <v>88</v>
      </c>
      <c r="F144" s="15" t="s">
        <v>60</v>
      </c>
      <c r="G144" s="8" t="s">
        <v>335</v>
      </c>
      <c r="H144" s="8">
        <v>7854906531</v>
      </c>
      <c r="I144" s="16"/>
      <c r="J144" s="37" t="s">
        <v>336</v>
      </c>
      <c r="K144" s="16" t="s">
        <v>155</v>
      </c>
      <c r="L144" s="8" t="s">
        <v>80</v>
      </c>
      <c r="M144" s="38" t="s">
        <v>29</v>
      </c>
      <c r="N144" s="23">
        <v>585</v>
      </c>
      <c r="O144" s="62" t="s">
        <v>365</v>
      </c>
      <c r="P144" s="47" t="str">
        <f t="shared" si="15"/>
        <v>24</v>
      </c>
      <c r="Q144" s="19" t="str">
        <f t="shared" si="16"/>
        <v>09</v>
      </c>
      <c r="R144" s="19" t="s">
        <v>27</v>
      </c>
      <c r="S144" s="19" t="s">
        <v>100</v>
      </c>
      <c r="T144" s="22" t="s">
        <v>31</v>
      </c>
      <c r="U144" s="38" t="s">
        <v>338</v>
      </c>
      <c r="V144" s="38" t="s">
        <v>93</v>
      </c>
      <c r="W144" s="14">
        <v>46009</v>
      </c>
      <c r="X144" s="16">
        <f t="shared" si="13"/>
        <v>35</v>
      </c>
      <c r="Y144" s="16"/>
      <c r="Z144" s="16"/>
      <c r="AA144" s="16"/>
      <c r="AB144" s="10" t="str">
        <f t="shared" si="14"/>
        <v>Closed in Dec</v>
      </c>
    </row>
    <row r="145" spans="1:28" x14ac:dyDescent="0.25">
      <c r="A145" s="14">
        <v>45974</v>
      </c>
      <c r="B145" s="15">
        <v>2025</v>
      </c>
      <c r="C145" s="9" t="s">
        <v>81</v>
      </c>
      <c r="D145" s="26" t="s">
        <v>315</v>
      </c>
      <c r="E145" s="16" t="s">
        <v>88</v>
      </c>
      <c r="F145" s="15" t="s">
        <v>60</v>
      </c>
      <c r="G145" s="8" t="s">
        <v>335</v>
      </c>
      <c r="H145" s="8">
        <v>7854906532</v>
      </c>
      <c r="I145" s="16"/>
      <c r="J145" s="37" t="s">
        <v>336</v>
      </c>
      <c r="K145" s="16" t="s">
        <v>155</v>
      </c>
      <c r="L145" s="8" t="s">
        <v>80</v>
      </c>
      <c r="M145" s="38" t="s">
        <v>29</v>
      </c>
      <c r="N145" s="23">
        <v>585</v>
      </c>
      <c r="O145" s="62" t="s">
        <v>366</v>
      </c>
      <c r="P145" s="47" t="str">
        <f t="shared" si="15"/>
        <v>24</v>
      </c>
      <c r="Q145" s="19" t="str">
        <f t="shared" si="16"/>
        <v>09</v>
      </c>
      <c r="R145" s="19" t="s">
        <v>27</v>
      </c>
      <c r="S145" s="19" t="s">
        <v>100</v>
      </c>
      <c r="T145" s="22" t="s">
        <v>31</v>
      </c>
      <c r="U145" s="38" t="s">
        <v>338</v>
      </c>
      <c r="V145" s="38" t="s">
        <v>93</v>
      </c>
      <c r="W145" s="14">
        <v>46009</v>
      </c>
      <c r="X145" s="16">
        <f t="shared" si="13"/>
        <v>35</v>
      </c>
      <c r="Y145" s="16"/>
      <c r="Z145" s="16"/>
      <c r="AA145" s="16"/>
      <c r="AB145" s="10" t="str">
        <f t="shared" si="14"/>
        <v>Closed in Dec</v>
      </c>
    </row>
    <row r="146" spans="1:28" x14ac:dyDescent="0.25">
      <c r="A146" s="14">
        <v>45974</v>
      </c>
      <c r="B146" s="15">
        <v>2025</v>
      </c>
      <c r="C146" s="9" t="s">
        <v>81</v>
      </c>
      <c r="D146" s="26" t="s">
        <v>315</v>
      </c>
      <c r="E146" s="16" t="s">
        <v>88</v>
      </c>
      <c r="F146" s="15" t="s">
        <v>60</v>
      </c>
      <c r="G146" s="8" t="s">
        <v>335</v>
      </c>
      <c r="H146" s="8">
        <v>7854906533</v>
      </c>
      <c r="I146" s="16"/>
      <c r="J146" s="37" t="s">
        <v>336</v>
      </c>
      <c r="K146" s="16" t="s">
        <v>155</v>
      </c>
      <c r="L146" s="8" t="s">
        <v>80</v>
      </c>
      <c r="M146" s="38" t="s">
        <v>29</v>
      </c>
      <c r="N146" s="23">
        <v>585</v>
      </c>
      <c r="O146" s="62" t="s">
        <v>367</v>
      </c>
      <c r="P146" s="47" t="str">
        <f t="shared" si="15"/>
        <v>24</v>
      </c>
      <c r="Q146" s="19" t="str">
        <f t="shared" si="16"/>
        <v>09</v>
      </c>
      <c r="R146" s="19" t="s">
        <v>27</v>
      </c>
      <c r="S146" s="19" t="s">
        <v>100</v>
      </c>
      <c r="T146" s="22" t="s">
        <v>31</v>
      </c>
      <c r="U146" s="38" t="s">
        <v>338</v>
      </c>
      <c r="V146" s="38" t="s">
        <v>93</v>
      </c>
      <c r="W146" s="14">
        <v>46009</v>
      </c>
      <c r="X146" s="16">
        <f t="shared" si="13"/>
        <v>35</v>
      </c>
      <c r="Y146" s="16"/>
      <c r="Z146" s="16"/>
      <c r="AA146" s="16"/>
      <c r="AB146" s="10" t="str">
        <f t="shared" si="14"/>
        <v>Closed in Dec</v>
      </c>
    </row>
    <row r="147" spans="1:28" x14ac:dyDescent="0.25">
      <c r="A147" s="14">
        <v>45974</v>
      </c>
      <c r="B147" s="15">
        <v>2025</v>
      </c>
      <c r="C147" s="9" t="s">
        <v>81</v>
      </c>
      <c r="D147" s="26" t="s">
        <v>315</v>
      </c>
      <c r="E147" s="16" t="s">
        <v>88</v>
      </c>
      <c r="F147" s="15" t="s">
        <v>60</v>
      </c>
      <c r="G147" s="8" t="s">
        <v>335</v>
      </c>
      <c r="H147" s="8">
        <v>7854906534</v>
      </c>
      <c r="I147" s="16"/>
      <c r="J147" s="37" t="s">
        <v>336</v>
      </c>
      <c r="K147" s="16" t="s">
        <v>155</v>
      </c>
      <c r="L147" s="8" t="s">
        <v>80</v>
      </c>
      <c r="M147" s="38" t="s">
        <v>29</v>
      </c>
      <c r="N147" s="23">
        <v>585</v>
      </c>
      <c r="O147" s="62" t="s">
        <v>368</v>
      </c>
      <c r="P147" s="47" t="str">
        <f t="shared" si="15"/>
        <v>24</v>
      </c>
      <c r="Q147" s="19" t="str">
        <f t="shared" si="16"/>
        <v>09</v>
      </c>
      <c r="R147" s="19" t="s">
        <v>27</v>
      </c>
      <c r="S147" s="19" t="s">
        <v>100</v>
      </c>
      <c r="T147" s="22" t="s">
        <v>31</v>
      </c>
      <c r="U147" s="38" t="s">
        <v>338</v>
      </c>
      <c r="V147" s="38" t="s">
        <v>93</v>
      </c>
      <c r="W147" s="14">
        <v>46009</v>
      </c>
      <c r="X147" s="16">
        <f t="shared" si="13"/>
        <v>35</v>
      </c>
      <c r="Y147" s="16"/>
      <c r="Z147" s="16"/>
      <c r="AA147" s="16"/>
      <c r="AB147" s="10" t="str">
        <f t="shared" si="14"/>
        <v>Closed in Dec</v>
      </c>
    </row>
    <row r="148" spans="1:28" x14ac:dyDescent="0.25">
      <c r="A148" s="14">
        <v>45974</v>
      </c>
      <c r="B148" s="15">
        <v>2025</v>
      </c>
      <c r="C148" s="9" t="s">
        <v>81</v>
      </c>
      <c r="D148" s="26" t="s">
        <v>315</v>
      </c>
      <c r="E148" s="16" t="s">
        <v>88</v>
      </c>
      <c r="F148" s="15" t="s">
        <v>60</v>
      </c>
      <c r="G148" s="8" t="s">
        <v>335</v>
      </c>
      <c r="H148" s="8">
        <v>7854906535</v>
      </c>
      <c r="I148" s="16"/>
      <c r="J148" s="37" t="s">
        <v>336</v>
      </c>
      <c r="K148" s="16" t="s">
        <v>155</v>
      </c>
      <c r="L148" s="8" t="s">
        <v>80</v>
      </c>
      <c r="M148" s="38" t="s">
        <v>29</v>
      </c>
      <c r="N148" s="23">
        <v>585</v>
      </c>
      <c r="O148" s="62" t="s">
        <v>369</v>
      </c>
      <c r="P148" s="47" t="str">
        <f t="shared" si="15"/>
        <v>24</v>
      </c>
      <c r="Q148" s="19" t="str">
        <f t="shared" si="16"/>
        <v>09</v>
      </c>
      <c r="R148" s="19" t="s">
        <v>27</v>
      </c>
      <c r="S148" s="19" t="s">
        <v>100</v>
      </c>
      <c r="T148" s="22" t="s">
        <v>31</v>
      </c>
      <c r="U148" s="38" t="s">
        <v>338</v>
      </c>
      <c r="V148" s="38" t="s">
        <v>93</v>
      </c>
      <c r="W148" s="14">
        <v>46009</v>
      </c>
      <c r="X148" s="16">
        <f t="shared" si="13"/>
        <v>35</v>
      </c>
      <c r="Y148" s="16"/>
      <c r="Z148" s="16"/>
      <c r="AA148" s="16"/>
      <c r="AB148" s="10" t="str">
        <f t="shared" si="14"/>
        <v>Closed in Dec</v>
      </c>
    </row>
    <row r="149" spans="1:28" x14ac:dyDescent="0.25">
      <c r="A149" s="14">
        <v>45974</v>
      </c>
      <c r="B149" s="15">
        <v>2025</v>
      </c>
      <c r="C149" s="9" t="s">
        <v>81</v>
      </c>
      <c r="D149" s="26" t="s">
        <v>315</v>
      </c>
      <c r="E149" s="16" t="s">
        <v>88</v>
      </c>
      <c r="F149" s="15" t="s">
        <v>60</v>
      </c>
      <c r="G149" s="8" t="s">
        <v>335</v>
      </c>
      <c r="H149" s="8">
        <v>7854906536</v>
      </c>
      <c r="I149" s="16"/>
      <c r="J149" s="37" t="s">
        <v>336</v>
      </c>
      <c r="K149" s="16" t="s">
        <v>155</v>
      </c>
      <c r="L149" s="8" t="s">
        <v>80</v>
      </c>
      <c r="M149" s="38" t="s">
        <v>29</v>
      </c>
      <c r="N149" s="23">
        <v>585</v>
      </c>
      <c r="O149" s="62" t="s">
        <v>370</v>
      </c>
      <c r="P149" s="47" t="str">
        <f t="shared" si="15"/>
        <v>24</v>
      </c>
      <c r="Q149" s="19" t="str">
        <f t="shared" si="16"/>
        <v>09</v>
      </c>
      <c r="R149" s="19" t="s">
        <v>27</v>
      </c>
      <c r="S149" s="19" t="s">
        <v>100</v>
      </c>
      <c r="T149" s="22" t="s">
        <v>31</v>
      </c>
      <c r="U149" s="38" t="s">
        <v>338</v>
      </c>
      <c r="V149" s="38" t="s">
        <v>93</v>
      </c>
      <c r="W149" s="14">
        <v>46010</v>
      </c>
      <c r="X149" s="16">
        <f t="shared" si="13"/>
        <v>36</v>
      </c>
      <c r="Y149" s="16"/>
      <c r="Z149" s="16"/>
      <c r="AA149" s="16"/>
      <c r="AB149" s="10" t="str">
        <f t="shared" si="14"/>
        <v>Closed in Dec</v>
      </c>
    </row>
    <row r="150" spans="1:28" x14ac:dyDescent="0.25">
      <c r="A150" s="14">
        <v>45974</v>
      </c>
      <c r="B150" s="15">
        <v>2025</v>
      </c>
      <c r="C150" s="9" t="s">
        <v>81</v>
      </c>
      <c r="D150" s="26" t="s">
        <v>315</v>
      </c>
      <c r="E150" s="16" t="s">
        <v>88</v>
      </c>
      <c r="F150" s="15" t="s">
        <v>60</v>
      </c>
      <c r="G150" s="8" t="s">
        <v>335</v>
      </c>
      <c r="H150" s="8">
        <v>7854906537</v>
      </c>
      <c r="I150" s="16"/>
      <c r="J150" s="37" t="s">
        <v>336</v>
      </c>
      <c r="K150" s="16" t="s">
        <v>155</v>
      </c>
      <c r="L150" s="8" t="s">
        <v>80</v>
      </c>
      <c r="M150" s="38" t="s">
        <v>29</v>
      </c>
      <c r="N150" s="23">
        <v>585</v>
      </c>
      <c r="O150" s="62" t="s">
        <v>371</v>
      </c>
      <c r="P150" s="47" t="str">
        <f t="shared" si="15"/>
        <v>24</v>
      </c>
      <c r="Q150" s="19" t="str">
        <f t="shared" si="16"/>
        <v>09</v>
      </c>
      <c r="R150" s="19" t="s">
        <v>27</v>
      </c>
      <c r="S150" s="19" t="s">
        <v>100</v>
      </c>
      <c r="T150" s="22" t="s">
        <v>31</v>
      </c>
      <c r="U150" s="38" t="s">
        <v>338</v>
      </c>
      <c r="V150" s="38" t="s">
        <v>93</v>
      </c>
      <c r="W150" s="14">
        <v>46010</v>
      </c>
      <c r="X150" s="16">
        <f t="shared" si="13"/>
        <v>36</v>
      </c>
      <c r="Y150" s="16"/>
      <c r="Z150" s="16"/>
      <c r="AA150" s="16"/>
      <c r="AB150" s="10" t="str">
        <f t="shared" si="14"/>
        <v>Closed in Dec</v>
      </c>
    </row>
    <row r="151" spans="1:28" x14ac:dyDescent="0.25">
      <c r="A151" s="14">
        <v>45974</v>
      </c>
      <c r="B151" s="15">
        <v>2025</v>
      </c>
      <c r="C151" s="9" t="s">
        <v>81</v>
      </c>
      <c r="D151" s="26" t="s">
        <v>315</v>
      </c>
      <c r="E151" s="16" t="s">
        <v>88</v>
      </c>
      <c r="F151" s="15" t="s">
        <v>60</v>
      </c>
      <c r="G151" s="8" t="s">
        <v>335</v>
      </c>
      <c r="H151" s="8">
        <v>7854906538</v>
      </c>
      <c r="I151" s="16"/>
      <c r="J151" s="37" t="s">
        <v>336</v>
      </c>
      <c r="K151" s="16" t="s">
        <v>155</v>
      </c>
      <c r="L151" s="8" t="s">
        <v>80</v>
      </c>
      <c r="M151" s="8" t="s">
        <v>117</v>
      </c>
      <c r="N151" s="23">
        <v>585</v>
      </c>
      <c r="O151" s="62" t="s">
        <v>372</v>
      </c>
      <c r="P151" s="47" t="str">
        <f t="shared" si="15"/>
        <v>24</v>
      </c>
      <c r="Q151" s="19" t="str">
        <f t="shared" si="16"/>
        <v>09</v>
      </c>
      <c r="R151" s="19" t="s">
        <v>27</v>
      </c>
      <c r="S151" s="19" t="s">
        <v>100</v>
      </c>
      <c r="T151" s="15" t="s">
        <v>352</v>
      </c>
      <c r="U151" s="15" t="s">
        <v>352</v>
      </c>
      <c r="V151" s="38" t="s">
        <v>94</v>
      </c>
      <c r="W151" s="14">
        <v>46010</v>
      </c>
      <c r="X151" s="16">
        <f t="shared" si="13"/>
        <v>36</v>
      </c>
      <c r="Y151" s="16"/>
      <c r="Z151" s="16"/>
      <c r="AA151" s="16"/>
      <c r="AB151" s="10" t="str">
        <f t="shared" si="14"/>
        <v>Closed in Dec</v>
      </c>
    </row>
    <row r="152" spans="1:28" x14ac:dyDescent="0.25">
      <c r="A152" s="14">
        <v>45974</v>
      </c>
      <c r="B152" s="15">
        <v>2025</v>
      </c>
      <c r="C152" s="9" t="s">
        <v>81</v>
      </c>
      <c r="D152" s="26" t="s">
        <v>315</v>
      </c>
      <c r="E152" s="16" t="s">
        <v>88</v>
      </c>
      <c r="F152" s="15" t="s">
        <v>60</v>
      </c>
      <c r="G152" s="8" t="s">
        <v>335</v>
      </c>
      <c r="H152" s="8">
        <v>7854906539</v>
      </c>
      <c r="I152" s="16"/>
      <c r="J152" s="37" t="s">
        <v>336</v>
      </c>
      <c r="K152" s="16" t="s">
        <v>155</v>
      </c>
      <c r="L152" s="8" t="s">
        <v>80</v>
      </c>
      <c r="M152" s="8" t="s">
        <v>117</v>
      </c>
      <c r="N152" s="23">
        <v>585</v>
      </c>
      <c r="O152" s="62" t="s">
        <v>373</v>
      </c>
      <c r="P152" s="47" t="str">
        <f t="shared" si="15"/>
        <v>24</v>
      </c>
      <c r="Q152" s="19" t="str">
        <f t="shared" si="16"/>
        <v>09</v>
      </c>
      <c r="R152" s="19" t="s">
        <v>27</v>
      </c>
      <c r="S152" s="19" t="s">
        <v>100</v>
      </c>
      <c r="T152" s="15" t="s">
        <v>352</v>
      </c>
      <c r="U152" s="15" t="s">
        <v>352</v>
      </c>
      <c r="V152" s="38" t="s">
        <v>94</v>
      </c>
      <c r="W152" s="14">
        <v>46011</v>
      </c>
      <c r="X152" s="16">
        <f t="shared" si="13"/>
        <v>37</v>
      </c>
      <c r="Y152" s="16"/>
      <c r="Z152" s="16"/>
      <c r="AA152" s="16"/>
      <c r="AB152" s="10" t="str">
        <f t="shared" si="14"/>
        <v>Closed in Dec</v>
      </c>
    </row>
    <row r="153" spans="1:28" x14ac:dyDescent="0.25">
      <c r="A153" s="14">
        <v>45974</v>
      </c>
      <c r="B153" s="15">
        <v>2025</v>
      </c>
      <c r="C153" s="9" t="s">
        <v>81</v>
      </c>
      <c r="D153" s="26" t="s">
        <v>315</v>
      </c>
      <c r="E153" s="16" t="s">
        <v>88</v>
      </c>
      <c r="F153" s="15" t="s">
        <v>60</v>
      </c>
      <c r="G153" s="8" t="s">
        <v>335</v>
      </c>
      <c r="H153" s="8">
        <v>7854906540</v>
      </c>
      <c r="I153" s="16"/>
      <c r="J153" s="37" t="s">
        <v>336</v>
      </c>
      <c r="K153" s="16" t="s">
        <v>155</v>
      </c>
      <c r="L153" s="8" t="s">
        <v>80</v>
      </c>
      <c r="M153" s="8" t="s">
        <v>117</v>
      </c>
      <c r="N153" s="23">
        <v>585</v>
      </c>
      <c r="O153" s="62" t="s">
        <v>374</v>
      </c>
      <c r="P153" s="47" t="str">
        <f t="shared" si="15"/>
        <v>24</v>
      </c>
      <c r="Q153" s="19" t="str">
        <f t="shared" si="16"/>
        <v>05</v>
      </c>
      <c r="R153" s="19" t="s">
        <v>27</v>
      </c>
      <c r="S153" s="19" t="s">
        <v>100</v>
      </c>
      <c r="T153" s="15" t="s">
        <v>352</v>
      </c>
      <c r="U153" s="15" t="s">
        <v>352</v>
      </c>
      <c r="V153" s="38" t="s">
        <v>94</v>
      </c>
      <c r="W153" s="14">
        <v>46011</v>
      </c>
      <c r="X153" s="16">
        <f t="shared" si="13"/>
        <v>37</v>
      </c>
      <c r="Y153" s="16"/>
      <c r="Z153" s="16"/>
      <c r="AA153" s="16"/>
      <c r="AB153" s="10" t="str">
        <f t="shared" si="14"/>
        <v>Closed in Dec</v>
      </c>
    </row>
    <row r="154" spans="1:28" x14ac:dyDescent="0.25">
      <c r="A154" s="14">
        <v>45974</v>
      </c>
      <c r="B154" s="15">
        <v>2025</v>
      </c>
      <c r="C154" s="9" t="s">
        <v>81</v>
      </c>
      <c r="D154" s="26" t="s">
        <v>315</v>
      </c>
      <c r="E154" s="16" t="s">
        <v>88</v>
      </c>
      <c r="F154" s="15" t="s">
        <v>60</v>
      </c>
      <c r="G154" s="8" t="s">
        <v>335</v>
      </c>
      <c r="H154" s="8">
        <v>7854906541</v>
      </c>
      <c r="I154" s="16"/>
      <c r="J154" s="37" t="s">
        <v>336</v>
      </c>
      <c r="K154" s="16" t="s">
        <v>155</v>
      </c>
      <c r="L154" s="8" t="s">
        <v>80</v>
      </c>
      <c r="M154" s="8" t="s">
        <v>117</v>
      </c>
      <c r="N154" s="23">
        <v>585</v>
      </c>
      <c r="O154" s="62" t="s">
        <v>375</v>
      </c>
      <c r="P154" s="47" t="str">
        <f t="shared" si="15"/>
        <v>24</v>
      </c>
      <c r="Q154" s="19" t="str">
        <f t="shared" si="16"/>
        <v>09</v>
      </c>
      <c r="R154" s="19" t="s">
        <v>27</v>
      </c>
      <c r="S154" s="19" t="s">
        <v>100</v>
      </c>
      <c r="T154" s="15" t="s">
        <v>352</v>
      </c>
      <c r="U154" s="15" t="s">
        <v>352</v>
      </c>
      <c r="V154" s="38" t="s">
        <v>94</v>
      </c>
      <c r="W154" s="14">
        <v>46011</v>
      </c>
      <c r="X154" s="16">
        <f t="shared" si="13"/>
        <v>37</v>
      </c>
      <c r="Y154" s="16"/>
      <c r="Z154" s="16"/>
      <c r="AA154" s="16"/>
      <c r="AB154" s="10" t="str">
        <f t="shared" si="14"/>
        <v>Closed in Dec</v>
      </c>
    </row>
    <row r="155" spans="1:28" x14ac:dyDescent="0.25">
      <c r="A155" s="14">
        <v>45974</v>
      </c>
      <c r="B155" s="15">
        <v>2025</v>
      </c>
      <c r="C155" s="9" t="s">
        <v>81</v>
      </c>
      <c r="D155" s="26" t="s">
        <v>315</v>
      </c>
      <c r="E155" s="16" t="s">
        <v>88</v>
      </c>
      <c r="F155" s="15" t="s">
        <v>60</v>
      </c>
      <c r="G155" s="8" t="s">
        <v>335</v>
      </c>
      <c r="H155" s="8">
        <v>7854906542</v>
      </c>
      <c r="I155" s="16"/>
      <c r="J155" s="37" t="s">
        <v>336</v>
      </c>
      <c r="K155" s="16" t="s">
        <v>155</v>
      </c>
      <c r="L155" s="8" t="s">
        <v>80</v>
      </c>
      <c r="M155" s="8" t="s">
        <v>117</v>
      </c>
      <c r="N155" s="23">
        <v>585</v>
      </c>
      <c r="O155" s="62" t="s">
        <v>376</v>
      </c>
      <c r="P155" s="47" t="str">
        <f t="shared" si="15"/>
        <v>24</v>
      </c>
      <c r="Q155" s="19" t="str">
        <f t="shared" si="16"/>
        <v>09</v>
      </c>
      <c r="R155" s="19" t="s">
        <v>27</v>
      </c>
      <c r="S155" s="19" t="s">
        <v>100</v>
      </c>
      <c r="T155" s="15" t="s">
        <v>352</v>
      </c>
      <c r="U155" s="15" t="s">
        <v>352</v>
      </c>
      <c r="V155" s="38" t="s">
        <v>94</v>
      </c>
      <c r="W155" s="14">
        <v>46011</v>
      </c>
      <c r="X155" s="16">
        <f t="shared" si="13"/>
        <v>37</v>
      </c>
      <c r="Y155" s="16"/>
      <c r="Z155" s="16"/>
      <c r="AA155" s="16"/>
      <c r="AB155" s="10" t="str">
        <f t="shared" si="14"/>
        <v>Closed in Dec</v>
      </c>
    </row>
    <row r="156" spans="1:28" x14ac:dyDescent="0.25">
      <c r="A156" s="14">
        <v>45974</v>
      </c>
      <c r="B156" s="15">
        <v>2025</v>
      </c>
      <c r="C156" s="9" t="s">
        <v>81</v>
      </c>
      <c r="D156" s="26" t="s">
        <v>315</v>
      </c>
      <c r="E156" s="16" t="s">
        <v>88</v>
      </c>
      <c r="F156" s="15" t="s">
        <v>60</v>
      </c>
      <c r="G156" s="8" t="s">
        <v>335</v>
      </c>
      <c r="H156" s="8">
        <v>7854906543</v>
      </c>
      <c r="I156" s="16"/>
      <c r="J156" s="37" t="s">
        <v>336</v>
      </c>
      <c r="K156" s="16" t="s">
        <v>155</v>
      </c>
      <c r="L156" s="8" t="s">
        <v>80</v>
      </c>
      <c r="M156" s="8" t="s">
        <v>117</v>
      </c>
      <c r="N156" s="23">
        <v>585</v>
      </c>
      <c r="O156" s="62" t="s">
        <v>377</v>
      </c>
      <c r="P156" s="47" t="str">
        <f t="shared" si="15"/>
        <v>24</v>
      </c>
      <c r="Q156" s="19" t="str">
        <f t="shared" si="16"/>
        <v>09</v>
      </c>
      <c r="R156" s="19" t="s">
        <v>27</v>
      </c>
      <c r="S156" s="19" t="s">
        <v>100</v>
      </c>
      <c r="T156" s="15" t="s">
        <v>352</v>
      </c>
      <c r="U156" s="15" t="s">
        <v>352</v>
      </c>
      <c r="V156" s="38" t="s">
        <v>94</v>
      </c>
      <c r="W156" s="14">
        <v>46011</v>
      </c>
      <c r="X156" s="16">
        <f t="shared" si="13"/>
        <v>37</v>
      </c>
      <c r="Y156" s="16"/>
      <c r="Z156" s="16"/>
      <c r="AA156" s="16"/>
      <c r="AB156" s="10" t="str">
        <f t="shared" si="14"/>
        <v>Closed in Dec</v>
      </c>
    </row>
    <row r="157" spans="1:28" x14ac:dyDescent="0.25">
      <c r="A157" s="14">
        <v>45974</v>
      </c>
      <c r="B157" s="15">
        <v>2025</v>
      </c>
      <c r="C157" s="9" t="s">
        <v>81</v>
      </c>
      <c r="D157" s="26" t="s">
        <v>315</v>
      </c>
      <c r="E157" s="16" t="s">
        <v>88</v>
      </c>
      <c r="F157" s="15" t="s">
        <v>60</v>
      </c>
      <c r="G157" s="8" t="s">
        <v>335</v>
      </c>
      <c r="H157" s="8">
        <v>7854906544</v>
      </c>
      <c r="I157" s="16"/>
      <c r="J157" s="37" t="s">
        <v>336</v>
      </c>
      <c r="K157" s="16" t="s">
        <v>155</v>
      </c>
      <c r="L157" s="8" t="s">
        <v>80</v>
      </c>
      <c r="M157" s="8" t="s">
        <v>117</v>
      </c>
      <c r="N157" s="23">
        <v>585</v>
      </c>
      <c r="O157" s="62" t="s">
        <v>378</v>
      </c>
      <c r="P157" s="47" t="str">
        <f t="shared" si="15"/>
        <v>24</v>
      </c>
      <c r="Q157" s="19" t="str">
        <f t="shared" si="16"/>
        <v>09</v>
      </c>
      <c r="R157" s="19" t="s">
        <v>27</v>
      </c>
      <c r="S157" s="19" t="s">
        <v>100</v>
      </c>
      <c r="T157" s="15" t="s">
        <v>352</v>
      </c>
      <c r="U157" s="15" t="s">
        <v>352</v>
      </c>
      <c r="V157" s="38" t="s">
        <v>94</v>
      </c>
      <c r="W157" s="14">
        <v>46011</v>
      </c>
      <c r="X157" s="16">
        <f t="shared" si="13"/>
        <v>37</v>
      </c>
      <c r="Y157" s="16"/>
      <c r="Z157" s="16"/>
      <c r="AA157" s="16"/>
      <c r="AB157" s="10" t="str">
        <f t="shared" si="14"/>
        <v>Closed in Dec</v>
      </c>
    </row>
    <row r="158" spans="1:28" x14ac:dyDescent="0.25">
      <c r="A158" s="14">
        <v>45974</v>
      </c>
      <c r="B158" s="15">
        <v>2025</v>
      </c>
      <c r="C158" s="9" t="s">
        <v>81</v>
      </c>
      <c r="D158" s="26" t="s">
        <v>315</v>
      </c>
      <c r="E158" s="16" t="s">
        <v>88</v>
      </c>
      <c r="F158" s="15" t="s">
        <v>60</v>
      </c>
      <c r="G158" s="8" t="s">
        <v>335</v>
      </c>
      <c r="H158" s="8">
        <v>7854906545</v>
      </c>
      <c r="I158" s="16"/>
      <c r="J158" s="37" t="s">
        <v>336</v>
      </c>
      <c r="K158" s="16" t="s">
        <v>155</v>
      </c>
      <c r="L158" s="8" t="s">
        <v>80</v>
      </c>
      <c r="M158" s="8" t="s">
        <v>117</v>
      </c>
      <c r="N158" s="23">
        <v>585</v>
      </c>
      <c r="O158" s="62" t="s">
        <v>379</v>
      </c>
      <c r="P158" s="47" t="str">
        <f t="shared" si="15"/>
        <v>24</v>
      </c>
      <c r="Q158" s="19" t="str">
        <f t="shared" si="16"/>
        <v>09</v>
      </c>
      <c r="R158" s="19" t="s">
        <v>27</v>
      </c>
      <c r="S158" s="19" t="s">
        <v>100</v>
      </c>
      <c r="T158" s="15" t="s">
        <v>352</v>
      </c>
      <c r="U158" s="15" t="s">
        <v>352</v>
      </c>
      <c r="V158" s="38" t="s">
        <v>94</v>
      </c>
      <c r="W158" s="14">
        <v>46011</v>
      </c>
      <c r="X158" s="16">
        <f t="shared" si="13"/>
        <v>37</v>
      </c>
      <c r="Y158" s="16"/>
      <c r="Z158" s="16"/>
      <c r="AA158" s="16"/>
      <c r="AB158" s="10" t="str">
        <f t="shared" si="14"/>
        <v>Closed in Dec</v>
      </c>
    </row>
    <row r="159" spans="1:28" x14ac:dyDescent="0.25">
      <c r="A159" s="14">
        <v>45974</v>
      </c>
      <c r="B159" s="15">
        <v>2025</v>
      </c>
      <c r="C159" s="9" t="s">
        <v>81</v>
      </c>
      <c r="D159" s="26" t="s">
        <v>315</v>
      </c>
      <c r="E159" s="16" t="s">
        <v>88</v>
      </c>
      <c r="F159" s="15" t="s">
        <v>60</v>
      </c>
      <c r="G159" s="8" t="s">
        <v>335</v>
      </c>
      <c r="H159" s="8">
        <v>7854906546</v>
      </c>
      <c r="I159" s="16"/>
      <c r="J159" s="37" t="s">
        <v>336</v>
      </c>
      <c r="K159" s="16" t="s">
        <v>155</v>
      </c>
      <c r="L159" s="8" t="s">
        <v>80</v>
      </c>
      <c r="M159" s="8" t="s">
        <v>117</v>
      </c>
      <c r="N159" s="23">
        <v>585</v>
      </c>
      <c r="O159" s="62" t="s">
        <v>380</v>
      </c>
      <c r="P159" s="47" t="str">
        <f t="shared" si="15"/>
        <v>24</v>
      </c>
      <c r="Q159" s="19" t="str">
        <f t="shared" si="16"/>
        <v>09</v>
      </c>
      <c r="R159" s="19" t="s">
        <v>27</v>
      </c>
      <c r="S159" s="19" t="s">
        <v>100</v>
      </c>
      <c r="T159" s="15" t="s">
        <v>352</v>
      </c>
      <c r="U159" s="15" t="s">
        <v>352</v>
      </c>
      <c r="V159" s="38" t="s">
        <v>94</v>
      </c>
      <c r="W159" s="14">
        <v>46011</v>
      </c>
      <c r="X159" s="16">
        <f t="shared" si="13"/>
        <v>37</v>
      </c>
      <c r="Y159" s="16"/>
      <c r="Z159" s="16"/>
      <c r="AA159" s="16"/>
      <c r="AB159" s="10" t="str">
        <f t="shared" si="14"/>
        <v>Closed in Dec</v>
      </c>
    </row>
    <row r="160" spans="1:28" x14ac:dyDescent="0.25">
      <c r="A160" s="14">
        <v>45974</v>
      </c>
      <c r="B160" s="15">
        <v>2025</v>
      </c>
      <c r="C160" s="9" t="s">
        <v>81</v>
      </c>
      <c r="D160" s="26" t="s">
        <v>315</v>
      </c>
      <c r="E160" s="16" t="s">
        <v>88</v>
      </c>
      <c r="F160" s="15" t="s">
        <v>60</v>
      </c>
      <c r="G160" s="8" t="s">
        <v>335</v>
      </c>
      <c r="H160" s="8">
        <v>7854906547</v>
      </c>
      <c r="I160" s="16"/>
      <c r="J160" s="37" t="s">
        <v>336</v>
      </c>
      <c r="K160" s="16" t="s">
        <v>155</v>
      </c>
      <c r="L160" s="8" t="s">
        <v>80</v>
      </c>
      <c r="M160" s="8" t="s">
        <v>117</v>
      </c>
      <c r="N160" s="23">
        <v>585</v>
      </c>
      <c r="O160" s="62" t="s">
        <v>381</v>
      </c>
      <c r="P160" s="47" t="str">
        <f t="shared" si="15"/>
        <v>24</v>
      </c>
      <c r="Q160" s="19" t="str">
        <f t="shared" si="16"/>
        <v>09</v>
      </c>
      <c r="R160" s="19" t="s">
        <v>27</v>
      </c>
      <c r="S160" s="19" t="s">
        <v>100</v>
      </c>
      <c r="T160" s="15" t="s">
        <v>352</v>
      </c>
      <c r="U160" s="15" t="s">
        <v>352</v>
      </c>
      <c r="V160" s="38" t="s">
        <v>94</v>
      </c>
      <c r="W160" s="14">
        <v>46011</v>
      </c>
      <c r="X160" s="16">
        <f t="shared" si="13"/>
        <v>37</v>
      </c>
      <c r="Y160" s="16"/>
      <c r="Z160" s="16"/>
      <c r="AA160" s="16"/>
      <c r="AB160" s="10" t="str">
        <f t="shared" si="14"/>
        <v>Closed in Dec</v>
      </c>
    </row>
    <row r="161" spans="1:28" x14ac:dyDescent="0.25">
      <c r="A161" s="14">
        <v>45974</v>
      </c>
      <c r="B161" s="15">
        <v>2025</v>
      </c>
      <c r="C161" s="9" t="s">
        <v>81</v>
      </c>
      <c r="D161" s="26" t="s">
        <v>315</v>
      </c>
      <c r="E161" s="16" t="s">
        <v>88</v>
      </c>
      <c r="F161" s="15" t="s">
        <v>60</v>
      </c>
      <c r="G161" s="8" t="s">
        <v>335</v>
      </c>
      <c r="H161" s="8">
        <v>7854906548</v>
      </c>
      <c r="I161" s="16"/>
      <c r="J161" s="37" t="s">
        <v>336</v>
      </c>
      <c r="K161" s="16" t="s">
        <v>155</v>
      </c>
      <c r="L161" s="8" t="s">
        <v>80</v>
      </c>
      <c r="M161" s="38" t="s">
        <v>29</v>
      </c>
      <c r="N161" s="23">
        <v>585</v>
      </c>
      <c r="O161" s="62" t="s">
        <v>382</v>
      </c>
      <c r="P161" s="47" t="str">
        <f t="shared" si="15"/>
        <v>24</v>
      </c>
      <c r="Q161" s="19" t="str">
        <f t="shared" si="16"/>
        <v>09</v>
      </c>
      <c r="R161" s="19" t="s">
        <v>27</v>
      </c>
      <c r="S161" s="19" t="s">
        <v>100</v>
      </c>
      <c r="T161" s="22" t="s">
        <v>31</v>
      </c>
      <c r="U161" s="38" t="s">
        <v>338</v>
      </c>
      <c r="V161" s="38" t="s">
        <v>93</v>
      </c>
      <c r="W161" s="14">
        <v>46011</v>
      </c>
      <c r="X161" s="16">
        <f t="shared" si="13"/>
        <v>37</v>
      </c>
      <c r="Y161" s="16"/>
      <c r="Z161" s="16"/>
      <c r="AA161" s="16"/>
      <c r="AB161" s="10" t="str">
        <f t="shared" si="14"/>
        <v>Closed in Dec</v>
      </c>
    </row>
    <row r="162" spans="1:28" x14ac:dyDescent="0.25">
      <c r="A162" s="14">
        <v>45974</v>
      </c>
      <c r="B162" s="15">
        <v>2025</v>
      </c>
      <c r="C162" s="9" t="s">
        <v>81</v>
      </c>
      <c r="D162" s="26" t="s">
        <v>315</v>
      </c>
      <c r="E162" s="16" t="s">
        <v>88</v>
      </c>
      <c r="F162" s="15" t="s">
        <v>60</v>
      </c>
      <c r="G162" s="8" t="s">
        <v>335</v>
      </c>
      <c r="H162" s="8">
        <v>7854906549</v>
      </c>
      <c r="I162" s="16"/>
      <c r="J162" s="37" t="s">
        <v>336</v>
      </c>
      <c r="K162" s="16" t="s">
        <v>155</v>
      </c>
      <c r="L162" s="8" t="s">
        <v>80</v>
      </c>
      <c r="M162" s="8" t="s">
        <v>117</v>
      </c>
      <c r="N162" s="23">
        <v>585</v>
      </c>
      <c r="O162" s="62" t="s">
        <v>383</v>
      </c>
      <c r="P162" s="47" t="str">
        <f t="shared" si="15"/>
        <v>24</v>
      </c>
      <c r="Q162" s="19" t="str">
        <f t="shared" si="16"/>
        <v>09</v>
      </c>
      <c r="R162" s="19" t="s">
        <v>27</v>
      </c>
      <c r="S162" s="19" t="s">
        <v>100</v>
      </c>
      <c r="T162" s="15" t="s">
        <v>352</v>
      </c>
      <c r="U162" s="15" t="s">
        <v>352</v>
      </c>
      <c r="V162" s="38" t="s">
        <v>94</v>
      </c>
      <c r="W162" s="14">
        <v>46013</v>
      </c>
      <c r="X162" s="16">
        <f t="shared" si="13"/>
        <v>39</v>
      </c>
      <c r="Y162" s="16"/>
      <c r="Z162" s="16"/>
      <c r="AA162" s="16"/>
      <c r="AB162" s="10" t="str">
        <f t="shared" si="14"/>
        <v>Closed in Dec</v>
      </c>
    </row>
    <row r="163" spans="1:28" x14ac:dyDescent="0.25">
      <c r="A163" s="14">
        <v>45974</v>
      </c>
      <c r="B163" s="15">
        <v>2025</v>
      </c>
      <c r="C163" s="9" t="s">
        <v>81</v>
      </c>
      <c r="D163" s="26" t="s">
        <v>315</v>
      </c>
      <c r="E163" s="16" t="s">
        <v>88</v>
      </c>
      <c r="F163" s="15" t="s">
        <v>60</v>
      </c>
      <c r="G163" s="8" t="s">
        <v>335</v>
      </c>
      <c r="H163" s="8">
        <v>7854906550</v>
      </c>
      <c r="I163" s="16"/>
      <c r="J163" s="37" t="s">
        <v>336</v>
      </c>
      <c r="K163" s="16" t="s">
        <v>155</v>
      </c>
      <c r="L163" s="8" t="s">
        <v>80</v>
      </c>
      <c r="M163" s="8" t="s">
        <v>117</v>
      </c>
      <c r="N163" s="23">
        <v>585</v>
      </c>
      <c r="O163" s="62" t="s">
        <v>384</v>
      </c>
      <c r="P163" s="47" t="str">
        <f t="shared" si="15"/>
        <v>24</v>
      </c>
      <c r="Q163" s="19" t="str">
        <f t="shared" si="16"/>
        <v>09</v>
      </c>
      <c r="R163" s="19" t="s">
        <v>27</v>
      </c>
      <c r="S163" s="19" t="s">
        <v>100</v>
      </c>
      <c r="T163" s="15" t="s">
        <v>352</v>
      </c>
      <c r="U163" s="15" t="s">
        <v>352</v>
      </c>
      <c r="V163" s="38" t="s">
        <v>94</v>
      </c>
      <c r="W163" s="14">
        <v>46013</v>
      </c>
      <c r="X163" s="16">
        <f t="shared" si="13"/>
        <v>39</v>
      </c>
      <c r="Y163" s="16"/>
      <c r="Z163" s="16"/>
      <c r="AA163" s="16"/>
      <c r="AB163" s="10" t="str">
        <f t="shared" si="14"/>
        <v>Closed in Dec</v>
      </c>
    </row>
    <row r="164" spans="1:28" x14ac:dyDescent="0.25">
      <c r="A164" s="14">
        <v>45974</v>
      </c>
      <c r="B164" s="15">
        <v>2025</v>
      </c>
      <c r="C164" s="9" t="s">
        <v>81</v>
      </c>
      <c r="D164" s="26" t="s">
        <v>315</v>
      </c>
      <c r="E164" s="16" t="s">
        <v>88</v>
      </c>
      <c r="F164" s="15" t="s">
        <v>60</v>
      </c>
      <c r="G164" s="8" t="s">
        <v>335</v>
      </c>
      <c r="H164" s="8">
        <v>7854906551</v>
      </c>
      <c r="I164" s="16"/>
      <c r="J164" s="37" t="s">
        <v>336</v>
      </c>
      <c r="K164" s="16" t="s">
        <v>155</v>
      </c>
      <c r="L164" s="8" t="s">
        <v>80</v>
      </c>
      <c r="M164" s="8" t="s">
        <v>117</v>
      </c>
      <c r="N164" s="23">
        <v>585</v>
      </c>
      <c r="O164" s="62" t="s">
        <v>385</v>
      </c>
      <c r="P164" s="47" t="str">
        <f t="shared" si="15"/>
        <v>24</v>
      </c>
      <c r="Q164" s="19" t="str">
        <f t="shared" si="16"/>
        <v>09</v>
      </c>
      <c r="R164" s="19" t="s">
        <v>27</v>
      </c>
      <c r="S164" s="19" t="s">
        <v>100</v>
      </c>
      <c r="T164" s="15" t="s">
        <v>352</v>
      </c>
      <c r="U164" s="15" t="s">
        <v>352</v>
      </c>
      <c r="V164" s="38" t="s">
        <v>94</v>
      </c>
      <c r="W164" s="14">
        <v>46013</v>
      </c>
      <c r="X164" s="16">
        <f t="shared" si="13"/>
        <v>39</v>
      </c>
      <c r="Y164" s="16"/>
      <c r="Z164" s="16"/>
      <c r="AA164" s="16"/>
      <c r="AB164" s="10" t="str">
        <f t="shared" si="14"/>
        <v>Closed in Dec</v>
      </c>
    </row>
    <row r="165" spans="1:28" x14ac:dyDescent="0.25">
      <c r="A165" s="14">
        <v>45974</v>
      </c>
      <c r="B165" s="15">
        <v>2025</v>
      </c>
      <c r="C165" s="9" t="s">
        <v>81</v>
      </c>
      <c r="D165" s="26" t="s">
        <v>315</v>
      </c>
      <c r="E165" s="16" t="s">
        <v>88</v>
      </c>
      <c r="F165" s="15" t="s">
        <v>60</v>
      </c>
      <c r="G165" s="8" t="s">
        <v>335</v>
      </c>
      <c r="H165" s="8">
        <v>7854906552</v>
      </c>
      <c r="I165" s="16"/>
      <c r="J165" s="37" t="s">
        <v>336</v>
      </c>
      <c r="K165" s="16" t="s">
        <v>155</v>
      </c>
      <c r="L165" s="8" t="s">
        <v>80</v>
      </c>
      <c r="M165" s="8" t="s">
        <v>117</v>
      </c>
      <c r="N165" s="23">
        <v>585</v>
      </c>
      <c r="O165" s="62" t="s">
        <v>386</v>
      </c>
      <c r="P165" s="47" t="str">
        <f t="shared" si="15"/>
        <v>24</v>
      </c>
      <c r="Q165" s="19" t="str">
        <f t="shared" si="16"/>
        <v>09</v>
      </c>
      <c r="R165" s="19" t="s">
        <v>27</v>
      </c>
      <c r="S165" s="19" t="s">
        <v>100</v>
      </c>
      <c r="T165" s="15" t="s">
        <v>352</v>
      </c>
      <c r="U165" s="15" t="s">
        <v>352</v>
      </c>
      <c r="V165" s="38" t="s">
        <v>94</v>
      </c>
      <c r="W165" s="14">
        <v>46013</v>
      </c>
      <c r="X165" s="16">
        <f t="shared" si="13"/>
        <v>39</v>
      </c>
      <c r="Y165" s="16"/>
      <c r="Z165" s="16"/>
      <c r="AA165" s="16"/>
      <c r="AB165" s="10" t="str">
        <f t="shared" si="14"/>
        <v>Closed in Dec</v>
      </c>
    </row>
    <row r="166" spans="1:28" x14ac:dyDescent="0.25">
      <c r="A166" s="14">
        <v>45974</v>
      </c>
      <c r="B166" s="15">
        <v>2025</v>
      </c>
      <c r="C166" s="9" t="s">
        <v>81</v>
      </c>
      <c r="D166" s="26" t="s">
        <v>315</v>
      </c>
      <c r="E166" s="16" t="s">
        <v>88</v>
      </c>
      <c r="F166" s="15" t="s">
        <v>60</v>
      </c>
      <c r="G166" s="8" t="s">
        <v>335</v>
      </c>
      <c r="H166" s="8">
        <v>7854906553</v>
      </c>
      <c r="I166" s="16"/>
      <c r="J166" s="37" t="s">
        <v>336</v>
      </c>
      <c r="K166" s="16" t="s">
        <v>155</v>
      </c>
      <c r="L166" s="8" t="s">
        <v>80</v>
      </c>
      <c r="M166" s="8" t="s">
        <v>117</v>
      </c>
      <c r="N166" s="23">
        <v>585</v>
      </c>
      <c r="O166" s="62" t="s">
        <v>387</v>
      </c>
      <c r="P166" s="47" t="str">
        <f t="shared" si="15"/>
        <v>24</v>
      </c>
      <c r="Q166" s="19" t="str">
        <f t="shared" si="16"/>
        <v>09</v>
      </c>
      <c r="R166" s="19" t="s">
        <v>27</v>
      </c>
      <c r="S166" s="19" t="s">
        <v>100</v>
      </c>
      <c r="T166" s="15" t="s">
        <v>352</v>
      </c>
      <c r="U166" s="15" t="s">
        <v>352</v>
      </c>
      <c r="V166" s="38" t="s">
        <v>94</v>
      </c>
      <c r="W166" s="14">
        <v>46013</v>
      </c>
      <c r="X166" s="16">
        <f t="shared" si="13"/>
        <v>39</v>
      </c>
      <c r="Y166" s="16"/>
      <c r="Z166" s="16"/>
      <c r="AA166" s="16"/>
      <c r="AB166" s="10" t="str">
        <f t="shared" si="14"/>
        <v>Closed in Dec</v>
      </c>
    </row>
    <row r="167" spans="1:28" x14ac:dyDescent="0.25">
      <c r="A167" s="14">
        <v>45974</v>
      </c>
      <c r="B167" s="15">
        <v>2025</v>
      </c>
      <c r="C167" s="9" t="s">
        <v>81</v>
      </c>
      <c r="D167" s="26" t="s">
        <v>315</v>
      </c>
      <c r="E167" s="16" t="s">
        <v>88</v>
      </c>
      <c r="F167" s="15" t="s">
        <v>60</v>
      </c>
      <c r="G167" s="8" t="s">
        <v>335</v>
      </c>
      <c r="H167" s="8">
        <v>7854906554</v>
      </c>
      <c r="I167" s="16"/>
      <c r="J167" s="37" t="s">
        <v>336</v>
      </c>
      <c r="K167" s="16" t="s">
        <v>155</v>
      </c>
      <c r="L167" s="8" t="s">
        <v>80</v>
      </c>
      <c r="M167" s="8" t="s">
        <v>117</v>
      </c>
      <c r="N167" s="23">
        <v>585</v>
      </c>
      <c r="O167" s="62" t="s">
        <v>388</v>
      </c>
      <c r="P167" s="47" t="str">
        <f t="shared" si="15"/>
        <v>24</v>
      </c>
      <c r="Q167" s="19" t="str">
        <f t="shared" si="16"/>
        <v>09</v>
      </c>
      <c r="R167" s="19" t="s">
        <v>27</v>
      </c>
      <c r="S167" s="19" t="s">
        <v>100</v>
      </c>
      <c r="T167" s="15" t="s">
        <v>352</v>
      </c>
      <c r="U167" s="15" t="s">
        <v>352</v>
      </c>
      <c r="V167" s="38" t="s">
        <v>94</v>
      </c>
      <c r="W167" s="14">
        <v>46013</v>
      </c>
      <c r="X167" s="16">
        <f t="shared" si="13"/>
        <v>39</v>
      </c>
      <c r="Y167" s="16"/>
      <c r="Z167" s="16"/>
      <c r="AA167" s="16"/>
      <c r="AB167" s="10" t="str">
        <f t="shared" si="14"/>
        <v>Closed in Dec</v>
      </c>
    </row>
    <row r="168" spans="1:28" x14ac:dyDescent="0.25">
      <c r="A168" s="14">
        <v>45974</v>
      </c>
      <c r="B168" s="15">
        <v>2025</v>
      </c>
      <c r="C168" s="9" t="s">
        <v>81</v>
      </c>
      <c r="D168" s="26" t="s">
        <v>315</v>
      </c>
      <c r="E168" s="16" t="s">
        <v>88</v>
      </c>
      <c r="F168" s="15" t="s">
        <v>60</v>
      </c>
      <c r="G168" s="8" t="s">
        <v>335</v>
      </c>
      <c r="H168" s="8">
        <v>7854906555</v>
      </c>
      <c r="I168" s="16"/>
      <c r="J168" s="37" t="s">
        <v>336</v>
      </c>
      <c r="K168" s="16" t="s">
        <v>155</v>
      </c>
      <c r="L168" s="8" t="s">
        <v>80</v>
      </c>
      <c r="M168" s="8" t="s">
        <v>117</v>
      </c>
      <c r="N168" s="23">
        <v>585</v>
      </c>
      <c r="O168" s="62" t="s">
        <v>389</v>
      </c>
      <c r="P168" s="47" t="str">
        <f t="shared" si="15"/>
        <v>24</v>
      </c>
      <c r="Q168" s="19" t="str">
        <f t="shared" si="16"/>
        <v>09</v>
      </c>
      <c r="R168" s="19" t="s">
        <v>27</v>
      </c>
      <c r="S168" s="19" t="s">
        <v>100</v>
      </c>
      <c r="T168" s="15" t="s">
        <v>352</v>
      </c>
      <c r="U168" s="15" t="s">
        <v>352</v>
      </c>
      <c r="V168" s="38" t="s">
        <v>94</v>
      </c>
      <c r="W168" s="14">
        <v>46013</v>
      </c>
      <c r="X168" s="16">
        <f t="shared" si="13"/>
        <v>39</v>
      </c>
      <c r="Y168" s="16"/>
      <c r="Z168" s="16"/>
      <c r="AA168" s="16"/>
      <c r="AB168" s="10" t="str">
        <f t="shared" si="14"/>
        <v>Closed in Dec</v>
      </c>
    </row>
    <row r="169" spans="1:28" x14ac:dyDescent="0.25">
      <c r="A169" s="14">
        <v>45974</v>
      </c>
      <c r="B169" s="15">
        <v>2025</v>
      </c>
      <c r="C169" s="9" t="s">
        <v>81</v>
      </c>
      <c r="D169" s="26" t="s">
        <v>315</v>
      </c>
      <c r="E169" s="16" t="s">
        <v>88</v>
      </c>
      <c r="F169" s="15" t="s">
        <v>60</v>
      </c>
      <c r="G169" s="8" t="s">
        <v>335</v>
      </c>
      <c r="H169" s="8">
        <v>7854906556</v>
      </c>
      <c r="I169" s="16"/>
      <c r="J169" s="37" t="s">
        <v>336</v>
      </c>
      <c r="K169" s="16" t="s">
        <v>155</v>
      </c>
      <c r="L169" s="8" t="s">
        <v>80</v>
      </c>
      <c r="M169" s="8" t="s">
        <v>117</v>
      </c>
      <c r="N169" s="23">
        <v>585</v>
      </c>
      <c r="O169" s="62" t="s">
        <v>390</v>
      </c>
      <c r="P169" s="47" t="str">
        <f t="shared" si="15"/>
        <v>24</v>
      </c>
      <c r="Q169" s="19" t="str">
        <f t="shared" si="16"/>
        <v>09</v>
      </c>
      <c r="R169" s="19" t="s">
        <v>27</v>
      </c>
      <c r="S169" s="19" t="s">
        <v>100</v>
      </c>
      <c r="T169" s="15" t="s">
        <v>352</v>
      </c>
      <c r="U169" s="15" t="s">
        <v>352</v>
      </c>
      <c r="V169" s="38" t="s">
        <v>94</v>
      </c>
      <c r="W169" s="14">
        <v>46013</v>
      </c>
      <c r="X169" s="16">
        <f t="shared" si="13"/>
        <v>39</v>
      </c>
      <c r="Y169" s="16"/>
      <c r="Z169" s="16"/>
      <c r="AA169" s="16"/>
      <c r="AB169" s="10" t="str">
        <f t="shared" si="14"/>
        <v>Closed in Dec</v>
      </c>
    </row>
    <row r="170" spans="1:28" x14ac:dyDescent="0.25">
      <c r="A170" s="14">
        <v>45974</v>
      </c>
      <c r="B170" s="15">
        <v>2025</v>
      </c>
      <c r="C170" s="9" t="s">
        <v>81</v>
      </c>
      <c r="D170" s="26" t="s">
        <v>315</v>
      </c>
      <c r="E170" s="16" t="s">
        <v>88</v>
      </c>
      <c r="F170" s="15" t="s">
        <v>60</v>
      </c>
      <c r="G170" s="8" t="s">
        <v>335</v>
      </c>
      <c r="H170" s="8">
        <v>7854906557</v>
      </c>
      <c r="I170" s="16"/>
      <c r="J170" s="37" t="s">
        <v>336</v>
      </c>
      <c r="K170" s="16" t="s">
        <v>155</v>
      </c>
      <c r="L170" s="8" t="s">
        <v>80</v>
      </c>
      <c r="M170" s="8" t="s">
        <v>117</v>
      </c>
      <c r="N170" s="23">
        <v>585</v>
      </c>
      <c r="O170" s="62" t="s">
        <v>391</v>
      </c>
      <c r="P170" s="47" t="str">
        <f t="shared" ref="P170:P201" si="17">MID(O170,5,2)</f>
        <v>24</v>
      </c>
      <c r="Q170" s="19" t="str">
        <f t="shared" ref="Q170:Q201" si="18">MID(O170,7,2)</f>
        <v>09</v>
      </c>
      <c r="R170" s="19" t="s">
        <v>27</v>
      </c>
      <c r="S170" s="19" t="s">
        <v>100</v>
      </c>
      <c r="T170" s="15" t="s">
        <v>352</v>
      </c>
      <c r="U170" s="15" t="s">
        <v>352</v>
      </c>
      <c r="V170" s="38" t="s">
        <v>94</v>
      </c>
      <c r="W170" s="14">
        <v>46013</v>
      </c>
      <c r="X170" s="16">
        <f t="shared" si="13"/>
        <v>39</v>
      </c>
      <c r="Y170" s="16"/>
      <c r="Z170" s="16"/>
      <c r="AA170" s="16"/>
      <c r="AB170" s="10" t="str">
        <f t="shared" si="14"/>
        <v>Closed in Dec</v>
      </c>
    </row>
    <row r="171" spans="1:28" x14ac:dyDescent="0.25">
      <c r="A171" s="14">
        <v>45974</v>
      </c>
      <c r="B171" s="15">
        <v>2025</v>
      </c>
      <c r="C171" s="9" t="s">
        <v>81</v>
      </c>
      <c r="D171" s="26" t="s">
        <v>315</v>
      </c>
      <c r="E171" s="16" t="s">
        <v>88</v>
      </c>
      <c r="F171" s="15" t="s">
        <v>60</v>
      </c>
      <c r="G171" s="8" t="s">
        <v>335</v>
      </c>
      <c r="H171" s="8">
        <v>7854906558</v>
      </c>
      <c r="I171" s="16"/>
      <c r="J171" s="37" t="s">
        <v>336</v>
      </c>
      <c r="K171" s="16" t="s">
        <v>155</v>
      </c>
      <c r="L171" s="8" t="s">
        <v>80</v>
      </c>
      <c r="M171" s="8" t="s">
        <v>117</v>
      </c>
      <c r="N171" s="23">
        <v>585</v>
      </c>
      <c r="O171" s="62" t="s">
        <v>392</v>
      </c>
      <c r="P171" s="47" t="str">
        <f t="shared" si="17"/>
        <v>24</v>
      </c>
      <c r="Q171" s="19" t="str">
        <f t="shared" si="18"/>
        <v>09</v>
      </c>
      <c r="R171" s="19" t="s">
        <v>27</v>
      </c>
      <c r="S171" s="19" t="s">
        <v>100</v>
      </c>
      <c r="T171" s="15" t="s">
        <v>352</v>
      </c>
      <c r="U171" s="15" t="s">
        <v>352</v>
      </c>
      <c r="V171" s="38" t="s">
        <v>94</v>
      </c>
      <c r="W171" s="14">
        <v>46013</v>
      </c>
      <c r="X171" s="16">
        <f t="shared" si="13"/>
        <v>39</v>
      </c>
      <c r="Y171" s="16"/>
      <c r="Z171" s="16"/>
      <c r="AA171" s="16"/>
      <c r="AB171" s="10" t="str">
        <f t="shared" si="14"/>
        <v>Closed in Dec</v>
      </c>
    </row>
    <row r="172" spans="1:28" x14ac:dyDescent="0.25">
      <c r="A172" s="14">
        <v>45974</v>
      </c>
      <c r="B172" s="15">
        <v>2025</v>
      </c>
      <c r="C172" s="9" t="s">
        <v>81</v>
      </c>
      <c r="D172" s="26" t="s">
        <v>315</v>
      </c>
      <c r="E172" s="16" t="s">
        <v>88</v>
      </c>
      <c r="F172" s="15" t="s">
        <v>60</v>
      </c>
      <c r="G172" s="8" t="s">
        <v>335</v>
      </c>
      <c r="H172" s="8">
        <v>7854906559</v>
      </c>
      <c r="I172" s="16"/>
      <c r="J172" s="37" t="s">
        <v>336</v>
      </c>
      <c r="K172" s="16" t="s">
        <v>155</v>
      </c>
      <c r="L172" s="8" t="s">
        <v>80</v>
      </c>
      <c r="M172" s="8" t="s">
        <v>117</v>
      </c>
      <c r="N172" s="23">
        <v>585</v>
      </c>
      <c r="O172" s="62" t="s">
        <v>393</v>
      </c>
      <c r="P172" s="47" t="str">
        <f t="shared" si="17"/>
        <v>24</v>
      </c>
      <c r="Q172" s="19" t="str">
        <f t="shared" si="18"/>
        <v>09</v>
      </c>
      <c r="R172" s="19" t="s">
        <v>27</v>
      </c>
      <c r="S172" s="19" t="s">
        <v>100</v>
      </c>
      <c r="T172" s="15" t="s">
        <v>352</v>
      </c>
      <c r="U172" s="15" t="s">
        <v>352</v>
      </c>
      <c r="V172" s="38" t="s">
        <v>94</v>
      </c>
      <c r="W172" s="14">
        <v>46013</v>
      </c>
      <c r="X172" s="16">
        <f t="shared" si="13"/>
        <v>39</v>
      </c>
      <c r="Y172" s="16"/>
      <c r="Z172" s="16"/>
      <c r="AA172" s="16"/>
      <c r="AB172" s="10" t="str">
        <f t="shared" si="14"/>
        <v>Closed in Dec</v>
      </c>
    </row>
    <row r="173" spans="1:28" x14ac:dyDescent="0.25">
      <c r="A173" s="14">
        <v>45974</v>
      </c>
      <c r="B173" s="15">
        <v>2025</v>
      </c>
      <c r="C173" s="9" t="s">
        <v>81</v>
      </c>
      <c r="D173" s="26" t="s">
        <v>315</v>
      </c>
      <c r="E173" s="16" t="s">
        <v>88</v>
      </c>
      <c r="F173" s="15" t="s">
        <v>60</v>
      </c>
      <c r="G173" s="8" t="s">
        <v>335</v>
      </c>
      <c r="H173" s="8">
        <v>7854906560</v>
      </c>
      <c r="I173" s="16"/>
      <c r="J173" s="37" t="s">
        <v>336</v>
      </c>
      <c r="K173" s="16" t="s">
        <v>155</v>
      </c>
      <c r="L173" s="8" t="s">
        <v>80</v>
      </c>
      <c r="M173" s="8" t="s">
        <v>117</v>
      </c>
      <c r="N173" s="23">
        <v>585</v>
      </c>
      <c r="O173" s="62" t="s">
        <v>394</v>
      </c>
      <c r="P173" s="47" t="str">
        <f t="shared" si="17"/>
        <v>24</v>
      </c>
      <c r="Q173" s="19" t="str">
        <f t="shared" si="18"/>
        <v>09</v>
      </c>
      <c r="R173" s="19" t="s">
        <v>27</v>
      </c>
      <c r="S173" s="19" t="s">
        <v>100</v>
      </c>
      <c r="T173" s="15" t="s">
        <v>352</v>
      </c>
      <c r="U173" s="15" t="s">
        <v>352</v>
      </c>
      <c r="V173" s="38" t="s">
        <v>94</v>
      </c>
      <c r="W173" s="14">
        <v>46013</v>
      </c>
      <c r="X173" s="16">
        <f t="shared" si="13"/>
        <v>39</v>
      </c>
      <c r="Y173" s="16"/>
      <c r="Z173" s="16"/>
      <c r="AA173" s="16"/>
      <c r="AB173" s="10" t="str">
        <f t="shared" si="14"/>
        <v>Closed in Dec</v>
      </c>
    </row>
    <row r="174" spans="1:28" x14ac:dyDescent="0.25">
      <c r="A174" s="14">
        <v>45974</v>
      </c>
      <c r="B174" s="15">
        <v>2025</v>
      </c>
      <c r="C174" s="9" t="s">
        <v>81</v>
      </c>
      <c r="D174" s="26" t="s">
        <v>315</v>
      </c>
      <c r="E174" s="16" t="s">
        <v>88</v>
      </c>
      <c r="F174" s="15" t="s">
        <v>60</v>
      </c>
      <c r="G174" s="8" t="s">
        <v>335</v>
      </c>
      <c r="H174" s="8">
        <v>7854906561</v>
      </c>
      <c r="I174" s="16"/>
      <c r="J174" s="37" t="s">
        <v>336</v>
      </c>
      <c r="K174" s="16" t="s">
        <v>155</v>
      </c>
      <c r="L174" s="8" t="s">
        <v>80</v>
      </c>
      <c r="M174" s="8" t="s">
        <v>117</v>
      </c>
      <c r="N174" s="23">
        <v>585</v>
      </c>
      <c r="O174" s="62" t="s">
        <v>395</v>
      </c>
      <c r="P174" s="47" t="str">
        <f t="shared" si="17"/>
        <v>24</v>
      </c>
      <c r="Q174" s="19" t="str">
        <f t="shared" si="18"/>
        <v>09</v>
      </c>
      <c r="R174" s="19" t="s">
        <v>27</v>
      </c>
      <c r="S174" s="19" t="s">
        <v>100</v>
      </c>
      <c r="T174" s="15" t="s">
        <v>352</v>
      </c>
      <c r="U174" s="15" t="s">
        <v>352</v>
      </c>
      <c r="V174" s="38" t="s">
        <v>94</v>
      </c>
      <c r="W174" s="14">
        <v>46013</v>
      </c>
      <c r="X174" s="16">
        <f t="shared" si="13"/>
        <v>39</v>
      </c>
      <c r="Y174" s="16"/>
      <c r="Z174" s="16"/>
      <c r="AA174" s="16"/>
      <c r="AB174" s="10" t="str">
        <f t="shared" si="14"/>
        <v>Closed in Dec</v>
      </c>
    </row>
    <row r="175" spans="1:28" x14ac:dyDescent="0.25">
      <c r="A175" s="14">
        <v>45974</v>
      </c>
      <c r="B175" s="15">
        <v>2025</v>
      </c>
      <c r="C175" s="9" t="s">
        <v>81</v>
      </c>
      <c r="D175" s="26" t="s">
        <v>315</v>
      </c>
      <c r="E175" s="16" t="s">
        <v>88</v>
      </c>
      <c r="F175" s="15" t="s">
        <v>60</v>
      </c>
      <c r="G175" s="8" t="s">
        <v>335</v>
      </c>
      <c r="H175" s="8">
        <v>7854906562</v>
      </c>
      <c r="I175" s="16"/>
      <c r="J175" s="37" t="s">
        <v>336</v>
      </c>
      <c r="K175" s="16" t="s">
        <v>155</v>
      </c>
      <c r="L175" s="8" t="s">
        <v>80</v>
      </c>
      <c r="M175" s="8" t="s">
        <v>117</v>
      </c>
      <c r="N175" s="23">
        <v>585</v>
      </c>
      <c r="O175" s="62" t="s">
        <v>396</v>
      </c>
      <c r="P175" s="47" t="str">
        <f t="shared" si="17"/>
        <v>24</v>
      </c>
      <c r="Q175" s="19" t="str">
        <f t="shared" si="18"/>
        <v>09</v>
      </c>
      <c r="R175" s="19" t="s">
        <v>27</v>
      </c>
      <c r="S175" s="19" t="s">
        <v>100</v>
      </c>
      <c r="T175" s="15" t="s">
        <v>352</v>
      </c>
      <c r="U175" s="15" t="s">
        <v>352</v>
      </c>
      <c r="V175" s="38" t="s">
        <v>94</v>
      </c>
      <c r="W175" s="14">
        <v>46013</v>
      </c>
      <c r="X175" s="16">
        <f t="shared" si="13"/>
        <v>39</v>
      </c>
      <c r="Y175" s="16"/>
      <c r="Z175" s="16"/>
      <c r="AA175" s="16"/>
      <c r="AB175" s="10" t="str">
        <f t="shared" si="14"/>
        <v>Closed in Dec</v>
      </c>
    </row>
    <row r="176" spans="1:28" x14ac:dyDescent="0.25">
      <c r="A176" s="14">
        <v>45992</v>
      </c>
      <c r="B176" s="15">
        <v>2025</v>
      </c>
      <c r="C176" s="9" t="s">
        <v>83</v>
      </c>
      <c r="D176" s="9" t="s">
        <v>194</v>
      </c>
      <c r="E176" s="15" t="s">
        <v>397</v>
      </c>
      <c r="F176" s="15" t="s">
        <v>60</v>
      </c>
      <c r="G176" s="9" t="s">
        <v>398</v>
      </c>
      <c r="H176" s="8">
        <v>7459871048</v>
      </c>
      <c r="I176" s="16"/>
      <c r="J176" s="9" t="s">
        <v>37</v>
      </c>
      <c r="K176" s="9" t="s">
        <v>161</v>
      </c>
      <c r="L176" s="9" t="s">
        <v>82</v>
      </c>
      <c r="M176" s="16" t="s">
        <v>31</v>
      </c>
      <c r="N176" s="23">
        <v>540</v>
      </c>
      <c r="O176" s="48" t="s">
        <v>399</v>
      </c>
      <c r="P176" s="47" t="str">
        <f t="shared" si="17"/>
        <v>24</v>
      </c>
      <c r="Q176" s="19" t="str">
        <f t="shared" si="18"/>
        <v>12</v>
      </c>
      <c r="R176" s="19" t="s">
        <v>26</v>
      </c>
      <c r="S176" s="19" t="s">
        <v>101</v>
      </c>
      <c r="T176" s="22" t="s">
        <v>31</v>
      </c>
      <c r="U176" s="16" t="s">
        <v>205</v>
      </c>
      <c r="V176" s="16" t="s">
        <v>93</v>
      </c>
      <c r="W176" s="14">
        <v>46013</v>
      </c>
      <c r="X176" s="16">
        <f t="shared" si="13"/>
        <v>21</v>
      </c>
      <c r="Y176" s="16"/>
      <c r="Z176" s="16"/>
      <c r="AA176" s="16"/>
      <c r="AB176" s="10" t="str">
        <f t="shared" si="14"/>
        <v>Closed in Dec</v>
      </c>
    </row>
    <row r="177" spans="1:28" x14ac:dyDescent="0.25">
      <c r="A177" s="14">
        <v>45992</v>
      </c>
      <c r="B177" s="15">
        <v>2025</v>
      </c>
      <c r="C177" s="9" t="s">
        <v>83</v>
      </c>
      <c r="D177" s="9" t="s">
        <v>194</v>
      </c>
      <c r="E177" s="15" t="s">
        <v>397</v>
      </c>
      <c r="F177" s="15" t="s">
        <v>60</v>
      </c>
      <c r="G177" s="9" t="s">
        <v>398</v>
      </c>
      <c r="H177" s="8">
        <v>7459871049</v>
      </c>
      <c r="I177" s="16"/>
      <c r="J177" s="9" t="s">
        <v>37</v>
      </c>
      <c r="K177" s="9" t="s">
        <v>161</v>
      </c>
      <c r="L177" s="9" t="s">
        <v>82</v>
      </c>
      <c r="M177" s="16" t="s">
        <v>31</v>
      </c>
      <c r="N177" s="23">
        <v>540</v>
      </c>
      <c r="O177" s="48" t="s">
        <v>400</v>
      </c>
      <c r="P177" s="47" t="str">
        <f t="shared" si="17"/>
        <v>25</v>
      </c>
      <c r="Q177" s="19" t="str">
        <f t="shared" si="18"/>
        <v>01</v>
      </c>
      <c r="R177" s="19" t="s">
        <v>26</v>
      </c>
      <c r="S177" s="19" t="s">
        <v>101</v>
      </c>
      <c r="T177" s="22" t="s">
        <v>31</v>
      </c>
      <c r="U177" s="16" t="s">
        <v>205</v>
      </c>
      <c r="V177" s="16" t="s">
        <v>93</v>
      </c>
      <c r="W177" s="14">
        <v>46013</v>
      </c>
      <c r="X177" s="16">
        <f t="shared" si="13"/>
        <v>21</v>
      </c>
      <c r="Y177" s="16"/>
      <c r="Z177" s="16"/>
      <c r="AA177" s="16"/>
      <c r="AB177" s="10" t="str">
        <f t="shared" si="14"/>
        <v>Closed in Dec</v>
      </c>
    </row>
    <row r="178" spans="1:28" x14ac:dyDescent="0.25">
      <c r="A178" s="14">
        <v>45992</v>
      </c>
      <c r="B178" s="15">
        <v>2025</v>
      </c>
      <c r="C178" s="9" t="s">
        <v>83</v>
      </c>
      <c r="D178" s="9" t="s">
        <v>194</v>
      </c>
      <c r="E178" s="15" t="s">
        <v>397</v>
      </c>
      <c r="F178" s="15" t="s">
        <v>60</v>
      </c>
      <c r="G178" s="9" t="s">
        <v>398</v>
      </c>
      <c r="H178" s="8">
        <v>7459871050</v>
      </c>
      <c r="I178" s="16"/>
      <c r="J178" s="9" t="s">
        <v>37</v>
      </c>
      <c r="K178" s="9" t="s">
        <v>161</v>
      </c>
      <c r="L178" s="9" t="s">
        <v>82</v>
      </c>
      <c r="M178" s="16" t="s">
        <v>31</v>
      </c>
      <c r="N178" s="23">
        <v>540</v>
      </c>
      <c r="O178" s="48" t="s">
        <v>401</v>
      </c>
      <c r="P178" s="47" t="str">
        <f t="shared" si="17"/>
        <v>24</v>
      </c>
      <c r="Q178" s="19" t="str">
        <f t="shared" si="18"/>
        <v>12</v>
      </c>
      <c r="R178" s="19" t="s">
        <v>26</v>
      </c>
      <c r="S178" s="19" t="s">
        <v>101</v>
      </c>
      <c r="T178" s="22" t="s">
        <v>31</v>
      </c>
      <c r="U178" s="16" t="s">
        <v>205</v>
      </c>
      <c r="V178" s="16" t="s">
        <v>93</v>
      </c>
      <c r="W178" s="14">
        <v>46013</v>
      </c>
      <c r="X178" s="16">
        <f t="shared" si="13"/>
        <v>21</v>
      </c>
      <c r="Y178" s="16"/>
      <c r="Z178" s="16"/>
      <c r="AA178" s="16"/>
      <c r="AB178" s="10" t="str">
        <f t="shared" si="14"/>
        <v>Closed in Dec</v>
      </c>
    </row>
    <row r="179" spans="1:28" x14ac:dyDescent="0.25">
      <c r="A179" s="14">
        <v>45992</v>
      </c>
      <c r="B179" s="15">
        <v>2025</v>
      </c>
      <c r="C179" s="9" t="s">
        <v>83</v>
      </c>
      <c r="D179" s="9" t="s">
        <v>194</v>
      </c>
      <c r="E179" s="15" t="s">
        <v>397</v>
      </c>
      <c r="F179" s="15" t="s">
        <v>60</v>
      </c>
      <c r="G179" s="9" t="s">
        <v>398</v>
      </c>
      <c r="H179" s="8">
        <v>7459871051</v>
      </c>
      <c r="I179" s="16"/>
      <c r="J179" s="9" t="s">
        <v>37</v>
      </c>
      <c r="K179" s="9" t="s">
        <v>161</v>
      </c>
      <c r="L179" s="9" t="s">
        <v>82</v>
      </c>
      <c r="M179" s="16" t="s">
        <v>31</v>
      </c>
      <c r="N179" s="23">
        <v>540</v>
      </c>
      <c r="O179" s="48" t="s">
        <v>402</v>
      </c>
      <c r="P179" s="47" t="str">
        <f t="shared" si="17"/>
        <v>24</v>
      </c>
      <c r="Q179" s="19" t="str">
        <f t="shared" si="18"/>
        <v>12</v>
      </c>
      <c r="R179" s="19" t="s">
        <v>26</v>
      </c>
      <c r="S179" s="19" t="s">
        <v>101</v>
      </c>
      <c r="T179" s="22" t="s">
        <v>31</v>
      </c>
      <c r="U179" s="16" t="s">
        <v>205</v>
      </c>
      <c r="V179" s="16" t="s">
        <v>93</v>
      </c>
      <c r="W179" s="14">
        <v>46013</v>
      </c>
      <c r="X179" s="16">
        <f t="shared" si="13"/>
        <v>21</v>
      </c>
      <c r="Y179" s="16"/>
      <c r="Z179" s="16"/>
      <c r="AA179" s="16"/>
      <c r="AB179" s="10" t="str">
        <f t="shared" si="14"/>
        <v>Closed in Dec</v>
      </c>
    </row>
    <row r="180" spans="1:28" x14ac:dyDescent="0.25">
      <c r="A180" s="14">
        <v>45992</v>
      </c>
      <c r="B180" s="15">
        <v>2025</v>
      </c>
      <c r="C180" s="9" t="s">
        <v>83</v>
      </c>
      <c r="D180" s="9" t="s">
        <v>194</v>
      </c>
      <c r="E180" s="15" t="s">
        <v>397</v>
      </c>
      <c r="F180" s="15" t="s">
        <v>60</v>
      </c>
      <c r="G180" s="9" t="s">
        <v>398</v>
      </c>
      <c r="H180" s="8">
        <v>7459871052</v>
      </c>
      <c r="I180" s="16"/>
      <c r="J180" s="9" t="s">
        <v>37</v>
      </c>
      <c r="K180" s="9" t="s">
        <v>161</v>
      </c>
      <c r="L180" s="9" t="s">
        <v>82</v>
      </c>
      <c r="M180" s="16" t="s">
        <v>31</v>
      </c>
      <c r="N180" s="23">
        <v>540</v>
      </c>
      <c r="O180" s="48" t="s">
        <v>403</v>
      </c>
      <c r="P180" s="47" t="str">
        <f t="shared" si="17"/>
        <v>24</v>
      </c>
      <c r="Q180" s="19" t="str">
        <f t="shared" si="18"/>
        <v>12</v>
      </c>
      <c r="R180" s="19" t="s">
        <v>26</v>
      </c>
      <c r="S180" s="19" t="s">
        <v>101</v>
      </c>
      <c r="T180" s="22" t="s">
        <v>31</v>
      </c>
      <c r="U180" s="16" t="s">
        <v>205</v>
      </c>
      <c r="V180" s="16" t="s">
        <v>93</v>
      </c>
      <c r="W180" s="14">
        <v>46013</v>
      </c>
      <c r="X180" s="16">
        <f t="shared" si="13"/>
        <v>21</v>
      </c>
      <c r="Y180" s="16"/>
      <c r="Z180" s="16"/>
      <c r="AA180" s="16"/>
      <c r="AB180" s="10" t="str">
        <f t="shared" si="14"/>
        <v>Closed in Dec</v>
      </c>
    </row>
    <row r="181" spans="1:28" x14ac:dyDescent="0.25">
      <c r="A181" s="14">
        <v>45992</v>
      </c>
      <c r="B181" s="15">
        <v>2025</v>
      </c>
      <c r="C181" s="9" t="s">
        <v>83</v>
      </c>
      <c r="D181" s="9" t="s">
        <v>194</v>
      </c>
      <c r="E181" s="15" t="s">
        <v>397</v>
      </c>
      <c r="F181" s="15" t="s">
        <v>60</v>
      </c>
      <c r="G181" s="9" t="s">
        <v>398</v>
      </c>
      <c r="H181" s="8">
        <v>7459871053</v>
      </c>
      <c r="I181" s="16"/>
      <c r="J181" s="9" t="s">
        <v>37</v>
      </c>
      <c r="K181" s="9" t="s">
        <v>161</v>
      </c>
      <c r="L181" s="9" t="s">
        <v>82</v>
      </c>
      <c r="M181" s="16" t="s">
        <v>31</v>
      </c>
      <c r="N181" s="23">
        <v>540</v>
      </c>
      <c r="O181" s="48" t="s">
        <v>404</v>
      </c>
      <c r="P181" s="47" t="str">
        <f t="shared" si="17"/>
        <v>25</v>
      </c>
      <c r="Q181" s="19" t="str">
        <f t="shared" si="18"/>
        <v>01</v>
      </c>
      <c r="R181" s="19" t="s">
        <v>26</v>
      </c>
      <c r="S181" s="19" t="s">
        <v>101</v>
      </c>
      <c r="T181" s="22" t="s">
        <v>31</v>
      </c>
      <c r="U181" s="16" t="s">
        <v>205</v>
      </c>
      <c r="V181" s="16" t="s">
        <v>93</v>
      </c>
      <c r="W181" s="14">
        <v>46013</v>
      </c>
      <c r="X181" s="16">
        <f t="shared" si="13"/>
        <v>21</v>
      </c>
      <c r="Y181" s="16"/>
      <c r="Z181" s="16"/>
      <c r="AA181" s="16"/>
      <c r="AB181" s="10" t="str">
        <f t="shared" si="14"/>
        <v>Closed in Dec</v>
      </c>
    </row>
    <row r="182" spans="1:28" x14ac:dyDescent="0.25">
      <c r="A182" s="14">
        <v>45992</v>
      </c>
      <c r="B182" s="15">
        <v>2025</v>
      </c>
      <c r="C182" s="9" t="s">
        <v>83</v>
      </c>
      <c r="D182" s="9" t="s">
        <v>194</v>
      </c>
      <c r="E182" s="15" t="s">
        <v>397</v>
      </c>
      <c r="F182" s="15" t="s">
        <v>60</v>
      </c>
      <c r="G182" s="9" t="s">
        <v>398</v>
      </c>
      <c r="H182" s="8">
        <v>7459871054</v>
      </c>
      <c r="I182" s="16"/>
      <c r="J182" s="9" t="s">
        <v>37</v>
      </c>
      <c r="K182" s="9" t="s">
        <v>161</v>
      </c>
      <c r="L182" s="9" t="s">
        <v>82</v>
      </c>
      <c r="M182" s="16" t="s">
        <v>31</v>
      </c>
      <c r="N182" s="23">
        <v>540</v>
      </c>
      <c r="O182" s="48" t="s">
        <v>405</v>
      </c>
      <c r="P182" s="47" t="str">
        <f t="shared" si="17"/>
        <v>25</v>
      </c>
      <c r="Q182" s="19" t="str">
        <f t="shared" si="18"/>
        <v>01</v>
      </c>
      <c r="R182" s="19" t="s">
        <v>26</v>
      </c>
      <c r="S182" s="19" t="s">
        <v>101</v>
      </c>
      <c r="T182" s="22" t="s">
        <v>31</v>
      </c>
      <c r="U182" s="16" t="s">
        <v>205</v>
      </c>
      <c r="V182" s="16" t="s">
        <v>93</v>
      </c>
      <c r="W182" s="14">
        <v>46013</v>
      </c>
      <c r="X182" s="16">
        <f t="shared" si="13"/>
        <v>21</v>
      </c>
      <c r="Y182" s="16"/>
      <c r="Z182" s="16"/>
      <c r="AA182" s="16"/>
      <c r="AB182" s="10" t="str">
        <f t="shared" si="14"/>
        <v>Closed in Dec</v>
      </c>
    </row>
    <row r="183" spans="1:28" x14ac:dyDescent="0.25">
      <c r="A183" s="14">
        <v>45992</v>
      </c>
      <c r="B183" s="15">
        <v>2025</v>
      </c>
      <c r="C183" s="9" t="s">
        <v>83</v>
      </c>
      <c r="D183" s="9" t="s">
        <v>194</v>
      </c>
      <c r="E183" s="15" t="s">
        <v>397</v>
      </c>
      <c r="F183" s="15" t="s">
        <v>60</v>
      </c>
      <c r="G183" s="9" t="s">
        <v>398</v>
      </c>
      <c r="H183" s="8">
        <v>7459871055</v>
      </c>
      <c r="I183" s="16"/>
      <c r="J183" s="9" t="s">
        <v>37</v>
      </c>
      <c r="K183" s="9" t="s">
        <v>161</v>
      </c>
      <c r="L183" s="9" t="s">
        <v>82</v>
      </c>
      <c r="M183" s="16" t="s">
        <v>31</v>
      </c>
      <c r="N183" s="23">
        <v>540</v>
      </c>
      <c r="O183" s="48" t="s">
        <v>406</v>
      </c>
      <c r="P183" s="47" t="str">
        <f t="shared" si="17"/>
        <v>24</v>
      </c>
      <c r="Q183" s="19" t="str">
        <f t="shared" si="18"/>
        <v>12</v>
      </c>
      <c r="R183" s="19" t="s">
        <v>26</v>
      </c>
      <c r="S183" s="19" t="s">
        <v>101</v>
      </c>
      <c r="T183" s="22" t="s">
        <v>31</v>
      </c>
      <c r="U183" s="16" t="s">
        <v>205</v>
      </c>
      <c r="V183" s="16" t="s">
        <v>93</v>
      </c>
      <c r="W183" s="14">
        <v>46013</v>
      </c>
      <c r="X183" s="16">
        <f t="shared" si="13"/>
        <v>21</v>
      </c>
      <c r="Y183" s="16"/>
      <c r="Z183" s="16"/>
      <c r="AA183" s="16"/>
      <c r="AB183" s="10" t="str">
        <f t="shared" si="14"/>
        <v>Closed in Dec</v>
      </c>
    </row>
    <row r="184" spans="1:28" x14ac:dyDescent="0.25">
      <c r="A184" s="14">
        <v>45992</v>
      </c>
      <c r="B184" s="15">
        <v>2025</v>
      </c>
      <c r="C184" s="9" t="s">
        <v>83</v>
      </c>
      <c r="D184" s="9" t="s">
        <v>194</v>
      </c>
      <c r="E184" s="15" t="s">
        <v>397</v>
      </c>
      <c r="F184" s="15" t="s">
        <v>60</v>
      </c>
      <c r="G184" s="9" t="s">
        <v>398</v>
      </c>
      <c r="H184" s="8">
        <v>7459871056</v>
      </c>
      <c r="I184" s="16"/>
      <c r="J184" s="9" t="s">
        <v>37</v>
      </c>
      <c r="K184" s="9" t="s">
        <v>161</v>
      </c>
      <c r="L184" s="9" t="s">
        <v>82</v>
      </c>
      <c r="M184" s="16" t="s">
        <v>31</v>
      </c>
      <c r="N184" s="23">
        <v>540</v>
      </c>
      <c r="O184" s="48" t="s">
        <v>407</v>
      </c>
      <c r="P184" s="47" t="str">
        <f t="shared" si="17"/>
        <v>24</v>
      </c>
      <c r="Q184" s="19" t="str">
        <f t="shared" si="18"/>
        <v>12</v>
      </c>
      <c r="R184" s="19" t="s">
        <v>26</v>
      </c>
      <c r="S184" s="19" t="s">
        <v>101</v>
      </c>
      <c r="T184" s="22" t="s">
        <v>31</v>
      </c>
      <c r="U184" s="16" t="s">
        <v>205</v>
      </c>
      <c r="V184" s="16" t="s">
        <v>93</v>
      </c>
      <c r="W184" s="14">
        <v>46013</v>
      </c>
      <c r="X184" s="16">
        <f t="shared" si="13"/>
        <v>21</v>
      </c>
      <c r="Y184" s="16"/>
      <c r="Z184" s="16"/>
      <c r="AA184" s="16"/>
      <c r="AB184" s="10" t="str">
        <f t="shared" si="14"/>
        <v>Closed in Dec</v>
      </c>
    </row>
    <row r="185" spans="1:28" x14ac:dyDescent="0.25">
      <c r="A185" s="14">
        <v>45994</v>
      </c>
      <c r="B185" s="15">
        <v>2025</v>
      </c>
      <c r="C185" s="9" t="s">
        <v>85</v>
      </c>
      <c r="D185" s="9" t="s">
        <v>194</v>
      </c>
      <c r="E185" s="16"/>
      <c r="F185" s="15" t="s">
        <v>60</v>
      </c>
      <c r="G185" s="16" t="s">
        <v>408</v>
      </c>
      <c r="H185" s="9">
        <v>9703345015</v>
      </c>
      <c r="I185" s="16"/>
      <c r="J185" s="16" t="s">
        <v>197</v>
      </c>
      <c r="K185" s="9" t="s">
        <v>163</v>
      </c>
      <c r="L185" s="9" t="s">
        <v>82</v>
      </c>
      <c r="M185" s="18" t="s">
        <v>29</v>
      </c>
      <c r="N185" s="23">
        <v>540</v>
      </c>
      <c r="O185" s="48" t="s">
        <v>409</v>
      </c>
      <c r="P185" s="47" t="str">
        <f t="shared" si="17"/>
        <v>25</v>
      </c>
      <c r="Q185" s="19" t="str">
        <f t="shared" si="18"/>
        <v>06</v>
      </c>
      <c r="R185" s="19" t="s">
        <v>26</v>
      </c>
      <c r="S185" s="19" t="s">
        <v>101</v>
      </c>
      <c r="T185" s="22" t="s">
        <v>31</v>
      </c>
      <c r="U185" s="18" t="s">
        <v>410</v>
      </c>
      <c r="V185" s="16" t="s">
        <v>93</v>
      </c>
      <c r="W185" s="14">
        <v>46014</v>
      </c>
      <c r="X185" s="16">
        <f t="shared" si="13"/>
        <v>20</v>
      </c>
      <c r="Y185" s="16"/>
      <c r="Z185" s="16"/>
      <c r="AA185" s="16"/>
      <c r="AB185" s="10" t="str">
        <f t="shared" si="14"/>
        <v>Closed in Dec</v>
      </c>
    </row>
    <row r="186" spans="1:28" x14ac:dyDescent="0.25">
      <c r="A186" s="14">
        <v>45994</v>
      </c>
      <c r="B186" s="15">
        <v>2025</v>
      </c>
      <c r="C186" s="9" t="s">
        <v>85</v>
      </c>
      <c r="D186" s="9" t="s">
        <v>194</v>
      </c>
      <c r="E186" s="16"/>
      <c r="F186" s="15" t="s">
        <v>60</v>
      </c>
      <c r="G186" s="16" t="s">
        <v>408</v>
      </c>
      <c r="H186" s="9">
        <v>9703345015</v>
      </c>
      <c r="I186" s="16"/>
      <c r="J186" s="16" t="s">
        <v>197</v>
      </c>
      <c r="K186" s="9" t="s">
        <v>163</v>
      </c>
      <c r="L186" s="9" t="s">
        <v>82</v>
      </c>
      <c r="M186" s="16" t="s">
        <v>31</v>
      </c>
      <c r="N186" s="23">
        <v>540</v>
      </c>
      <c r="O186" s="48" t="s">
        <v>411</v>
      </c>
      <c r="P186" s="47" t="str">
        <f t="shared" si="17"/>
        <v>25</v>
      </c>
      <c r="Q186" s="19" t="str">
        <f t="shared" si="18"/>
        <v>06</v>
      </c>
      <c r="R186" s="19" t="s">
        <v>26</v>
      </c>
      <c r="S186" s="19" t="s">
        <v>101</v>
      </c>
      <c r="T186" s="22" t="s">
        <v>31</v>
      </c>
      <c r="U186" s="16" t="s">
        <v>205</v>
      </c>
      <c r="V186" s="16" t="s">
        <v>93</v>
      </c>
      <c r="W186" s="14">
        <v>46014</v>
      </c>
      <c r="X186" s="16">
        <f t="shared" si="13"/>
        <v>20</v>
      </c>
      <c r="Y186" s="16"/>
      <c r="Z186" s="16"/>
      <c r="AA186" s="16"/>
      <c r="AB186" s="10" t="str">
        <f t="shared" si="14"/>
        <v>Closed in Dec</v>
      </c>
    </row>
    <row r="187" spans="1:28" x14ac:dyDescent="0.25">
      <c r="A187" s="14">
        <v>45994</v>
      </c>
      <c r="B187" s="15">
        <v>2025</v>
      </c>
      <c r="C187" s="9" t="s">
        <v>85</v>
      </c>
      <c r="D187" s="9" t="s">
        <v>194</v>
      </c>
      <c r="E187" s="16"/>
      <c r="F187" s="15" t="s">
        <v>60</v>
      </c>
      <c r="G187" s="16" t="s">
        <v>408</v>
      </c>
      <c r="H187" s="9">
        <v>9703345015</v>
      </c>
      <c r="I187" s="16"/>
      <c r="J187" s="16" t="s">
        <v>197</v>
      </c>
      <c r="K187" s="9" t="s">
        <v>163</v>
      </c>
      <c r="L187" s="9" t="s">
        <v>82</v>
      </c>
      <c r="M187" s="18" t="s">
        <v>29</v>
      </c>
      <c r="N187" s="23">
        <v>540</v>
      </c>
      <c r="O187" s="48" t="s">
        <v>412</v>
      </c>
      <c r="P187" s="47" t="str">
        <f t="shared" si="17"/>
        <v>25</v>
      </c>
      <c r="Q187" s="19" t="str">
        <f t="shared" si="18"/>
        <v>06</v>
      </c>
      <c r="R187" s="19" t="s">
        <v>26</v>
      </c>
      <c r="S187" s="19" t="s">
        <v>101</v>
      </c>
      <c r="T187" s="22" t="s">
        <v>31</v>
      </c>
      <c r="U187" s="18" t="s">
        <v>413</v>
      </c>
      <c r="V187" s="16" t="s">
        <v>93</v>
      </c>
      <c r="W187" s="14">
        <v>46014</v>
      </c>
      <c r="X187" s="16">
        <f t="shared" si="13"/>
        <v>20</v>
      </c>
      <c r="Y187" s="16"/>
      <c r="Z187" s="16"/>
      <c r="AA187" s="16"/>
      <c r="AB187" s="10" t="str">
        <f t="shared" si="14"/>
        <v>Closed in Dec</v>
      </c>
    </row>
    <row r="188" spans="1:28" x14ac:dyDescent="0.25">
      <c r="A188" s="14">
        <v>45994</v>
      </c>
      <c r="B188" s="15">
        <v>2025</v>
      </c>
      <c r="C188" s="9" t="s">
        <v>85</v>
      </c>
      <c r="D188" s="9" t="s">
        <v>194</v>
      </c>
      <c r="E188" s="16"/>
      <c r="F188" s="15" t="s">
        <v>60</v>
      </c>
      <c r="G188" s="16" t="s">
        <v>408</v>
      </c>
      <c r="H188" s="9">
        <v>9703345015</v>
      </c>
      <c r="I188" s="16"/>
      <c r="J188" s="16" t="s">
        <v>197</v>
      </c>
      <c r="K188" s="9" t="s">
        <v>163</v>
      </c>
      <c r="L188" s="9" t="s">
        <v>82</v>
      </c>
      <c r="M188" s="16" t="s">
        <v>31</v>
      </c>
      <c r="N188" s="23">
        <v>540</v>
      </c>
      <c r="O188" s="48" t="s">
        <v>414</v>
      </c>
      <c r="P188" s="47" t="str">
        <f t="shared" si="17"/>
        <v>25</v>
      </c>
      <c r="Q188" s="19" t="str">
        <f t="shared" si="18"/>
        <v>06</v>
      </c>
      <c r="R188" s="19" t="s">
        <v>26</v>
      </c>
      <c r="S188" s="19" t="s">
        <v>101</v>
      </c>
      <c r="T188" s="22" t="s">
        <v>31</v>
      </c>
      <c r="U188" s="18" t="s">
        <v>328</v>
      </c>
      <c r="V188" s="16" t="s">
        <v>93</v>
      </c>
      <c r="W188" s="14">
        <v>46014</v>
      </c>
      <c r="X188" s="16">
        <f t="shared" si="13"/>
        <v>20</v>
      </c>
      <c r="Y188" s="16"/>
      <c r="Z188" s="16"/>
      <c r="AA188" s="16"/>
      <c r="AB188" s="10" t="str">
        <f t="shared" si="14"/>
        <v>Closed in Dec</v>
      </c>
    </row>
    <row r="189" spans="1:28" x14ac:dyDescent="0.25">
      <c r="A189" s="14">
        <v>45994</v>
      </c>
      <c r="B189" s="15">
        <v>2025</v>
      </c>
      <c r="C189" s="9" t="s">
        <v>85</v>
      </c>
      <c r="D189" s="9" t="s">
        <v>194</v>
      </c>
      <c r="E189" s="16"/>
      <c r="F189" s="15" t="s">
        <v>60</v>
      </c>
      <c r="G189" s="16" t="s">
        <v>408</v>
      </c>
      <c r="H189" s="9">
        <v>9703345015</v>
      </c>
      <c r="I189" s="16"/>
      <c r="J189" s="16" t="s">
        <v>197</v>
      </c>
      <c r="K189" s="9" t="s">
        <v>163</v>
      </c>
      <c r="L189" s="9" t="s">
        <v>82</v>
      </c>
      <c r="M189" s="18" t="s">
        <v>29</v>
      </c>
      <c r="N189" s="23">
        <v>540</v>
      </c>
      <c r="O189" s="48" t="s">
        <v>415</v>
      </c>
      <c r="P189" s="47" t="str">
        <f t="shared" si="17"/>
        <v>25</v>
      </c>
      <c r="Q189" s="19" t="str">
        <f t="shared" si="18"/>
        <v>06</v>
      </c>
      <c r="R189" s="19" t="s">
        <v>26</v>
      </c>
      <c r="S189" s="19" t="s">
        <v>101</v>
      </c>
      <c r="T189" s="22" t="s">
        <v>31</v>
      </c>
      <c r="U189" s="18" t="s">
        <v>413</v>
      </c>
      <c r="V189" s="16" t="s">
        <v>93</v>
      </c>
      <c r="W189" s="14">
        <v>46014</v>
      </c>
      <c r="X189" s="16">
        <f t="shared" si="13"/>
        <v>20</v>
      </c>
      <c r="Y189" s="16"/>
      <c r="Z189" s="16"/>
      <c r="AA189" s="16"/>
      <c r="AB189" s="10" t="str">
        <f t="shared" si="14"/>
        <v>Closed in Dec</v>
      </c>
    </row>
    <row r="190" spans="1:28" x14ac:dyDescent="0.25">
      <c r="A190" s="14">
        <v>45994</v>
      </c>
      <c r="B190" s="15">
        <v>2025</v>
      </c>
      <c r="C190" s="9" t="s">
        <v>85</v>
      </c>
      <c r="D190" s="9" t="s">
        <v>194</v>
      </c>
      <c r="E190" s="16"/>
      <c r="F190" s="15" t="s">
        <v>60</v>
      </c>
      <c r="G190" s="16" t="s">
        <v>408</v>
      </c>
      <c r="H190" s="9">
        <v>9703345015</v>
      </c>
      <c r="I190" s="16"/>
      <c r="J190" s="16" t="s">
        <v>197</v>
      </c>
      <c r="K190" s="9" t="s">
        <v>163</v>
      </c>
      <c r="L190" s="9" t="s">
        <v>82</v>
      </c>
      <c r="M190" s="16" t="s">
        <v>31</v>
      </c>
      <c r="N190" s="23">
        <v>540</v>
      </c>
      <c r="O190" s="48" t="s">
        <v>416</v>
      </c>
      <c r="P190" s="47" t="str">
        <f t="shared" si="17"/>
        <v>25</v>
      </c>
      <c r="Q190" s="19" t="str">
        <f t="shared" si="18"/>
        <v>09</v>
      </c>
      <c r="R190" s="19" t="s">
        <v>26</v>
      </c>
      <c r="S190" s="19" t="s">
        <v>101</v>
      </c>
      <c r="T190" s="22" t="s">
        <v>31</v>
      </c>
      <c r="U190" s="18" t="s">
        <v>328</v>
      </c>
      <c r="V190" s="16" t="s">
        <v>93</v>
      </c>
      <c r="W190" s="14">
        <v>46014</v>
      </c>
      <c r="X190" s="16">
        <f t="shared" si="13"/>
        <v>20</v>
      </c>
      <c r="Y190" s="16"/>
      <c r="Z190" s="16"/>
      <c r="AA190" s="16"/>
      <c r="AB190" s="10" t="str">
        <f t="shared" si="14"/>
        <v>Closed in Dec</v>
      </c>
    </row>
    <row r="191" spans="1:28" x14ac:dyDescent="0.25">
      <c r="A191" s="14">
        <v>45994</v>
      </c>
      <c r="B191" s="15">
        <v>2025</v>
      </c>
      <c r="C191" s="9" t="s">
        <v>302</v>
      </c>
      <c r="D191" s="20" t="s">
        <v>194</v>
      </c>
      <c r="E191" s="16"/>
      <c r="F191" s="15" t="s">
        <v>60</v>
      </c>
      <c r="G191" s="9" t="s">
        <v>303</v>
      </c>
      <c r="H191" s="9">
        <v>7902222180</v>
      </c>
      <c r="I191" s="9" t="s">
        <v>147</v>
      </c>
      <c r="J191" s="9" t="s">
        <v>197</v>
      </c>
      <c r="K191" s="9" t="s">
        <v>146</v>
      </c>
      <c r="L191" s="9" t="s">
        <v>38</v>
      </c>
      <c r="M191" s="18" t="s">
        <v>29</v>
      </c>
      <c r="N191" s="53">
        <v>515</v>
      </c>
      <c r="O191" s="58" t="s">
        <v>417</v>
      </c>
      <c r="P191" s="47" t="str">
        <f t="shared" si="17"/>
        <v>23</v>
      </c>
      <c r="Q191" s="19" t="str">
        <f t="shared" si="18"/>
        <v>03</v>
      </c>
      <c r="R191" s="19" t="s">
        <v>25</v>
      </c>
      <c r="S191" s="19" t="s">
        <v>101</v>
      </c>
      <c r="T191" s="22" t="s">
        <v>31</v>
      </c>
      <c r="U191" s="16" t="s">
        <v>310</v>
      </c>
      <c r="V191" s="16" t="s">
        <v>93</v>
      </c>
      <c r="W191" s="14">
        <v>46001</v>
      </c>
      <c r="X191" s="16">
        <f t="shared" si="13"/>
        <v>7</v>
      </c>
      <c r="Y191" s="16"/>
      <c r="Z191" s="16"/>
      <c r="AA191" s="16"/>
      <c r="AB191" s="10" t="str">
        <f t="shared" si="14"/>
        <v>Closed in Dec</v>
      </c>
    </row>
    <row r="192" spans="1:28" x14ac:dyDescent="0.25">
      <c r="A192" s="14">
        <v>46015</v>
      </c>
      <c r="B192" s="15">
        <v>2025</v>
      </c>
      <c r="C192" s="16" t="s">
        <v>86</v>
      </c>
      <c r="D192" s="26" t="s">
        <v>418</v>
      </c>
      <c r="E192" s="16"/>
      <c r="F192" s="16" t="s">
        <v>60</v>
      </c>
      <c r="G192" s="16" t="s">
        <v>419</v>
      </c>
      <c r="H192" s="16"/>
      <c r="I192" s="16"/>
      <c r="J192" s="9" t="s">
        <v>420</v>
      </c>
      <c r="K192" s="9" t="s">
        <v>164</v>
      </c>
      <c r="L192" s="9" t="s">
        <v>84</v>
      </c>
      <c r="M192" s="18" t="s">
        <v>118</v>
      </c>
      <c r="N192" s="23">
        <v>340</v>
      </c>
      <c r="O192" s="61" t="s">
        <v>421</v>
      </c>
      <c r="P192" s="47" t="str">
        <f t="shared" si="17"/>
        <v>21</v>
      </c>
      <c r="Q192" s="19" t="str">
        <f t="shared" si="18"/>
        <v>12</v>
      </c>
      <c r="R192" s="19" t="s">
        <v>25</v>
      </c>
      <c r="S192" s="19" t="s">
        <v>711</v>
      </c>
      <c r="T192" s="18" t="s">
        <v>422</v>
      </c>
      <c r="U192" s="16" t="s">
        <v>96</v>
      </c>
      <c r="V192" s="9" t="s">
        <v>96</v>
      </c>
      <c r="W192" s="14">
        <v>46015</v>
      </c>
      <c r="X192" s="16">
        <f t="shared" si="13"/>
        <v>0</v>
      </c>
      <c r="Y192" s="16"/>
      <c r="Z192" s="16"/>
      <c r="AA192" s="16"/>
      <c r="AB192" s="10" t="str">
        <f t="shared" si="14"/>
        <v>Closed in Dec</v>
      </c>
    </row>
    <row r="193" spans="1:28" x14ac:dyDescent="0.25">
      <c r="A193" s="14">
        <v>45988</v>
      </c>
      <c r="B193" s="15">
        <v>2025</v>
      </c>
      <c r="C193" s="16" t="s">
        <v>88</v>
      </c>
      <c r="D193" s="26" t="s">
        <v>315</v>
      </c>
      <c r="E193" s="16" t="s">
        <v>88</v>
      </c>
      <c r="F193" s="15" t="s">
        <v>60</v>
      </c>
      <c r="G193" s="41" t="s">
        <v>423</v>
      </c>
      <c r="H193" s="16">
        <v>8909173473</v>
      </c>
      <c r="I193" s="16"/>
      <c r="J193" s="20" t="s">
        <v>424</v>
      </c>
      <c r="K193" s="25" t="s">
        <v>144</v>
      </c>
      <c r="L193" s="25" t="s">
        <v>84</v>
      </c>
      <c r="M193" s="27" t="s">
        <v>33</v>
      </c>
      <c r="N193" s="23">
        <v>610</v>
      </c>
      <c r="O193" s="63" t="s">
        <v>425</v>
      </c>
      <c r="P193" s="47" t="str">
        <f t="shared" si="17"/>
        <v>25</v>
      </c>
      <c r="Q193" s="19" t="str">
        <f t="shared" si="18"/>
        <v>05</v>
      </c>
      <c r="R193" s="19" t="s">
        <v>27</v>
      </c>
      <c r="S193" s="19" t="s">
        <v>102</v>
      </c>
      <c r="T193" s="26" t="s">
        <v>33</v>
      </c>
      <c r="U193" s="15" t="s">
        <v>308</v>
      </c>
      <c r="V193" s="16" t="s">
        <v>93</v>
      </c>
      <c r="W193" s="42">
        <v>45999</v>
      </c>
      <c r="X193" s="16">
        <f t="shared" si="13"/>
        <v>11</v>
      </c>
      <c r="Y193" s="16"/>
      <c r="Z193" s="16"/>
      <c r="AA193" s="16"/>
      <c r="AB193" s="10" t="str">
        <f t="shared" si="14"/>
        <v>Closed in Dec</v>
      </c>
    </row>
    <row r="194" spans="1:28" x14ac:dyDescent="0.25">
      <c r="A194" s="14">
        <v>45988</v>
      </c>
      <c r="B194" s="15">
        <v>2025</v>
      </c>
      <c r="C194" s="16" t="s">
        <v>88</v>
      </c>
      <c r="D194" s="26" t="s">
        <v>315</v>
      </c>
      <c r="E194" s="16" t="s">
        <v>88</v>
      </c>
      <c r="F194" s="15" t="s">
        <v>60</v>
      </c>
      <c r="G194" s="41" t="s">
        <v>423</v>
      </c>
      <c r="H194" s="16">
        <v>8909173473</v>
      </c>
      <c r="I194" s="16"/>
      <c r="J194" s="20" t="s">
        <v>424</v>
      </c>
      <c r="K194" s="25" t="s">
        <v>144</v>
      </c>
      <c r="L194" s="25" t="s">
        <v>84</v>
      </c>
      <c r="M194" s="27" t="s">
        <v>33</v>
      </c>
      <c r="N194" s="23">
        <v>610</v>
      </c>
      <c r="O194" s="63" t="s">
        <v>426</v>
      </c>
      <c r="P194" s="47" t="str">
        <f t="shared" si="17"/>
        <v>25</v>
      </c>
      <c r="Q194" s="19" t="str">
        <f t="shared" si="18"/>
        <v>05</v>
      </c>
      <c r="R194" s="19" t="s">
        <v>27</v>
      </c>
      <c r="S194" s="19" t="s">
        <v>102</v>
      </c>
      <c r="T194" s="26" t="s">
        <v>33</v>
      </c>
      <c r="U194" s="15" t="s">
        <v>308</v>
      </c>
      <c r="V194" s="16" t="s">
        <v>93</v>
      </c>
      <c r="W194" s="42">
        <v>45999</v>
      </c>
      <c r="X194" s="16">
        <f t="shared" ref="X194:X257" si="19">W194-A194</f>
        <v>11</v>
      </c>
      <c r="Y194" s="16"/>
      <c r="Z194" s="16"/>
      <c r="AA194" s="16"/>
      <c r="AB194" s="10" t="str">
        <f t="shared" ref="AB194:AB257" si="20">IF(AND(F194="Closed",W194&gt;=DATE(2025,12,1),W194&lt;=DATE(2025,12,31)),"Closed in Dec","Other")</f>
        <v>Closed in Dec</v>
      </c>
    </row>
    <row r="195" spans="1:28" x14ac:dyDescent="0.25">
      <c r="A195" s="14">
        <v>45988</v>
      </c>
      <c r="B195" s="15">
        <v>2025</v>
      </c>
      <c r="C195" s="16" t="s">
        <v>88</v>
      </c>
      <c r="D195" s="26" t="s">
        <v>315</v>
      </c>
      <c r="E195" s="16" t="s">
        <v>88</v>
      </c>
      <c r="F195" s="15" t="s">
        <v>60</v>
      </c>
      <c r="G195" s="41" t="s">
        <v>423</v>
      </c>
      <c r="H195" s="16">
        <v>8909173473</v>
      </c>
      <c r="I195" s="16"/>
      <c r="J195" s="20" t="s">
        <v>424</v>
      </c>
      <c r="K195" s="25" t="s">
        <v>144</v>
      </c>
      <c r="L195" s="25" t="s">
        <v>84</v>
      </c>
      <c r="M195" s="16" t="s">
        <v>31</v>
      </c>
      <c r="N195" s="23">
        <v>610</v>
      </c>
      <c r="O195" s="63" t="s">
        <v>427</v>
      </c>
      <c r="P195" s="47" t="str">
        <f t="shared" si="17"/>
        <v>25</v>
      </c>
      <c r="Q195" s="19" t="str">
        <f t="shared" si="18"/>
        <v>05</v>
      </c>
      <c r="R195" s="19" t="s">
        <v>27</v>
      </c>
      <c r="S195" s="19" t="s">
        <v>102</v>
      </c>
      <c r="T195" s="22" t="s">
        <v>31</v>
      </c>
      <c r="U195" s="22" t="s">
        <v>200</v>
      </c>
      <c r="V195" s="16" t="s">
        <v>93</v>
      </c>
      <c r="W195" s="42">
        <v>45999</v>
      </c>
      <c r="X195" s="16">
        <f t="shared" si="19"/>
        <v>11</v>
      </c>
      <c r="Y195" s="16"/>
      <c r="Z195" s="16"/>
      <c r="AA195" s="16"/>
      <c r="AB195" s="10" t="str">
        <f t="shared" si="20"/>
        <v>Closed in Dec</v>
      </c>
    </row>
    <row r="196" spans="1:28" x14ac:dyDescent="0.25">
      <c r="A196" s="14">
        <v>45988</v>
      </c>
      <c r="B196" s="15">
        <v>2025</v>
      </c>
      <c r="C196" s="16" t="s">
        <v>88</v>
      </c>
      <c r="D196" s="26" t="s">
        <v>315</v>
      </c>
      <c r="E196" s="16" t="s">
        <v>88</v>
      </c>
      <c r="F196" s="15" t="s">
        <v>60</v>
      </c>
      <c r="G196" s="41" t="s">
        <v>423</v>
      </c>
      <c r="H196" s="16">
        <v>8909173473</v>
      </c>
      <c r="I196" s="16"/>
      <c r="J196" s="20" t="s">
        <v>424</v>
      </c>
      <c r="K196" s="25" t="s">
        <v>144</v>
      </c>
      <c r="L196" s="25" t="s">
        <v>84</v>
      </c>
      <c r="M196" s="16" t="s">
        <v>31</v>
      </c>
      <c r="N196" s="23">
        <v>610</v>
      </c>
      <c r="O196" s="63" t="s">
        <v>428</v>
      </c>
      <c r="P196" s="47" t="str">
        <f t="shared" si="17"/>
        <v>25</v>
      </c>
      <c r="Q196" s="19" t="str">
        <f t="shared" si="18"/>
        <v>06</v>
      </c>
      <c r="R196" s="19" t="s">
        <v>27</v>
      </c>
      <c r="S196" s="19" t="s">
        <v>102</v>
      </c>
      <c r="T196" s="22" t="s">
        <v>31</v>
      </c>
      <c r="U196" s="22" t="s">
        <v>200</v>
      </c>
      <c r="V196" s="16" t="s">
        <v>93</v>
      </c>
      <c r="W196" s="42">
        <v>45999</v>
      </c>
      <c r="X196" s="16">
        <f t="shared" si="19"/>
        <v>11</v>
      </c>
      <c r="Y196" s="16"/>
      <c r="Z196" s="16"/>
      <c r="AA196" s="16"/>
      <c r="AB196" s="10" t="str">
        <f t="shared" si="20"/>
        <v>Closed in Dec</v>
      </c>
    </row>
    <row r="197" spans="1:28" x14ac:dyDescent="0.25">
      <c r="A197" s="14">
        <v>45988</v>
      </c>
      <c r="B197" s="15">
        <v>2025</v>
      </c>
      <c r="C197" s="16" t="s">
        <v>88</v>
      </c>
      <c r="D197" s="26" t="s">
        <v>315</v>
      </c>
      <c r="E197" s="16" t="s">
        <v>88</v>
      </c>
      <c r="F197" s="15" t="s">
        <v>60</v>
      </c>
      <c r="G197" s="41" t="s">
        <v>423</v>
      </c>
      <c r="H197" s="16">
        <v>8909173473</v>
      </c>
      <c r="I197" s="16"/>
      <c r="J197" s="20" t="s">
        <v>424</v>
      </c>
      <c r="K197" s="25" t="s">
        <v>144</v>
      </c>
      <c r="L197" s="25" t="s">
        <v>84</v>
      </c>
      <c r="M197" s="16" t="s">
        <v>31</v>
      </c>
      <c r="N197" s="23">
        <v>610</v>
      </c>
      <c r="O197" s="63" t="s">
        <v>429</v>
      </c>
      <c r="P197" s="47" t="str">
        <f t="shared" si="17"/>
        <v>25</v>
      </c>
      <c r="Q197" s="19" t="str">
        <f t="shared" si="18"/>
        <v>06</v>
      </c>
      <c r="R197" s="19" t="s">
        <v>27</v>
      </c>
      <c r="S197" s="19" t="s">
        <v>102</v>
      </c>
      <c r="T197" s="22" t="s">
        <v>31</v>
      </c>
      <c r="U197" s="26" t="s">
        <v>328</v>
      </c>
      <c r="V197" s="16" t="s">
        <v>93</v>
      </c>
      <c r="W197" s="42">
        <v>45999</v>
      </c>
      <c r="X197" s="16">
        <f t="shared" si="19"/>
        <v>11</v>
      </c>
      <c r="Y197" s="16"/>
      <c r="Z197" s="16"/>
      <c r="AA197" s="16"/>
      <c r="AB197" s="10" t="str">
        <f t="shared" si="20"/>
        <v>Closed in Dec</v>
      </c>
    </row>
    <row r="198" spans="1:28" x14ac:dyDescent="0.25">
      <c r="A198" s="14">
        <v>45988</v>
      </c>
      <c r="B198" s="15">
        <v>2025</v>
      </c>
      <c r="C198" s="16" t="s">
        <v>88</v>
      </c>
      <c r="D198" s="26" t="s">
        <v>315</v>
      </c>
      <c r="E198" s="16" t="s">
        <v>88</v>
      </c>
      <c r="F198" s="15" t="s">
        <v>60</v>
      </c>
      <c r="G198" s="41" t="s">
        <v>423</v>
      </c>
      <c r="H198" s="16">
        <v>8909173473</v>
      </c>
      <c r="I198" s="16"/>
      <c r="J198" s="20" t="s">
        <v>424</v>
      </c>
      <c r="K198" s="25" t="s">
        <v>144</v>
      </c>
      <c r="L198" s="25" t="s">
        <v>84</v>
      </c>
      <c r="M198" s="16" t="s">
        <v>31</v>
      </c>
      <c r="N198" s="23">
        <v>610</v>
      </c>
      <c r="O198" s="63" t="s">
        <v>430</v>
      </c>
      <c r="P198" s="47" t="str">
        <f t="shared" si="17"/>
        <v>25</v>
      </c>
      <c r="Q198" s="19" t="str">
        <f t="shared" si="18"/>
        <v>06</v>
      </c>
      <c r="R198" s="19" t="s">
        <v>27</v>
      </c>
      <c r="S198" s="19" t="s">
        <v>102</v>
      </c>
      <c r="T198" s="22" t="s">
        <v>31</v>
      </c>
      <c r="U198" s="26" t="s">
        <v>328</v>
      </c>
      <c r="V198" s="16" t="s">
        <v>93</v>
      </c>
      <c r="W198" s="42">
        <v>45999</v>
      </c>
      <c r="X198" s="16">
        <f t="shared" si="19"/>
        <v>11</v>
      </c>
      <c r="Y198" s="16"/>
      <c r="Z198" s="16"/>
      <c r="AA198" s="16"/>
      <c r="AB198" s="10" t="str">
        <f t="shared" si="20"/>
        <v>Closed in Dec</v>
      </c>
    </row>
    <row r="199" spans="1:28" x14ac:dyDescent="0.25">
      <c r="A199" s="14">
        <v>45988</v>
      </c>
      <c r="B199" s="15">
        <v>2025</v>
      </c>
      <c r="C199" s="16" t="s">
        <v>88</v>
      </c>
      <c r="D199" s="26" t="s">
        <v>315</v>
      </c>
      <c r="E199" s="16" t="s">
        <v>88</v>
      </c>
      <c r="F199" s="15" t="s">
        <v>60</v>
      </c>
      <c r="G199" s="41" t="s">
        <v>423</v>
      </c>
      <c r="H199" s="16">
        <v>8909173473</v>
      </c>
      <c r="I199" s="16"/>
      <c r="J199" s="20" t="s">
        <v>424</v>
      </c>
      <c r="K199" s="25" t="s">
        <v>144</v>
      </c>
      <c r="L199" s="25" t="s">
        <v>84</v>
      </c>
      <c r="M199" s="16" t="s">
        <v>31</v>
      </c>
      <c r="N199" s="23">
        <v>610</v>
      </c>
      <c r="O199" s="63" t="s">
        <v>431</v>
      </c>
      <c r="P199" s="47" t="str">
        <f t="shared" si="17"/>
        <v>25</v>
      </c>
      <c r="Q199" s="19" t="str">
        <f t="shared" si="18"/>
        <v>05</v>
      </c>
      <c r="R199" s="19" t="s">
        <v>27</v>
      </c>
      <c r="S199" s="19" t="s">
        <v>102</v>
      </c>
      <c r="T199" s="22" t="s">
        <v>31</v>
      </c>
      <c r="U199" s="26" t="s">
        <v>328</v>
      </c>
      <c r="V199" s="16" t="s">
        <v>93</v>
      </c>
      <c r="W199" s="42">
        <v>45999</v>
      </c>
      <c r="X199" s="16">
        <f t="shared" si="19"/>
        <v>11</v>
      </c>
      <c r="Y199" s="16"/>
      <c r="Z199" s="16"/>
      <c r="AA199" s="16"/>
      <c r="AB199" s="10" t="str">
        <f t="shared" si="20"/>
        <v>Closed in Dec</v>
      </c>
    </row>
    <row r="200" spans="1:28" x14ac:dyDescent="0.25">
      <c r="A200" s="14">
        <v>45988</v>
      </c>
      <c r="B200" s="15">
        <v>2025</v>
      </c>
      <c r="C200" s="16" t="s">
        <v>88</v>
      </c>
      <c r="D200" s="26" t="s">
        <v>315</v>
      </c>
      <c r="E200" s="16" t="s">
        <v>88</v>
      </c>
      <c r="F200" s="15" t="s">
        <v>60</v>
      </c>
      <c r="G200" s="41" t="s">
        <v>423</v>
      </c>
      <c r="H200" s="16">
        <v>8909173473</v>
      </c>
      <c r="I200" s="16"/>
      <c r="J200" s="20" t="s">
        <v>424</v>
      </c>
      <c r="K200" s="25" t="s">
        <v>144</v>
      </c>
      <c r="L200" s="25" t="s">
        <v>84</v>
      </c>
      <c r="M200" s="16" t="s">
        <v>31</v>
      </c>
      <c r="N200" s="23">
        <v>610</v>
      </c>
      <c r="O200" s="63" t="s">
        <v>432</v>
      </c>
      <c r="P200" s="47" t="str">
        <f t="shared" si="17"/>
        <v>25</v>
      </c>
      <c r="Q200" s="19" t="str">
        <f t="shared" si="18"/>
        <v>08</v>
      </c>
      <c r="R200" s="19" t="s">
        <v>27</v>
      </c>
      <c r="S200" s="19" t="s">
        <v>102</v>
      </c>
      <c r="T200" s="22" t="s">
        <v>31</v>
      </c>
      <c r="U200" s="26" t="s">
        <v>328</v>
      </c>
      <c r="V200" s="16" t="s">
        <v>93</v>
      </c>
      <c r="W200" s="42">
        <v>45999</v>
      </c>
      <c r="X200" s="16">
        <f t="shared" si="19"/>
        <v>11</v>
      </c>
      <c r="Y200" s="16"/>
      <c r="Z200" s="16"/>
      <c r="AA200" s="16"/>
      <c r="AB200" s="10" t="str">
        <f t="shared" si="20"/>
        <v>Closed in Dec</v>
      </c>
    </row>
    <row r="201" spans="1:28" x14ac:dyDescent="0.25">
      <c r="A201" s="14">
        <v>45988</v>
      </c>
      <c r="B201" s="15">
        <v>2025</v>
      </c>
      <c r="C201" s="16" t="s">
        <v>88</v>
      </c>
      <c r="D201" s="26" t="s">
        <v>315</v>
      </c>
      <c r="E201" s="16" t="s">
        <v>88</v>
      </c>
      <c r="F201" s="15" t="s">
        <v>60</v>
      </c>
      <c r="G201" s="41" t="s">
        <v>423</v>
      </c>
      <c r="H201" s="16">
        <v>8909173473</v>
      </c>
      <c r="I201" s="16"/>
      <c r="J201" s="20" t="s">
        <v>424</v>
      </c>
      <c r="K201" s="25" t="s">
        <v>144</v>
      </c>
      <c r="L201" s="25" t="s">
        <v>84</v>
      </c>
      <c r="M201" s="16" t="s">
        <v>31</v>
      </c>
      <c r="N201" s="23">
        <v>610</v>
      </c>
      <c r="O201" s="63" t="s">
        <v>433</v>
      </c>
      <c r="P201" s="47" t="str">
        <f t="shared" si="17"/>
        <v>25</v>
      </c>
      <c r="Q201" s="19" t="str">
        <f t="shared" si="18"/>
        <v>07</v>
      </c>
      <c r="R201" s="19" t="s">
        <v>27</v>
      </c>
      <c r="S201" s="19" t="s">
        <v>102</v>
      </c>
      <c r="T201" s="22" t="s">
        <v>31</v>
      </c>
      <c r="U201" s="22" t="s">
        <v>200</v>
      </c>
      <c r="V201" s="16" t="s">
        <v>93</v>
      </c>
      <c r="W201" s="42">
        <v>45999</v>
      </c>
      <c r="X201" s="16">
        <f t="shared" si="19"/>
        <v>11</v>
      </c>
      <c r="Y201" s="16"/>
      <c r="Z201" s="16"/>
      <c r="AA201" s="16"/>
      <c r="AB201" s="10" t="str">
        <f t="shared" si="20"/>
        <v>Closed in Dec</v>
      </c>
    </row>
    <row r="202" spans="1:28" x14ac:dyDescent="0.25">
      <c r="A202" s="14">
        <v>45988</v>
      </c>
      <c r="B202" s="15">
        <v>2025</v>
      </c>
      <c r="C202" s="16" t="s">
        <v>88</v>
      </c>
      <c r="D202" s="26" t="s">
        <v>315</v>
      </c>
      <c r="E202" s="16" t="s">
        <v>88</v>
      </c>
      <c r="F202" s="15" t="s">
        <v>60</v>
      </c>
      <c r="G202" s="41" t="s">
        <v>423</v>
      </c>
      <c r="H202" s="16">
        <v>8909173473</v>
      </c>
      <c r="I202" s="16"/>
      <c r="J202" s="20" t="s">
        <v>424</v>
      </c>
      <c r="K202" s="25" t="s">
        <v>144</v>
      </c>
      <c r="L202" s="25" t="s">
        <v>84</v>
      </c>
      <c r="M202" s="27" t="s">
        <v>29</v>
      </c>
      <c r="N202" s="23">
        <v>610</v>
      </c>
      <c r="O202" s="63" t="s">
        <v>434</v>
      </c>
      <c r="P202" s="47" t="str">
        <f t="shared" ref="P202:P233" si="21">MID(O202,5,2)</f>
        <v>25</v>
      </c>
      <c r="Q202" s="19" t="str">
        <f t="shared" ref="Q202:Q233" si="22">MID(O202,7,2)</f>
        <v>07</v>
      </c>
      <c r="R202" s="19" t="s">
        <v>27</v>
      </c>
      <c r="S202" s="19" t="s">
        <v>102</v>
      </c>
      <c r="T202" s="22" t="s">
        <v>31</v>
      </c>
      <c r="U202" s="16" t="s">
        <v>314</v>
      </c>
      <c r="V202" s="16" t="s">
        <v>93</v>
      </c>
      <c r="W202" s="42">
        <v>46001</v>
      </c>
      <c r="X202" s="16">
        <f t="shared" si="19"/>
        <v>13</v>
      </c>
      <c r="Y202" s="16"/>
      <c r="Z202" s="16"/>
      <c r="AA202" s="16"/>
      <c r="AB202" s="10" t="str">
        <f t="shared" si="20"/>
        <v>Closed in Dec</v>
      </c>
    </row>
    <row r="203" spans="1:28" x14ac:dyDescent="0.25">
      <c r="A203" s="14">
        <v>45988</v>
      </c>
      <c r="B203" s="15">
        <v>2025</v>
      </c>
      <c r="C203" s="16" t="s">
        <v>88</v>
      </c>
      <c r="D203" s="26" t="s">
        <v>315</v>
      </c>
      <c r="E203" s="16" t="s">
        <v>88</v>
      </c>
      <c r="F203" s="15" t="s">
        <v>60</v>
      </c>
      <c r="G203" s="41" t="s">
        <v>423</v>
      </c>
      <c r="H203" s="16">
        <v>8909173473</v>
      </c>
      <c r="I203" s="16"/>
      <c r="J203" s="20" t="s">
        <v>424</v>
      </c>
      <c r="K203" s="25" t="s">
        <v>144</v>
      </c>
      <c r="L203" s="25" t="s">
        <v>84</v>
      </c>
      <c r="M203" s="27" t="s">
        <v>29</v>
      </c>
      <c r="N203" s="23">
        <v>610</v>
      </c>
      <c r="O203" s="63" t="s">
        <v>435</v>
      </c>
      <c r="P203" s="47" t="str">
        <f t="shared" si="21"/>
        <v>25</v>
      </c>
      <c r="Q203" s="19" t="str">
        <f t="shared" si="22"/>
        <v>07</v>
      </c>
      <c r="R203" s="19" t="s">
        <v>27</v>
      </c>
      <c r="S203" s="19" t="s">
        <v>102</v>
      </c>
      <c r="T203" s="22" t="s">
        <v>31</v>
      </c>
      <c r="U203" s="16" t="s">
        <v>314</v>
      </c>
      <c r="V203" s="16" t="s">
        <v>93</v>
      </c>
      <c r="W203" s="42">
        <v>46001</v>
      </c>
      <c r="X203" s="16">
        <f t="shared" si="19"/>
        <v>13</v>
      </c>
      <c r="Y203" s="16"/>
      <c r="Z203" s="16"/>
      <c r="AA203" s="16"/>
      <c r="AB203" s="10" t="str">
        <f t="shared" si="20"/>
        <v>Closed in Dec</v>
      </c>
    </row>
    <row r="204" spans="1:28" x14ac:dyDescent="0.25">
      <c r="A204" s="14">
        <v>45988</v>
      </c>
      <c r="B204" s="15">
        <v>2025</v>
      </c>
      <c r="C204" s="16" t="s">
        <v>88</v>
      </c>
      <c r="D204" s="26" t="s">
        <v>315</v>
      </c>
      <c r="E204" s="16" t="s">
        <v>88</v>
      </c>
      <c r="F204" s="15" t="s">
        <v>60</v>
      </c>
      <c r="G204" s="41" t="s">
        <v>423</v>
      </c>
      <c r="H204" s="16">
        <v>8909173473</v>
      </c>
      <c r="I204" s="16"/>
      <c r="J204" s="20" t="s">
        <v>424</v>
      </c>
      <c r="K204" s="25" t="s">
        <v>144</v>
      </c>
      <c r="L204" s="25" t="s">
        <v>84</v>
      </c>
      <c r="M204" s="27" t="s">
        <v>29</v>
      </c>
      <c r="N204" s="23">
        <v>610</v>
      </c>
      <c r="O204" s="63" t="s">
        <v>436</v>
      </c>
      <c r="P204" s="47" t="str">
        <f t="shared" si="21"/>
        <v>25</v>
      </c>
      <c r="Q204" s="19" t="str">
        <f t="shared" si="22"/>
        <v>07</v>
      </c>
      <c r="R204" s="19" t="s">
        <v>27</v>
      </c>
      <c r="S204" s="19" t="s">
        <v>102</v>
      </c>
      <c r="T204" s="22" t="s">
        <v>31</v>
      </c>
      <c r="U204" s="16" t="s">
        <v>314</v>
      </c>
      <c r="V204" s="16" t="s">
        <v>93</v>
      </c>
      <c r="W204" s="42">
        <v>46001</v>
      </c>
      <c r="X204" s="16">
        <f t="shared" si="19"/>
        <v>13</v>
      </c>
      <c r="Y204" s="16"/>
      <c r="Z204" s="16"/>
      <c r="AA204" s="16"/>
      <c r="AB204" s="10" t="str">
        <f t="shared" si="20"/>
        <v>Closed in Dec</v>
      </c>
    </row>
    <row r="205" spans="1:28" x14ac:dyDescent="0.25">
      <c r="A205" s="14">
        <v>45988</v>
      </c>
      <c r="B205" s="15">
        <v>2025</v>
      </c>
      <c r="C205" s="16" t="s">
        <v>88</v>
      </c>
      <c r="D205" s="26" t="s">
        <v>315</v>
      </c>
      <c r="E205" s="16" t="s">
        <v>88</v>
      </c>
      <c r="F205" s="15" t="s">
        <v>60</v>
      </c>
      <c r="G205" s="41" t="s">
        <v>423</v>
      </c>
      <c r="H205" s="16">
        <v>8909173473</v>
      </c>
      <c r="I205" s="16"/>
      <c r="J205" s="20" t="s">
        <v>424</v>
      </c>
      <c r="K205" s="25" t="s">
        <v>144</v>
      </c>
      <c r="L205" s="25" t="s">
        <v>84</v>
      </c>
      <c r="M205" s="16" t="s">
        <v>31</v>
      </c>
      <c r="N205" s="23">
        <v>610</v>
      </c>
      <c r="O205" s="63" t="s">
        <v>437</v>
      </c>
      <c r="P205" s="47" t="str">
        <f t="shared" si="21"/>
        <v>25</v>
      </c>
      <c r="Q205" s="19" t="str">
        <f t="shared" si="22"/>
        <v>07</v>
      </c>
      <c r="R205" s="19" t="s">
        <v>27</v>
      </c>
      <c r="S205" s="19" t="s">
        <v>102</v>
      </c>
      <c r="T205" s="22" t="s">
        <v>31</v>
      </c>
      <c r="U205" s="26" t="s">
        <v>328</v>
      </c>
      <c r="V205" s="16" t="s">
        <v>93</v>
      </c>
      <c r="W205" s="42">
        <v>46001</v>
      </c>
      <c r="X205" s="16">
        <f t="shared" si="19"/>
        <v>13</v>
      </c>
      <c r="Y205" s="16"/>
      <c r="Z205" s="16"/>
      <c r="AA205" s="16"/>
      <c r="AB205" s="10" t="str">
        <f t="shared" si="20"/>
        <v>Closed in Dec</v>
      </c>
    </row>
    <row r="206" spans="1:28" x14ac:dyDescent="0.25">
      <c r="A206" s="14">
        <v>45988</v>
      </c>
      <c r="B206" s="15">
        <v>2025</v>
      </c>
      <c r="C206" s="16" t="s">
        <v>88</v>
      </c>
      <c r="D206" s="26" t="s">
        <v>315</v>
      </c>
      <c r="E206" s="16" t="s">
        <v>88</v>
      </c>
      <c r="F206" s="15" t="s">
        <v>60</v>
      </c>
      <c r="G206" s="41" t="s">
        <v>423</v>
      </c>
      <c r="H206" s="16">
        <v>8909173473</v>
      </c>
      <c r="I206" s="16"/>
      <c r="J206" s="20" t="s">
        <v>424</v>
      </c>
      <c r="K206" s="25" t="s">
        <v>144</v>
      </c>
      <c r="L206" s="25" t="s">
        <v>84</v>
      </c>
      <c r="M206" s="27" t="s">
        <v>29</v>
      </c>
      <c r="N206" s="23">
        <v>610</v>
      </c>
      <c r="O206" s="63" t="s">
        <v>438</v>
      </c>
      <c r="P206" s="47" t="str">
        <f t="shared" si="21"/>
        <v>25</v>
      </c>
      <c r="Q206" s="19" t="str">
        <f t="shared" si="22"/>
        <v>07</v>
      </c>
      <c r="R206" s="19" t="s">
        <v>27</v>
      </c>
      <c r="S206" s="19" t="s">
        <v>102</v>
      </c>
      <c r="T206" s="22" t="s">
        <v>31</v>
      </c>
      <c r="U206" s="16" t="s">
        <v>314</v>
      </c>
      <c r="V206" s="16" t="s">
        <v>93</v>
      </c>
      <c r="W206" s="42">
        <v>46001</v>
      </c>
      <c r="X206" s="16">
        <f t="shared" si="19"/>
        <v>13</v>
      </c>
      <c r="Y206" s="16"/>
      <c r="Z206" s="16"/>
      <c r="AA206" s="16"/>
      <c r="AB206" s="10" t="str">
        <f t="shared" si="20"/>
        <v>Closed in Dec</v>
      </c>
    </row>
    <row r="207" spans="1:28" x14ac:dyDescent="0.25">
      <c r="A207" s="14">
        <v>45988</v>
      </c>
      <c r="B207" s="15">
        <v>2025</v>
      </c>
      <c r="C207" s="16" t="s">
        <v>88</v>
      </c>
      <c r="D207" s="26" t="s">
        <v>315</v>
      </c>
      <c r="E207" s="16" t="s">
        <v>88</v>
      </c>
      <c r="F207" s="15" t="s">
        <v>60</v>
      </c>
      <c r="G207" s="41" t="s">
        <v>423</v>
      </c>
      <c r="H207" s="16">
        <v>8909173473</v>
      </c>
      <c r="I207" s="16"/>
      <c r="J207" s="20" t="s">
        <v>424</v>
      </c>
      <c r="K207" s="25" t="s">
        <v>144</v>
      </c>
      <c r="L207" s="25" t="s">
        <v>84</v>
      </c>
      <c r="M207" s="27" t="s">
        <v>29</v>
      </c>
      <c r="N207" s="23">
        <v>610</v>
      </c>
      <c r="O207" s="63" t="s">
        <v>439</v>
      </c>
      <c r="P207" s="47" t="str">
        <f t="shared" si="21"/>
        <v>25</v>
      </c>
      <c r="Q207" s="19" t="str">
        <f t="shared" si="22"/>
        <v>07</v>
      </c>
      <c r="R207" s="19" t="s">
        <v>27</v>
      </c>
      <c r="S207" s="19" t="s">
        <v>102</v>
      </c>
      <c r="T207" s="22" t="s">
        <v>31</v>
      </c>
      <c r="U207" s="16" t="s">
        <v>314</v>
      </c>
      <c r="V207" s="16" t="s">
        <v>93</v>
      </c>
      <c r="W207" s="42">
        <v>46001</v>
      </c>
      <c r="X207" s="16">
        <f t="shared" si="19"/>
        <v>13</v>
      </c>
      <c r="Y207" s="16"/>
      <c r="Z207" s="16"/>
      <c r="AA207" s="16"/>
      <c r="AB207" s="10" t="str">
        <f t="shared" si="20"/>
        <v>Closed in Dec</v>
      </c>
    </row>
    <row r="208" spans="1:28" x14ac:dyDescent="0.25">
      <c r="A208" s="14">
        <v>45988</v>
      </c>
      <c r="B208" s="15">
        <v>2025</v>
      </c>
      <c r="C208" s="16" t="s">
        <v>88</v>
      </c>
      <c r="D208" s="26" t="s">
        <v>315</v>
      </c>
      <c r="E208" s="16" t="s">
        <v>88</v>
      </c>
      <c r="F208" s="15" t="s">
        <v>60</v>
      </c>
      <c r="G208" s="41" t="s">
        <v>423</v>
      </c>
      <c r="H208" s="16">
        <v>8909173473</v>
      </c>
      <c r="I208" s="16"/>
      <c r="J208" s="20" t="s">
        <v>424</v>
      </c>
      <c r="K208" s="25" t="s">
        <v>144</v>
      </c>
      <c r="L208" s="25" t="s">
        <v>84</v>
      </c>
      <c r="M208" s="27" t="s">
        <v>29</v>
      </c>
      <c r="N208" s="23">
        <v>610</v>
      </c>
      <c r="O208" s="63" t="s">
        <v>440</v>
      </c>
      <c r="P208" s="47" t="str">
        <f t="shared" si="21"/>
        <v>25</v>
      </c>
      <c r="Q208" s="19" t="str">
        <f t="shared" si="22"/>
        <v>07</v>
      </c>
      <c r="R208" s="19" t="s">
        <v>27</v>
      </c>
      <c r="S208" s="19" t="s">
        <v>102</v>
      </c>
      <c r="T208" s="22" t="s">
        <v>31</v>
      </c>
      <c r="U208" s="27" t="s">
        <v>338</v>
      </c>
      <c r="V208" s="16" t="s">
        <v>93</v>
      </c>
      <c r="W208" s="42">
        <v>46001</v>
      </c>
      <c r="X208" s="16">
        <f t="shared" si="19"/>
        <v>13</v>
      </c>
      <c r="Y208" s="16"/>
      <c r="Z208" s="16"/>
      <c r="AA208" s="16"/>
      <c r="AB208" s="10" t="str">
        <f t="shared" si="20"/>
        <v>Closed in Dec</v>
      </c>
    </row>
    <row r="209" spans="1:28" x14ac:dyDescent="0.25">
      <c r="A209" s="14">
        <v>45988</v>
      </c>
      <c r="B209" s="15">
        <v>2025</v>
      </c>
      <c r="C209" s="16" t="s">
        <v>88</v>
      </c>
      <c r="D209" s="26" t="s">
        <v>315</v>
      </c>
      <c r="E209" s="16" t="s">
        <v>88</v>
      </c>
      <c r="F209" s="15" t="s">
        <v>60</v>
      </c>
      <c r="G209" s="41" t="s">
        <v>423</v>
      </c>
      <c r="H209" s="16">
        <v>8909173473</v>
      </c>
      <c r="I209" s="16"/>
      <c r="J209" s="20" t="s">
        <v>424</v>
      </c>
      <c r="K209" s="25" t="s">
        <v>144</v>
      </c>
      <c r="L209" s="25" t="s">
        <v>84</v>
      </c>
      <c r="M209" s="27" t="s">
        <v>29</v>
      </c>
      <c r="N209" s="23">
        <v>610</v>
      </c>
      <c r="O209" s="63" t="s">
        <v>441</v>
      </c>
      <c r="P209" s="47" t="str">
        <f t="shared" si="21"/>
        <v>25</v>
      </c>
      <c r="Q209" s="19" t="str">
        <f t="shared" si="22"/>
        <v>07</v>
      </c>
      <c r="R209" s="19" t="s">
        <v>27</v>
      </c>
      <c r="S209" s="19" t="s">
        <v>102</v>
      </c>
      <c r="T209" s="22" t="s">
        <v>31</v>
      </c>
      <c r="U209" s="16" t="s">
        <v>314</v>
      </c>
      <c r="V209" s="16" t="s">
        <v>93</v>
      </c>
      <c r="W209" s="42">
        <v>46001</v>
      </c>
      <c r="X209" s="16">
        <f t="shared" si="19"/>
        <v>13</v>
      </c>
      <c r="Y209" s="16"/>
      <c r="Z209" s="16"/>
      <c r="AA209" s="16"/>
      <c r="AB209" s="10" t="str">
        <f t="shared" si="20"/>
        <v>Closed in Dec</v>
      </c>
    </row>
    <row r="210" spans="1:28" x14ac:dyDescent="0.25">
      <c r="A210" s="14">
        <v>45988</v>
      </c>
      <c r="B210" s="15">
        <v>2025</v>
      </c>
      <c r="C210" s="16" t="s">
        <v>88</v>
      </c>
      <c r="D210" s="26" t="s">
        <v>315</v>
      </c>
      <c r="E210" s="16" t="s">
        <v>88</v>
      </c>
      <c r="F210" s="15" t="s">
        <v>60</v>
      </c>
      <c r="G210" s="41" t="s">
        <v>423</v>
      </c>
      <c r="H210" s="16">
        <v>8909173473</v>
      </c>
      <c r="I210" s="16"/>
      <c r="J210" s="20" t="s">
        <v>424</v>
      </c>
      <c r="K210" s="25" t="s">
        <v>144</v>
      </c>
      <c r="L210" s="25" t="s">
        <v>84</v>
      </c>
      <c r="M210" s="27" t="s">
        <v>29</v>
      </c>
      <c r="N210" s="23">
        <v>610</v>
      </c>
      <c r="O210" s="63" t="s">
        <v>442</v>
      </c>
      <c r="P210" s="47" t="str">
        <f t="shared" si="21"/>
        <v>25</v>
      </c>
      <c r="Q210" s="19" t="str">
        <f t="shared" si="22"/>
        <v>07</v>
      </c>
      <c r="R210" s="19" t="s">
        <v>27</v>
      </c>
      <c r="S210" s="19" t="s">
        <v>102</v>
      </c>
      <c r="T210" s="22" t="s">
        <v>31</v>
      </c>
      <c r="U210" s="16" t="s">
        <v>314</v>
      </c>
      <c r="V210" s="16" t="s">
        <v>93</v>
      </c>
      <c r="W210" s="42">
        <v>46001</v>
      </c>
      <c r="X210" s="16">
        <f t="shared" si="19"/>
        <v>13</v>
      </c>
      <c r="Y210" s="16"/>
      <c r="Z210" s="16"/>
      <c r="AA210" s="16"/>
      <c r="AB210" s="10" t="str">
        <f t="shared" si="20"/>
        <v>Closed in Dec</v>
      </c>
    </row>
    <row r="211" spans="1:28" x14ac:dyDescent="0.25">
      <c r="A211" s="14">
        <v>45988</v>
      </c>
      <c r="B211" s="15">
        <v>2025</v>
      </c>
      <c r="C211" s="16" t="s">
        <v>88</v>
      </c>
      <c r="D211" s="26" t="s">
        <v>315</v>
      </c>
      <c r="E211" s="16" t="s">
        <v>88</v>
      </c>
      <c r="F211" s="15" t="s">
        <v>60</v>
      </c>
      <c r="G211" s="41" t="s">
        <v>423</v>
      </c>
      <c r="H211" s="16">
        <v>8909173473</v>
      </c>
      <c r="I211" s="16"/>
      <c r="J211" s="20" t="s">
        <v>424</v>
      </c>
      <c r="K211" s="25" t="s">
        <v>144</v>
      </c>
      <c r="L211" s="25" t="s">
        <v>84</v>
      </c>
      <c r="M211" s="16" t="s">
        <v>31</v>
      </c>
      <c r="N211" s="23">
        <v>610</v>
      </c>
      <c r="O211" s="63" t="s">
        <v>443</v>
      </c>
      <c r="P211" s="47" t="str">
        <f t="shared" si="21"/>
        <v>25</v>
      </c>
      <c r="Q211" s="19" t="str">
        <f t="shared" si="22"/>
        <v>07</v>
      </c>
      <c r="R211" s="19" t="s">
        <v>27</v>
      </c>
      <c r="S211" s="19" t="s">
        <v>102</v>
      </c>
      <c r="T211" s="22" t="s">
        <v>31</v>
      </c>
      <c r="U211" s="26" t="s">
        <v>328</v>
      </c>
      <c r="V211" s="16" t="s">
        <v>93</v>
      </c>
      <c r="W211" s="42">
        <v>46001</v>
      </c>
      <c r="X211" s="16">
        <f t="shared" si="19"/>
        <v>13</v>
      </c>
      <c r="Y211" s="16"/>
      <c r="Z211" s="16"/>
      <c r="AA211" s="16"/>
      <c r="AB211" s="10" t="str">
        <f t="shared" si="20"/>
        <v>Closed in Dec</v>
      </c>
    </row>
    <row r="212" spans="1:28" x14ac:dyDescent="0.25">
      <c r="A212" s="14">
        <v>45988</v>
      </c>
      <c r="B212" s="15">
        <v>2025</v>
      </c>
      <c r="C212" s="16" t="s">
        <v>88</v>
      </c>
      <c r="D212" s="26" t="s">
        <v>315</v>
      </c>
      <c r="E212" s="16" t="s">
        <v>88</v>
      </c>
      <c r="F212" s="15" t="s">
        <v>60</v>
      </c>
      <c r="G212" s="41" t="s">
        <v>423</v>
      </c>
      <c r="H212" s="16">
        <v>8909173473</v>
      </c>
      <c r="I212" s="16"/>
      <c r="J212" s="20" t="s">
        <v>424</v>
      </c>
      <c r="K212" s="25" t="s">
        <v>144</v>
      </c>
      <c r="L212" s="25" t="s">
        <v>84</v>
      </c>
      <c r="M212" s="27" t="s">
        <v>29</v>
      </c>
      <c r="N212" s="23">
        <v>610</v>
      </c>
      <c r="O212" s="63" t="s">
        <v>444</v>
      </c>
      <c r="P212" s="47" t="str">
        <f t="shared" si="21"/>
        <v>25</v>
      </c>
      <c r="Q212" s="19" t="str">
        <f t="shared" si="22"/>
        <v>07</v>
      </c>
      <c r="R212" s="19" t="s">
        <v>27</v>
      </c>
      <c r="S212" s="19" t="s">
        <v>102</v>
      </c>
      <c r="T212" s="22" t="s">
        <v>31</v>
      </c>
      <c r="U212" s="16" t="s">
        <v>314</v>
      </c>
      <c r="V212" s="16" t="s">
        <v>93</v>
      </c>
      <c r="W212" s="42">
        <v>46001</v>
      </c>
      <c r="X212" s="16">
        <f t="shared" si="19"/>
        <v>13</v>
      </c>
      <c r="Y212" s="16"/>
      <c r="Z212" s="16"/>
      <c r="AA212" s="16"/>
      <c r="AB212" s="10" t="str">
        <f t="shared" si="20"/>
        <v>Closed in Dec</v>
      </c>
    </row>
    <row r="213" spans="1:28" x14ac:dyDescent="0.25">
      <c r="A213" s="14">
        <v>45988</v>
      </c>
      <c r="B213" s="15">
        <v>2025</v>
      </c>
      <c r="C213" s="16" t="s">
        <v>88</v>
      </c>
      <c r="D213" s="26" t="s">
        <v>315</v>
      </c>
      <c r="E213" s="16" t="s">
        <v>88</v>
      </c>
      <c r="F213" s="15" t="s">
        <v>60</v>
      </c>
      <c r="G213" s="41" t="s">
        <v>423</v>
      </c>
      <c r="H213" s="16">
        <v>8909173473</v>
      </c>
      <c r="I213" s="16"/>
      <c r="J213" s="20" t="s">
        <v>424</v>
      </c>
      <c r="K213" s="25" t="s">
        <v>144</v>
      </c>
      <c r="L213" s="25" t="s">
        <v>84</v>
      </c>
      <c r="M213" s="16" t="s">
        <v>31</v>
      </c>
      <c r="N213" s="23">
        <v>610</v>
      </c>
      <c r="O213" s="63" t="s">
        <v>445</v>
      </c>
      <c r="P213" s="47" t="str">
        <f t="shared" si="21"/>
        <v>25</v>
      </c>
      <c r="Q213" s="19" t="str">
        <f t="shared" si="22"/>
        <v>07</v>
      </c>
      <c r="R213" s="19" t="s">
        <v>27</v>
      </c>
      <c r="S213" s="19" t="s">
        <v>102</v>
      </c>
      <c r="T213" s="22" t="s">
        <v>31</v>
      </c>
      <c r="U213" s="26" t="s">
        <v>328</v>
      </c>
      <c r="V213" s="16" t="s">
        <v>93</v>
      </c>
      <c r="W213" s="42">
        <v>46001</v>
      </c>
      <c r="X213" s="16">
        <f t="shared" si="19"/>
        <v>13</v>
      </c>
      <c r="Y213" s="16"/>
      <c r="Z213" s="16"/>
      <c r="AA213" s="16"/>
      <c r="AB213" s="10" t="str">
        <f t="shared" si="20"/>
        <v>Closed in Dec</v>
      </c>
    </row>
    <row r="214" spans="1:28" x14ac:dyDescent="0.25">
      <c r="A214" s="14">
        <v>45988</v>
      </c>
      <c r="B214" s="15">
        <v>2025</v>
      </c>
      <c r="C214" s="16" t="s">
        <v>88</v>
      </c>
      <c r="D214" s="26" t="s">
        <v>315</v>
      </c>
      <c r="E214" s="16" t="s">
        <v>88</v>
      </c>
      <c r="F214" s="15" t="s">
        <v>60</v>
      </c>
      <c r="G214" s="41" t="s">
        <v>423</v>
      </c>
      <c r="H214" s="16">
        <v>8909173473</v>
      </c>
      <c r="I214" s="16"/>
      <c r="J214" s="20" t="s">
        <v>424</v>
      </c>
      <c r="K214" s="25" t="s">
        <v>144</v>
      </c>
      <c r="L214" s="25" t="s">
        <v>84</v>
      </c>
      <c r="M214" s="27" t="s">
        <v>29</v>
      </c>
      <c r="N214" s="23">
        <v>610</v>
      </c>
      <c r="O214" s="63" t="s">
        <v>446</v>
      </c>
      <c r="P214" s="47" t="str">
        <f t="shared" si="21"/>
        <v>25</v>
      </c>
      <c r="Q214" s="19" t="str">
        <f t="shared" si="22"/>
        <v>07</v>
      </c>
      <c r="R214" s="19" t="s">
        <v>27</v>
      </c>
      <c r="S214" s="19" t="s">
        <v>102</v>
      </c>
      <c r="T214" s="22" t="s">
        <v>31</v>
      </c>
      <c r="U214" s="16" t="s">
        <v>314</v>
      </c>
      <c r="V214" s="16" t="s">
        <v>93</v>
      </c>
      <c r="W214" s="42">
        <v>46001</v>
      </c>
      <c r="X214" s="16">
        <f t="shared" si="19"/>
        <v>13</v>
      </c>
      <c r="Y214" s="16"/>
      <c r="Z214" s="16"/>
      <c r="AA214" s="16"/>
      <c r="AB214" s="10" t="str">
        <f t="shared" si="20"/>
        <v>Closed in Dec</v>
      </c>
    </row>
    <row r="215" spans="1:28" x14ac:dyDescent="0.25">
      <c r="A215" s="14">
        <v>45988</v>
      </c>
      <c r="B215" s="15">
        <v>2025</v>
      </c>
      <c r="C215" s="16" t="s">
        <v>88</v>
      </c>
      <c r="D215" s="26" t="s">
        <v>315</v>
      </c>
      <c r="E215" s="16" t="s">
        <v>88</v>
      </c>
      <c r="F215" s="15" t="s">
        <v>60</v>
      </c>
      <c r="G215" s="41" t="s">
        <v>423</v>
      </c>
      <c r="H215" s="16">
        <v>8909173473</v>
      </c>
      <c r="I215" s="16"/>
      <c r="J215" s="20" t="s">
        <v>424</v>
      </c>
      <c r="K215" s="25" t="s">
        <v>144</v>
      </c>
      <c r="L215" s="25" t="s">
        <v>84</v>
      </c>
      <c r="M215" s="16" t="s">
        <v>31</v>
      </c>
      <c r="N215" s="23">
        <v>610</v>
      </c>
      <c r="O215" s="63" t="s">
        <v>447</v>
      </c>
      <c r="P215" s="47" t="str">
        <f t="shared" si="21"/>
        <v>25</v>
      </c>
      <c r="Q215" s="19" t="str">
        <f t="shared" si="22"/>
        <v>07</v>
      </c>
      <c r="R215" s="19" t="s">
        <v>27</v>
      </c>
      <c r="S215" s="19" t="s">
        <v>102</v>
      </c>
      <c r="T215" s="22" t="s">
        <v>31</v>
      </c>
      <c r="U215" s="26" t="s">
        <v>328</v>
      </c>
      <c r="V215" s="16" t="s">
        <v>93</v>
      </c>
      <c r="W215" s="42">
        <v>46001</v>
      </c>
      <c r="X215" s="16">
        <f t="shared" si="19"/>
        <v>13</v>
      </c>
      <c r="Y215" s="16"/>
      <c r="Z215" s="16"/>
      <c r="AA215" s="16"/>
      <c r="AB215" s="10" t="str">
        <f t="shared" si="20"/>
        <v>Closed in Dec</v>
      </c>
    </row>
    <row r="216" spans="1:28" x14ac:dyDescent="0.25">
      <c r="A216" s="14">
        <v>45988</v>
      </c>
      <c r="B216" s="15">
        <v>2025</v>
      </c>
      <c r="C216" s="16" t="s">
        <v>88</v>
      </c>
      <c r="D216" s="26" t="s">
        <v>315</v>
      </c>
      <c r="E216" s="16" t="s">
        <v>88</v>
      </c>
      <c r="F216" s="15" t="s">
        <v>60</v>
      </c>
      <c r="G216" s="41" t="s">
        <v>423</v>
      </c>
      <c r="H216" s="16">
        <v>8909173473</v>
      </c>
      <c r="I216" s="16"/>
      <c r="J216" s="20" t="s">
        <v>424</v>
      </c>
      <c r="K216" s="25" t="s">
        <v>144</v>
      </c>
      <c r="L216" s="25" t="s">
        <v>84</v>
      </c>
      <c r="M216" s="16" t="s">
        <v>31</v>
      </c>
      <c r="N216" s="23">
        <v>610</v>
      </c>
      <c r="O216" s="63" t="s">
        <v>448</v>
      </c>
      <c r="P216" s="47" t="str">
        <f t="shared" si="21"/>
        <v>25</v>
      </c>
      <c r="Q216" s="19" t="str">
        <f t="shared" si="22"/>
        <v>07</v>
      </c>
      <c r="R216" s="19" t="s">
        <v>27</v>
      </c>
      <c r="S216" s="19" t="s">
        <v>102</v>
      </c>
      <c r="T216" s="22" t="s">
        <v>31</v>
      </c>
      <c r="U216" s="26" t="s">
        <v>328</v>
      </c>
      <c r="V216" s="16" t="s">
        <v>93</v>
      </c>
      <c r="W216" s="42">
        <v>46001</v>
      </c>
      <c r="X216" s="16">
        <f t="shared" si="19"/>
        <v>13</v>
      </c>
      <c r="Y216" s="16"/>
      <c r="Z216" s="16"/>
      <c r="AA216" s="16"/>
      <c r="AB216" s="10" t="str">
        <f t="shared" si="20"/>
        <v>Closed in Dec</v>
      </c>
    </row>
    <row r="217" spans="1:28" x14ac:dyDescent="0.25">
      <c r="A217" s="14">
        <v>45988</v>
      </c>
      <c r="B217" s="15">
        <v>2025</v>
      </c>
      <c r="C217" s="16" t="s">
        <v>88</v>
      </c>
      <c r="D217" s="26" t="s">
        <v>315</v>
      </c>
      <c r="E217" s="16" t="s">
        <v>88</v>
      </c>
      <c r="F217" s="15" t="s">
        <v>60</v>
      </c>
      <c r="G217" s="41" t="s">
        <v>423</v>
      </c>
      <c r="H217" s="16">
        <v>8909173473</v>
      </c>
      <c r="I217" s="16"/>
      <c r="J217" s="20" t="s">
        <v>424</v>
      </c>
      <c r="K217" s="25" t="s">
        <v>144</v>
      </c>
      <c r="L217" s="25" t="s">
        <v>84</v>
      </c>
      <c r="M217" s="16" t="s">
        <v>31</v>
      </c>
      <c r="N217" s="23">
        <v>610</v>
      </c>
      <c r="O217" s="63" t="s">
        <v>449</v>
      </c>
      <c r="P217" s="47" t="str">
        <f t="shared" si="21"/>
        <v>25</v>
      </c>
      <c r="Q217" s="19" t="str">
        <f t="shared" si="22"/>
        <v>07</v>
      </c>
      <c r="R217" s="19" t="s">
        <v>27</v>
      </c>
      <c r="S217" s="19" t="s">
        <v>102</v>
      </c>
      <c r="T217" s="22" t="s">
        <v>31</v>
      </c>
      <c r="U217" s="26" t="s">
        <v>328</v>
      </c>
      <c r="V217" s="16" t="s">
        <v>93</v>
      </c>
      <c r="W217" s="42">
        <v>46001</v>
      </c>
      <c r="X217" s="16">
        <f t="shared" si="19"/>
        <v>13</v>
      </c>
      <c r="Y217" s="16"/>
      <c r="Z217" s="16"/>
      <c r="AA217" s="16"/>
      <c r="AB217" s="10" t="str">
        <f t="shared" si="20"/>
        <v>Closed in Dec</v>
      </c>
    </row>
    <row r="218" spans="1:28" x14ac:dyDescent="0.25">
      <c r="A218" s="14">
        <v>45988</v>
      </c>
      <c r="B218" s="15">
        <v>2025</v>
      </c>
      <c r="C218" s="16" t="s">
        <v>88</v>
      </c>
      <c r="D218" s="26" t="s">
        <v>315</v>
      </c>
      <c r="E218" s="16" t="s">
        <v>88</v>
      </c>
      <c r="F218" s="15" t="s">
        <v>60</v>
      </c>
      <c r="G218" s="41" t="s">
        <v>423</v>
      </c>
      <c r="H218" s="16">
        <v>8909173473</v>
      </c>
      <c r="I218" s="16"/>
      <c r="J218" s="20" t="s">
        <v>424</v>
      </c>
      <c r="K218" s="25" t="s">
        <v>144</v>
      </c>
      <c r="L218" s="25" t="s">
        <v>84</v>
      </c>
      <c r="M218" s="27" t="s">
        <v>29</v>
      </c>
      <c r="N218" s="23">
        <v>610</v>
      </c>
      <c r="O218" s="63" t="s">
        <v>450</v>
      </c>
      <c r="P218" s="47" t="str">
        <f t="shared" si="21"/>
        <v>25</v>
      </c>
      <c r="Q218" s="19" t="str">
        <f t="shared" si="22"/>
        <v>07</v>
      </c>
      <c r="R218" s="19" t="s">
        <v>27</v>
      </c>
      <c r="S218" s="19" t="s">
        <v>102</v>
      </c>
      <c r="T218" s="22" t="s">
        <v>31</v>
      </c>
      <c r="U218" s="16" t="s">
        <v>314</v>
      </c>
      <c r="V218" s="16" t="s">
        <v>93</v>
      </c>
      <c r="W218" s="42">
        <v>46001</v>
      </c>
      <c r="X218" s="16">
        <f t="shared" si="19"/>
        <v>13</v>
      </c>
      <c r="Y218" s="16"/>
      <c r="Z218" s="16"/>
      <c r="AA218" s="16"/>
      <c r="AB218" s="10" t="str">
        <f t="shared" si="20"/>
        <v>Closed in Dec</v>
      </c>
    </row>
    <row r="219" spans="1:28" x14ac:dyDescent="0.25">
      <c r="A219" s="14">
        <v>45988</v>
      </c>
      <c r="B219" s="15">
        <v>2025</v>
      </c>
      <c r="C219" s="16" t="s">
        <v>88</v>
      </c>
      <c r="D219" s="26" t="s">
        <v>315</v>
      </c>
      <c r="E219" s="16" t="s">
        <v>88</v>
      </c>
      <c r="F219" s="15" t="s">
        <v>60</v>
      </c>
      <c r="G219" s="41" t="s">
        <v>423</v>
      </c>
      <c r="H219" s="16">
        <v>8909173473</v>
      </c>
      <c r="I219" s="16"/>
      <c r="J219" s="20" t="s">
        <v>424</v>
      </c>
      <c r="K219" s="25" t="s">
        <v>144</v>
      </c>
      <c r="L219" s="25" t="s">
        <v>84</v>
      </c>
      <c r="M219" s="16" t="s">
        <v>31</v>
      </c>
      <c r="N219" s="23">
        <v>610</v>
      </c>
      <c r="O219" s="63" t="s">
        <v>451</v>
      </c>
      <c r="P219" s="47" t="str">
        <f t="shared" si="21"/>
        <v>25</v>
      </c>
      <c r="Q219" s="19" t="str">
        <f t="shared" si="22"/>
        <v>07</v>
      </c>
      <c r="R219" s="19" t="s">
        <v>27</v>
      </c>
      <c r="S219" s="19" t="s">
        <v>102</v>
      </c>
      <c r="T219" s="22" t="s">
        <v>31</v>
      </c>
      <c r="U219" s="26" t="s">
        <v>328</v>
      </c>
      <c r="V219" s="16" t="s">
        <v>93</v>
      </c>
      <c r="W219" s="42">
        <v>46001</v>
      </c>
      <c r="X219" s="16">
        <f t="shared" si="19"/>
        <v>13</v>
      </c>
      <c r="Y219" s="16"/>
      <c r="Z219" s="16"/>
      <c r="AA219" s="16"/>
      <c r="AB219" s="10" t="str">
        <f t="shared" si="20"/>
        <v>Closed in Dec</v>
      </c>
    </row>
    <row r="220" spans="1:28" x14ac:dyDescent="0.25">
      <c r="A220" s="14">
        <v>45988</v>
      </c>
      <c r="B220" s="15">
        <v>2025</v>
      </c>
      <c r="C220" s="16" t="s">
        <v>88</v>
      </c>
      <c r="D220" s="26" t="s">
        <v>315</v>
      </c>
      <c r="E220" s="16" t="s">
        <v>88</v>
      </c>
      <c r="F220" s="15" t="s">
        <v>60</v>
      </c>
      <c r="G220" s="41" t="s">
        <v>423</v>
      </c>
      <c r="H220" s="16">
        <v>8909173473</v>
      </c>
      <c r="I220" s="16"/>
      <c r="J220" s="20" t="s">
        <v>424</v>
      </c>
      <c r="K220" s="25" t="s">
        <v>144</v>
      </c>
      <c r="L220" s="25" t="s">
        <v>84</v>
      </c>
      <c r="M220" s="27" t="s">
        <v>29</v>
      </c>
      <c r="N220" s="23">
        <v>610</v>
      </c>
      <c r="O220" s="63" t="s">
        <v>452</v>
      </c>
      <c r="P220" s="47" t="str">
        <f t="shared" si="21"/>
        <v>25</v>
      </c>
      <c r="Q220" s="19" t="str">
        <f t="shared" si="22"/>
        <v>07</v>
      </c>
      <c r="R220" s="19" t="s">
        <v>27</v>
      </c>
      <c r="S220" s="19" t="s">
        <v>102</v>
      </c>
      <c r="T220" s="22" t="s">
        <v>31</v>
      </c>
      <c r="U220" s="16" t="s">
        <v>314</v>
      </c>
      <c r="V220" s="16" t="s">
        <v>93</v>
      </c>
      <c r="W220" s="42">
        <v>46001</v>
      </c>
      <c r="X220" s="16">
        <f t="shared" si="19"/>
        <v>13</v>
      </c>
      <c r="Y220" s="16"/>
      <c r="Z220" s="16"/>
      <c r="AA220" s="16"/>
      <c r="AB220" s="10" t="str">
        <f t="shared" si="20"/>
        <v>Closed in Dec</v>
      </c>
    </row>
    <row r="221" spans="1:28" x14ac:dyDescent="0.25">
      <c r="A221" s="14">
        <v>45988</v>
      </c>
      <c r="B221" s="15">
        <v>2025</v>
      </c>
      <c r="C221" s="16" t="s">
        <v>88</v>
      </c>
      <c r="D221" s="26" t="s">
        <v>315</v>
      </c>
      <c r="E221" s="16" t="s">
        <v>88</v>
      </c>
      <c r="F221" s="15" t="s">
        <v>60</v>
      </c>
      <c r="G221" s="41" t="s">
        <v>423</v>
      </c>
      <c r="H221" s="16">
        <v>8909173473</v>
      </c>
      <c r="I221" s="16"/>
      <c r="J221" s="20" t="s">
        <v>424</v>
      </c>
      <c r="K221" s="25" t="s">
        <v>144</v>
      </c>
      <c r="L221" s="25" t="s">
        <v>84</v>
      </c>
      <c r="M221" s="27" t="s">
        <v>29</v>
      </c>
      <c r="N221" s="23">
        <v>610</v>
      </c>
      <c r="O221" s="63" t="s">
        <v>453</v>
      </c>
      <c r="P221" s="47" t="str">
        <f t="shared" si="21"/>
        <v>25</v>
      </c>
      <c r="Q221" s="19" t="str">
        <f t="shared" si="22"/>
        <v>07</v>
      </c>
      <c r="R221" s="19" t="s">
        <v>27</v>
      </c>
      <c r="S221" s="19" t="s">
        <v>102</v>
      </c>
      <c r="T221" s="22" t="s">
        <v>31</v>
      </c>
      <c r="U221" s="16" t="s">
        <v>314</v>
      </c>
      <c r="V221" s="16" t="s">
        <v>93</v>
      </c>
      <c r="W221" s="42">
        <v>46002</v>
      </c>
      <c r="X221" s="16">
        <f t="shared" si="19"/>
        <v>14</v>
      </c>
      <c r="Y221" s="16"/>
      <c r="Z221" s="16"/>
      <c r="AA221" s="16"/>
      <c r="AB221" s="10" t="str">
        <f t="shared" si="20"/>
        <v>Closed in Dec</v>
      </c>
    </row>
    <row r="222" spans="1:28" x14ac:dyDescent="0.25">
      <c r="A222" s="14">
        <v>45988</v>
      </c>
      <c r="B222" s="15">
        <v>2025</v>
      </c>
      <c r="C222" s="16" t="s">
        <v>88</v>
      </c>
      <c r="D222" s="26" t="s">
        <v>315</v>
      </c>
      <c r="E222" s="16" t="s">
        <v>88</v>
      </c>
      <c r="F222" s="15" t="s">
        <v>60</v>
      </c>
      <c r="G222" s="41" t="s">
        <v>423</v>
      </c>
      <c r="H222" s="16">
        <v>8909173473</v>
      </c>
      <c r="I222" s="16"/>
      <c r="J222" s="20" t="s">
        <v>424</v>
      </c>
      <c r="K222" s="25" t="s">
        <v>144</v>
      </c>
      <c r="L222" s="25" t="s">
        <v>84</v>
      </c>
      <c r="M222" s="16" t="s">
        <v>31</v>
      </c>
      <c r="N222" s="23">
        <v>610</v>
      </c>
      <c r="O222" s="63" t="s">
        <v>454</v>
      </c>
      <c r="P222" s="47" t="str">
        <f t="shared" si="21"/>
        <v>25</v>
      </c>
      <c r="Q222" s="19" t="str">
        <f t="shared" si="22"/>
        <v>07</v>
      </c>
      <c r="R222" s="19" t="s">
        <v>27</v>
      </c>
      <c r="S222" s="19" t="s">
        <v>102</v>
      </c>
      <c r="T222" s="22" t="s">
        <v>31</v>
      </c>
      <c r="U222" s="26" t="s">
        <v>328</v>
      </c>
      <c r="V222" s="16" t="s">
        <v>93</v>
      </c>
      <c r="W222" s="42">
        <v>46002</v>
      </c>
      <c r="X222" s="16">
        <f t="shared" si="19"/>
        <v>14</v>
      </c>
      <c r="Y222" s="16"/>
      <c r="Z222" s="16"/>
      <c r="AA222" s="16"/>
      <c r="AB222" s="10" t="str">
        <f t="shared" si="20"/>
        <v>Closed in Dec</v>
      </c>
    </row>
    <row r="223" spans="1:28" x14ac:dyDescent="0.25">
      <c r="A223" s="14">
        <v>45988</v>
      </c>
      <c r="B223" s="15">
        <v>2025</v>
      </c>
      <c r="C223" s="16" t="s">
        <v>88</v>
      </c>
      <c r="D223" s="26" t="s">
        <v>315</v>
      </c>
      <c r="E223" s="16" t="s">
        <v>88</v>
      </c>
      <c r="F223" s="15" t="s">
        <v>60</v>
      </c>
      <c r="G223" s="41" t="s">
        <v>423</v>
      </c>
      <c r="H223" s="16">
        <v>8909173473</v>
      </c>
      <c r="I223" s="16"/>
      <c r="J223" s="20" t="s">
        <v>424</v>
      </c>
      <c r="K223" s="25" t="s">
        <v>144</v>
      </c>
      <c r="L223" s="25" t="s">
        <v>84</v>
      </c>
      <c r="M223" s="27" t="s">
        <v>29</v>
      </c>
      <c r="N223" s="23">
        <v>610</v>
      </c>
      <c r="O223" s="63" t="s">
        <v>455</v>
      </c>
      <c r="P223" s="47" t="str">
        <f t="shared" si="21"/>
        <v>25</v>
      </c>
      <c r="Q223" s="19" t="str">
        <f t="shared" si="22"/>
        <v>07</v>
      </c>
      <c r="R223" s="19" t="s">
        <v>27</v>
      </c>
      <c r="S223" s="19" t="s">
        <v>102</v>
      </c>
      <c r="T223" s="22" t="s">
        <v>31</v>
      </c>
      <c r="U223" s="16" t="s">
        <v>314</v>
      </c>
      <c r="V223" s="16" t="s">
        <v>93</v>
      </c>
      <c r="W223" s="42">
        <v>46002</v>
      </c>
      <c r="X223" s="16">
        <f t="shared" si="19"/>
        <v>14</v>
      </c>
      <c r="Y223" s="16"/>
      <c r="Z223" s="16"/>
      <c r="AA223" s="16"/>
      <c r="AB223" s="10" t="str">
        <f t="shared" si="20"/>
        <v>Closed in Dec</v>
      </c>
    </row>
    <row r="224" spans="1:28" x14ac:dyDescent="0.25">
      <c r="A224" s="14">
        <v>45988</v>
      </c>
      <c r="B224" s="15">
        <v>2025</v>
      </c>
      <c r="C224" s="16" t="s">
        <v>88</v>
      </c>
      <c r="D224" s="26" t="s">
        <v>315</v>
      </c>
      <c r="E224" s="16" t="s">
        <v>88</v>
      </c>
      <c r="F224" s="15" t="s">
        <v>60</v>
      </c>
      <c r="G224" s="41" t="s">
        <v>423</v>
      </c>
      <c r="H224" s="16">
        <v>8909173473</v>
      </c>
      <c r="I224" s="16"/>
      <c r="J224" s="20" t="s">
        <v>424</v>
      </c>
      <c r="K224" s="25" t="s">
        <v>144</v>
      </c>
      <c r="L224" s="25" t="s">
        <v>84</v>
      </c>
      <c r="M224" s="27" t="s">
        <v>29</v>
      </c>
      <c r="N224" s="23">
        <v>610</v>
      </c>
      <c r="O224" s="63" t="s">
        <v>456</v>
      </c>
      <c r="P224" s="47" t="str">
        <f t="shared" si="21"/>
        <v>25</v>
      </c>
      <c r="Q224" s="19" t="str">
        <f t="shared" si="22"/>
        <v>07</v>
      </c>
      <c r="R224" s="19" t="s">
        <v>27</v>
      </c>
      <c r="S224" s="19" t="s">
        <v>102</v>
      </c>
      <c r="T224" s="22" t="s">
        <v>31</v>
      </c>
      <c r="U224" s="16" t="s">
        <v>314</v>
      </c>
      <c r="V224" s="16" t="s">
        <v>93</v>
      </c>
      <c r="W224" s="42">
        <v>46002</v>
      </c>
      <c r="X224" s="16">
        <f t="shared" si="19"/>
        <v>14</v>
      </c>
      <c r="Y224" s="16"/>
      <c r="Z224" s="16"/>
      <c r="AA224" s="16"/>
      <c r="AB224" s="10" t="str">
        <f t="shared" si="20"/>
        <v>Closed in Dec</v>
      </c>
    </row>
    <row r="225" spans="1:28" x14ac:dyDescent="0.25">
      <c r="A225" s="14">
        <v>45988</v>
      </c>
      <c r="B225" s="15">
        <v>2025</v>
      </c>
      <c r="C225" s="16" t="s">
        <v>88</v>
      </c>
      <c r="D225" s="26" t="s">
        <v>315</v>
      </c>
      <c r="E225" s="16" t="s">
        <v>88</v>
      </c>
      <c r="F225" s="15" t="s">
        <v>60</v>
      </c>
      <c r="G225" s="41" t="s">
        <v>423</v>
      </c>
      <c r="H225" s="16">
        <v>8909173473</v>
      </c>
      <c r="I225" s="16"/>
      <c r="J225" s="20" t="s">
        <v>424</v>
      </c>
      <c r="K225" s="25" t="s">
        <v>144</v>
      </c>
      <c r="L225" s="25" t="s">
        <v>84</v>
      </c>
      <c r="M225" s="27" t="s">
        <v>29</v>
      </c>
      <c r="N225" s="23">
        <v>610</v>
      </c>
      <c r="O225" s="63" t="s">
        <v>457</v>
      </c>
      <c r="P225" s="47" t="str">
        <f t="shared" si="21"/>
        <v>25</v>
      </c>
      <c r="Q225" s="19" t="str">
        <f t="shared" si="22"/>
        <v>07</v>
      </c>
      <c r="R225" s="19" t="s">
        <v>27</v>
      </c>
      <c r="S225" s="19" t="s">
        <v>102</v>
      </c>
      <c r="T225" s="22" t="s">
        <v>31</v>
      </c>
      <c r="U225" s="16" t="s">
        <v>314</v>
      </c>
      <c r="V225" s="16" t="s">
        <v>93</v>
      </c>
      <c r="W225" s="42">
        <v>46002</v>
      </c>
      <c r="X225" s="16">
        <f t="shared" si="19"/>
        <v>14</v>
      </c>
      <c r="Y225" s="16"/>
      <c r="Z225" s="16"/>
      <c r="AA225" s="16"/>
      <c r="AB225" s="10" t="str">
        <f t="shared" si="20"/>
        <v>Closed in Dec</v>
      </c>
    </row>
    <row r="226" spans="1:28" x14ac:dyDescent="0.25">
      <c r="A226" s="14">
        <v>45988</v>
      </c>
      <c r="B226" s="15">
        <v>2025</v>
      </c>
      <c r="C226" s="16" t="s">
        <v>88</v>
      </c>
      <c r="D226" s="26" t="s">
        <v>315</v>
      </c>
      <c r="E226" s="16" t="s">
        <v>88</v>
      </c>
      <c r="F226" s="15" t="s">
        <v>60</v>
      </c>
      <c r="G226" s="41" t="s">
        <v>423</v>
      </c>
      <c r="H226" s="16">
        <v>8909173473</v>
      </c>
      <c r="I226" s="16"/>
      <c r="J226" s="20" t="s">
        <v>424</v>
      </c>
      <c r="K226" s="25" t="s">
        <v>144</v>
      </c>
      <c r="L226" s="25" t="s">
        <v>84</v>
      </c>
      <c r="M226" s="27" t="s">
        <v>29</v>
      </c>
      <c r="N226" s="23">
        <v>610</v>
      </c>
      <c r="O226" s="63" t="s">
        <v>458</v>
      </c>
      <c r="P226" s="47" t="str">
        <f t="shared" si="21"/>
        <v>25</v>
      </c>
      <c r="Q226" s="19" t="str">
        <f t="shared" si="22"/>
        <v>07</v>
      </c>
      <c r="R226" s="19" t="s">
        <v>27</v>
      </c>
      <c r="S226" s="19" t="s">
        <v>102</v>
      </c>
      <c r="T226" s="22" t="s">
        <v>31</v>
      </c>
      <c r="U226" s="16" t="s">
        <v>314</v>
      </c>
      <c r="V226" s="16" t="s">
        <v>93</v>
      </c>
      <c r="W226" s="42">
        <v>46002</v>
      </c>
      <c r="X226" s="16">
        <f t="shared" si="19"/>
        <v>14</v>
      </c>
      <c r="Y226" s="16"/>
      <c r="Z226" s="16"/>
      <c r="AA226" s="16"/>
      <c r="AB226" s="10" t="str">
        <f t="shared" si="20"/>
        <v>Closed in Dec</v>
      </c>
    </row>
    <row r="227" spans="1:28" x14ac:dyDescent="0.25">
      <c r="A227" s="14">
        <v>45988</v>
      </c>
      <c r="B227" s="15">
        <v>2025</v>
      </c>
      <c r="C227" s="16" t="s">
        <v>88</v>
      </c>
      <c r="D227" s="26" t="s">
        <v>315</v>
      </c>
      <c r="E227" s="16" t="s">
        <v>88</v>
      </c>
      <c r="F227" s="15" t="s">
        <v>60</v>
      </c>
      <c r="G227" s="41" t="s">
        <v>423</v>
      </c>
      <c r="H227" s="16">
        <v>8909173473</v>
      </c>
      <c r="I227" s="16"/>
      <c r="J227" s="20" t="s">
        <v>424</v>
      </c>
      <c r="K227" s="25" t="s">
        <v>144</v>
      </c>
      <c r="L227" s="25" t="s">
        <v>84</v>
      </c>
      <c r="M227" s="27" t="s">
        <v>29</v>
      </c>
      <c r="N227" s="23">
        <v>610</v>
      </c>
      <c r="O227" s="63" t="s">
        <v>459</v>
      </c>
      <c r="P227" s="47" t="str">
        <f t="shared" si="21"/>
        <v>25</v>
      </c>
      <c r="Q227" s="19" t="str">
        <f t="shared" si="22"/>
        <v>07</v>
      </c>
      <c r="R227" s="19" t="s">
        <v>27</v>
      </c>
      <c r="S227" s="19" t="s">
        <v>102</v>
      </c>
      <c r="T227" s="22" t="s">
        <v>31</v>
      </c>
      <c r="U227" s="16" t="s">
        <v>314</v>
      </c>
      <c r="V227" s="16" t="s">
        <v>93</v>
      </c>
      <c r="W227" s="42">
        <v>46002</v>
      </c>
      <c r="X227" s="16">
        <f t="shared" si="19"/>
        <v>14</v>
      </c>
      <c r="Y227" s="16"/>
      <c r="Z227" s="16"/>
      <c r="AA227" s="16"/>
      <c r="AB227" s="10" t="str">
        <f t="shared" si="20"/>
        <v>Closed in Dec</v>
      </c>
    </row>
    <row r="228" spans="1:28" x14ac:dyDescent="0.25">
      <c r="A228" s="14">
        <v>45988</v>
      </c>
      <c r="B228" s="15">
        <v>2025</v>
      </c>
      <c r="C228" s="16" t="s">
        <v>88</v>
      </c>
      <c r="D228" s="26" t="s">
        <v>315</v>
      </c>
      <c r="E228" s="16" t="s">
        <v>88</v>
      </c>
      <c r="F228" s="15" t="s">
        <v>60</v>
      </c>
      <c r="G228" s="41" t="s">
        <v>423</v>
      </c>
      <c r="H228" s="16">
        <v>8909173473</v>
      </c>
      <c r="I228" s="16"/>
      <c r="J228" s="20" t="s">
        <v>424</v>
      </c>
      <c r="K228" s="25" t="s">
        <v>144</v>
      </c>
      <c r="L228" s="25" t="s">
        <v>84</v>
      </c>
      <c r="M228" s="27" t="s">
        <v>29</v>
      </c>
      <c r="N228" s="23">
        <v>610</v>
      </c>
      <c r="O228" s="63" t="s">
        <v>460</v>
      </c>
      <c r="P228" s="47" t="str">
        <f t="shared" si="21"/>
        <v>25</v>
      </c>
      <c r="Q228" s="19" t="str">
        <f t="shared" si="22"/>
        <v>07</v>
      </c>
      <c r="R228" s="19" t="s">
        <v>27</v>
      </c>
      <c r="S228" s="19" t="s">
        <v>102</v>
      </c>
      <c r="T228" s="22" t="s">
        <v>31</v>
      </c>
      <c r="U228" s="16" t="s">
        <v>314</v>
      </c>
      <c r="V228" s="16" t="s">
        <v>93</v>
      </c>
      <c r="W228" s="42">
        <v>46002</v>
      </c>
      <c r="X228" s="16">
        <f t="shared" si="19"/>
        <v>14</v>
      </c>
      <c r="Y228" s="16"/>
      <c r="Z228" s="16"/>
      <c r="AA228" s="16"/>
      <c r="AB228" s="10" t="str">
        <f t="shared" si="20"/>
        <v>Closed in Dec</v>
      </c>
    </row>
    <row r="229" spans="1:28" x14ac:dyDescent="0.25">
      <c r="A229" s="14">
        <v>45988</v>
      </c>
      <c r="B229" s="15">
        <v>2025</v>
      </c>
      <c r="C229" s="16" t="s">
        <v>88</v>
      </c>
      <c r="D229" s="26" t="s">
        <v>315</v>
      </c>
      <c r="E229" s="16" t="s">
        <v>88</v>
      </c>
      <c r="F229" s="15" t="s">
        <v>60</v>
      </c>
      <c r="G229" s="41" t="s">
        <v>423</v>
      </c>
      <c r="H229" s="16">
        <v>8909173473</v>
      </c>
      <c r="I229" s="16"/>
      <c r="J229" s="20" t="s">
        <v>424</v>
      </c>
      <c r="K229" s="25" t="s">
        <v>144</v>
      </c>
      <c r="L229" s="25" t="s">
        <v>84</v>
      </c>
      <c r="M229" s="16" t="s">
        <v>31</v>
      </c>
      <c r="N229" s="23">
        <v>610</v>
      </c>
      <c r="O229" s="63" t="s">
        <v>461</v>
      </c>
      <c r="P229" s="47" t="str">
        <f t="shared" si="21"/>
        <v>25</v>
      </c>
      <c r="Q229" s="19" t="str">
        <f t="shared" si="22"/>
        <v>07</v>
      </c>
      <c r="R229" s="19" t="s">
        <v>27</v>
      </c>
      <c r="S229" s="19" t="s">
        <v>102</v>
      </c>
      <c r="T229" s="22" t="s">
        <v>31</v>
      </c>
      <c r="U229" s="26" t="s">
        <v>328</v>
      </c>
      <c r="V229" s="16" t="s">
        <v>93</v>
      </c>
      <c r="W229" s="42">
        <v>46002</v>
      </c>
      <c r="X229" s="16">
        <f t="shared" si="19"/>
        <v>14</v>
      </c>
      <c r="Y229" s="16"/>
      <c r="Z229" s="16"/>
      <c r="AA229" s="16"/>
      <c r="AB229" s="10" t="str">
        <f t="shared" si="20"/>
        <v>Closed in Dec</v>
      </c>
    </row>
    <row r="230" spans="1:28" x14ac:dyDescent="0.25">
      <c r="A230" s="14">
        <v>45988</v>
      </c>
      <c r="B230" s="15">
        <v>2025</v>
      </c>
      <c r="C230" s="16" t="s">
        <v>88</v>
      </c>
      <c r="D230" s="26" t="s">
        <v>315</v>
      </c>
      <c r="E230" s="16" t="s">
        <v>88</v>
      </c>
      <c r="F230" s="15" t="s">
        <v>60</v>
      </c>
      <c r="G230" s="41" t="s">
        <v>423</v>
      </c>
      <c r="H230" s="16">
        <v>8909173473</v>
      </c>
      <c r="I230" s="16"/>
      <c r="J230" s="20" t="s">
        <v>424</v>
      </c>
      <c r="K230" s="25" t="s">
        <v>144</v>
      </c>
      <c r="L230" s="25" t="s">
        <v>84</v>
      </c>
      <c r="M230" s="16" t="s">
        <v>31</v>
      </c>
      <c r="N230" s="23">
        <v>610</v>
      </c>
      <c r="O230" s="63" t="s">
        <v>462</v>
      </c>
      <c r="P230" s="47" t="str">
        <f t="shared" si="21"/>
        <v>25</v>
      </c>
      <c r="Q230" s="19" t="str">
        <f t="shared" si="22"/>
        <v>08</v>
      </c>
      <c r="R230" s="19" t="s">
        <v>27</v>
      </c>
      <c r="S230" s="19" t="s">
        <v>102</v>
      </c>
      <c r="T230" s="22" t="s">
        <v>31</v>
      </c>
      <c r="U230" s="26" t="s">
        <v>328</v>
      </c>
      <c r="V230" s="16" t="s">
        <v>93</v>
      </c>
      <c r="W230" s="42">
        <v>46002</v>
      </c>
      <c r="X230" s="16">
        <f t="shared" si="19"/>
        <v>14</v>
      </c>
      <c r="Y230" s="16"/>
      <c r="Z230" s="16"/>
      <c r="AA230" s="16"/>
      <c r="AB230" s="10" t="str">
        <f t="shared" si="20"/>
        <v>Closed in Dec</v>
      </c>
    </row>
    <row r="231" spans="1:28" x14ac:dyDescent="0.25">
      <c r="A231" s="14">
        <v>45988</v>
      </c>
      <c r="B231" s="15">
        <v>2025</v>
      </c>
      <c r="C231" s="16" t="s">
        <v>88</v>
      </c>
      <c r="D231" s="26" t="s">
        <v>315</v>
      </c>
      <c r="E231" s="16" t="s">
        <v>88</v>
      </c>
      <c r="F231" s="15" t="s">
        <v>60</v>
      </c>
      <c r="G231" s="41" t="s">
        <v>423</v>
      </c>
      <c r="H231" s="16">
        <v>8909173473</v>
      </c>
      <c r="I231" s="16"/>
      <c r="J231" s="20" t="s">
        <v>424</v>
      </c>
      <c r="K231" s="25" t="s">
        <v>144</v>
      </c>
      <c r="L231" s="25" t="s">
        <v>84</v>
      </c>
      <c r="M231" s="27" t="s">
        <v>29</v>
      </c>
      <c r="N231" s="23">
        <v>610</v>
      </c>
      <c r="O231" s="63" t="s">
        <v>463</v>
      </c>
      <c r="P231" s="47" t="str">
        <f t="shared" si="21"/>
        <v>25</v>
      </c>
      <c r="Q231" s="19" t="str">
        <f t="shared" si="22"/>
        <v>07</v>
      </c>
      <c r="R231" s="19" t="s">
        <v>27</v>
      </c>
      <c r="S231" s="19" t="s">
        <v>102</v>
      </c>
      <c r="T231" s="22" t="s">
        <v>31</v>
      </c>
      <c r="U231" s="16" t="s">
        <v>314</v>
      </c>
      <c r="V231" s="16" t="s">
        <v>93</v>
      </c>
      <c r="W231" s="42">
        <v>46002</v>
      </c>
      <c r="X231" s="16">
        <f t="shared" si="19"/>
        <v>14</v>
      </c>
      <c r="Y231" s="16"/>
      <c r="Z231" s="16"/>
      <c r="AA231" s="16"/>
      <c r="AB231" s="10" t="str">
        <f t="shared" si="20"/>
        <v>Closed in Dec</v>
      </c>
    </row>
    <row r="232" spans="1:28" x14ac:dyDescent="0.25">
      <c r="A232" s="14">
        <v>45988</v>
      </c>
      <c r="B232" s="15">
        <v>2025</v>
      </c>
      <c r="C232" s="16" t="s">
        <v>88</v>
      </c>
      <c r="D232" s="26" t="s">
        <v>315</v>
      </c>
      <c r="E232" s="16" t="s">
        <v>88</v>
      </c>
      <c r="F232" s="15" t="s">
        <v>60</v>
      </c>
      <c r="G232" s="41" t="s">
        <v>423</v>
      </c>
      <c r="H232" s="16">
        <v>8909173473</v>
      </c>
      <c r="I232" s="16"/>
      <c r="J232" s="20" t="s">
        <v>424</v>
      </c>
      <c r="K232" s="25" t="s">
        <v>144</v>
      </c>
      <c r="L232" s="25" t="s">
        <v>84</v>
      </c>
      <c r="M232" s="16" t="s">
        <v>31</v>
      </c>
      <c r="N232" s="23">
        <v>610</v>
      </c>
      <c r="O232" s="63" t="s">
        <v>464</v>
      </c>
      <c r="P232" s="47" t="str">
        <f t="shared" si="21"/>
        <v>25</v>
      </c>
      <c r="Q232" s="19" t="str">
        <f t="shared" si="22"/>
        <v>07</v>
      </c>
      <c r="R232" s="19" t="s">
        <v>27</v>
      </c>
      <c r="S232" s="19" t="s">
        <v>102</v>
      </c>
      <c r="T232" s="22" t="s">
        <v>31</v>
      </c>
      <c r="U232" s="26" t="s">
        <v>328</v>
      </c>
      <c r="V232" s="16" t="s">
        <v>93</v>
      </c>
      <c r="W232" s="42">
        <v>46002</v>
      </c>
      <c r="X232" s="16">
        <f t="shared" si="19"/>
        <v>14</v>
      </c>
      <c r="Y232" s="16"/>
      <c r="Z232" s="16"/>
      <c r="AA232" s="16"/>
      <c r="AB232" s="10" t="str">
        <f t="shared" si="20"/>
        <v>Closed in Dec</v>
      </c>
    </row>
    <row r="233" spans="1:28" x14ac:dyDescent="0.25">
      <c r="A233" s="14">
        <v>45988</v>
      </c>
      <c r="B233" s="15">
        <v>2025</v>
      </c>
      <c r="C233" s="16" t="s">
        <v>88</v>
      </c>
      <c r="D233" s="26" t="s">
        <v>315</v>
      </c>
      <c r="E233" s="16" t="s">
        <v>88</v>
      </c>
      <c r="F233" s="15" t="s">
        <v>60</v>
      </c>
      <c r="G233" s="41" t="s">
        <v>423</v>
      </c>
      <c r="H233" s="16">
        <v>8909173473</v>
      </c>
      <c r="I233" s="16"/>
      <c r="J233" s="20" t="s">
        <v>424</v>
      </c>
      <c r="K233" s="25" t="s">
        <v>144</v>
      </c>
      <c r="L233" s="25" t="s">
        <v>84</v>
      </c>
      <c r="M233" s="16" t="s">
        <v>31</v>
      </c>
      <c r="N233" s="23">
        <v>610</v>
      </c>
      <c r="O233" s="63" t="s">
        <v>465</v>
      </c>
      <c r="P233" s="47" t="str">
        <f t="shared" si="21"/>
        <v>25</v>
      </c>
      <c r="Q233" s="19" t="str">
        <f t="shared" si="22"/>
        <v>04</v>
      </c>
      <c r="R233" s="19" t="s">
        <v>27</v>
      </c>
      <c r="S233" s="19" t="s">
        <v>102</v>
      </c>
      <c r="T233" s="22" t="s">
        <v>31</v>
      </c>
      <c r="U233" s="26" t="s">
        <v>328</v>
      </c>
      <c r="V233" s="16" t="s">
        <v>93</v>
      </c>
      <c r="W233" s="42">
        <v>46002</v>
      </c>
      <c r="X233" s="16">
        <f t="shared" si="19"/>
        <v>14</v>
      </c>
      <c r="Y233" s="16"/>
      <c r="Z233" s="16"/>
      <c r="AA233" s="16"/>
      <c r="AB233" s="10" t="str">
        <f t="shared" si="20"/>
        <v>Closed in Dec</v>
      </c>
    </row>
    <row r="234" spans="1:28" x14ac:dyDescent="0.25">
      <c r="A234" s="14">
        <v>45988</v>
      </c>
      <c r="B234" s="15">
        <v>2025</v>
      </c>
      <c r="C234" s="16" t="s">
        <v>88</v>
      </c>
      <c r="D234" s="26" t="s">
        <v>315</v>
      </c>
      <c r="E234" s="16" t="s">
        <v>88</v>
      </c>
      <c r="F234" s="15" t="s">
        <v>60</v>
      </c>
      <c r="G234" s="41" t="s">
        <v>423</v>
      </c>
      <c r="H234" s="16">
        <v>8909173473</v>
      </c>
      <c r="I234" s="16"/>
      <c r="J234" s="20" t="s">
        <v>424</v>
      </c>
      <c r="K234" s="25" t="s">
        <v>144</v>
      </c>
      <c r="L234" s="25" t="s">
        <v>84</v>
      </c>
      <c r="M234" s="16" t="s">
        <v>31</v>
      </c>
      <c r="N234" s="23">
        <v>610</v>
      </c>
      <c r="O234" s="63" t="s">
        <v>466</v>
      </c>
      <c r="P234" s="47" t="str">
        <f t="shared" ref="P234:P265" si="23">MID(O234,5,2)</f>
        <v>25</v>
      </c>
      <c r="Q234" s="19" t="str">
        <f t="shared" ref="Q234:Q265" si="24">MID(O234,7,2)</f>
        <v>06</v>
      </c>
      <c r="R234" s="19" t="s">
        <v>27</v>
      </c>
      <c r="S234" s="19" t="s">
        <v>102</v>
      </c>
      <c r="T234" s="22" t="s">
        <v>31</v>
      </c>
      <c r="U234" s="22" t="s">
        <v>200</v>
      </c>
      <c r="V234" s="16" t="s">
        <v>93</v>
      </c>
      <c r="W234" s="42">
        <v>46002</v>
      </c>
      <c r="X234" s="16">
        <f t="shared" si="19"/>
        <v>14</v>
      </c>
      <c r="Y234" s="16"/>
      <c r="Z234" s="16"/>
      <c r="AA234" s="16"/>
      <c r="AB234" s="10" t="str">
        <f t="shared" si="20"/>
        <v>Closed in Dec</v>
      </c>
    </row>
    <row r="235" spans="1:28" x14ac:dyDescent="0.25">
      <c r="A235" s="14">
        <v>45988</v>
      </c>
      <c r="B235" s="15">
        <v>2025</v>
      </c>
      <c r="C235" s="16" t="s">
        <v>88</v>
      </c>
      <c r="D235" s="26" t="s">
        <v>315</v>
      </c>
      <c r="E235" s="16" t="s">
        <v>88</v>
      </c>
      <c r="F235" s="15" t="s">
        <v>60</v>
      </c>
      <c r="G235" s="41" t="s">
        <v>423</v>
      </c>
      <c r="H235" s="16">
        <v>8909173473</v>
      </c>
      <c r="I235" s="16"/>
      <c r="J235" s="20" t="s">
        <v>424</v>
      </c>
      <c r="K235" s="25" t="s">
        <v>144</v>
      </c>
      <c r="L235" s="25" t="s">
        <v>84</v>
      </c>
      <c r="M235" s="16" t="s">
        <v>31</v>
      </c>
      <c r="N235" s="23">
        <v>610</v>
      </c>
      <c r="O235" s="63" t="s">
        <v>467</v>
      </c>
      <c r="P235" s="47" t="str">
        <f t="shared" si="23"/>
        <v>25</v>
      </c>
      <c r="Q235" s="19" t="str">
        <f t="shared" si="24"/>
        <v>06</v>
      </c>
      <c r="R235" s="19" t="s">
        <v>27</v>
      </c>
      <c r="S235" s="19" t="s">
        <v>102</v>
      </c>
      <c r="T235" s="22" t="s">
        <v>31</v>
      </c>
      <c r="U235" s="22" t="s">
        <v>200</v>
      </c>
      <c r="V235" s="16" t="s">
        <v>93</v>
      </c>
      <c r="W235" s="42">
        <v>46002</v>
      </c>
      <c r="X235" s="16">
        <f t="shared" si="19"/>
        <v>14</v>
      </c>
      <c r="Y235" s="16"/>
      <c r="Z235" s="16"/>
      <c r="AA235" s="16"/>
      <c r="AB235" s="10" t="str">
        <f t="shared" si="20"/>
        <v>Closed in Dec</v>
      </c>
    </row>
    <row r="236" spans="1:28" x14ac:dyDescent="0.25">
      <c r="A236" s="14">
        <v>45988</v>
      </c>
      <c r="B236" s="15">
        <v>2025</v>
      </c>
      <c r="C236" s="16" t="s">
        <v>88</v>
      </c>
      <c r="D236" s="26" t="s">
        <v>315</v>
      </c>
      <c r="E236" s="16" t="s">
        <v>88</v>
      </c>
      <c r="F236" s="15" t="s">
        <v>60</v>
      </c>
      <c r="G236" s="41" t="s">
        <v>423</v>
      </c>
      <c r="H236" s="16">
        <v>8909173473</v>
      </c>
      <c r="I236" s="16"/>
      <c r="J236" s="20" t="s">
        <v>424</v>
      </c>
      <c r="K236" s="25" t="s">
        <v>144</v>
      </c>
      <c r="L236" s="25" t="s">
        <v>84</v>
      </c>
      <c r="M236" s="16" t="s">
        <v>31</v>
      </c>
      <c r="N236" s="23">
        <v>610</v>
      </c>
      <c r="O236" s="63" t="s">
        <v>468</v>
      </c>
      <c r="P236" s="47" t="str">
        <f t="shared" si="23"/>
        <v>25</v>
      </c>
      <c r="Q236" s="19" t="str">
        <f t="shared" si="24"/>
        <v>05</v>
      </c>
      <c r="R236" s="19" t="s">
        <v>27</v>
      </c>
      <c r="S236" s="19" t="s">
        <v>102</v>
      </c>
      <c r="T236" s="22" t="s">
        <v>31</v>
      </c>
      <c r="U236" s="26" t="s">
        <v>328</v>
      </c>
      <c r="V236" s="16" t="s">
        <v>93</v>
      </c>
      <c r="W236" s="42">
        <v>46002</v>
      </c>
      <c r="X236" s="16">
        <f t="shared" si="19"/>
        <v>14</v>
      </c>
      <c r="Y236" s="16"/>
      <c r="Z236" s="16"/>
      <c r="AA236" s="16"/>
      <c r="AB236" s="10" t="str">
        <f t="shared" si="20"/>
        <v>Closed in Dec</v>
      </c>
    </row>
    <row r="237" spans="1:28" x14ac:dyDescent="0.25">
      <c r="A237" s="14">
        <v>45988</v>
      </c>
      <c r="B237" s="15">
        <v>2025</v>
      </c>
      <c r="C237" s="16" t="s">
        <v>88</v>
      </c>
      <c r="D237" s="26" t="s">
        <v>315</v>
      </c>
      <c r="E237" s="16" t="s">
        <v>88</v>
      </c>
      <c r="F237" s="15" t="s">
        <v>60</v>
      </c>
      <c r="G237" s="41" t="s">
        <v>423</v>
      </c>
      <c r="H237" s="16">
        <v>8909173473</v>
      </c>
      <c r="I237" s="16"/>
      <c r="J237" s="20" t="s">
        <v>424</v>
      </c>
      <c r="K237" s="25" t="s">
        <v>144</v>
      </c>
      <c r="L237" s="25" t="s">
        <v>84</v>
      </c>
      <c r="M237" s="16" t="s">
        <v>31</v>
      </c>
      <c r="N237" s="23">
        <v>610</v>
      </c>
      <c r="O237" s="63" t="s">
        <v>469</v>
      </c>
      <c r="P237" s="47" t="str">
        <f t="shared" si="23"/>
        <v>25</v>
      </c>
      <c r="Q237" s="19" t="str">
        <f t="shared" si="24"/>
        <v>07</v>
      </c>
      <c r="R237" s="19" t="s">
        <v>27</v>
      </c>
      <c r="S237" s="19" t="s">
        <v>102</v>
      </c>
      <c r="T237" s="22" t="s">
        <v>31</v>
      </c>
      <c r="U237" s="26" t="s">
        <v>328</v>
      </c>
      <c r="V237" s="16" t="s">
        <v>93</v>
      </c>
      <c r="W237" s="42">
        <v>46002</v>
      </c>
      <c r="X237" s="16">
        <f t="shared" si="19"/>
        <v>14</v>
      </c>
      <c r="Y237" s="16"/>
      <c r="Z237" s="16"/>
      <c r="AA237" s="16"/>
      <c r="AB237" s="10" t="str">
        <f t="shared" si="20"/>
        <v>Closed in Dec</v>
      </c>
    </row>
    <row r="238" spans="1:28" x14ac:dyDescent="0.25">
      <c r="A238" s="14">
        <v>45988</v>
      </c>
      <c r="B238" s="15">
        <v>2025</v>
      </c>
      <c r="C238" s="16" t="s">
        <v>88</v>
      </c>
      <c r="D238" s="26" t="s">
        <v>315</v>
      </c>
      <c r="E238" s="16" t="s">
        <v>88</v>
      </c>
      <c r="F238" s="15" t="s">
        <v>60</v>
      </c>
      <c r="G238" s="41" t="s">
        <v>423</v>
      </c>
      <c r="H238" s="16">
        <v>8909173473</v>
      </c>
      <c r="I238" s="16"/>
      <c r="J238" s="20" t="s">
        <v>424</v>
      </c>
      <c r="K238" s="25" t="s">
        <v>144</v>
      </c>
      <c r="L238" s="25" t="s">
        <v>84</v>
      </c>
      <c r="M238" s="16" t="s">
        <v>31</v>
      </c>
      <c r="N238" s="23">
        <v>610</v>
      </c>
      <c r="O238" s="63" t="s">
        <v>470</v>
      </c>
      <c r="P238" s="47" t="str">
        <f t="shared" si="23"/>
        <v>25</v>
      </c>
      <c r="Q238" s="19" t="str">
        <f t="shared" si="24"/>
        <v>06</v>
      </c>
      <c r="R238" s="19" t="s">
        <v>27</v>
      </c>
      <c r="S238" s="19" t="s">
        <v>102</v>
      </c>
      <c r="T238" s="22" t="s">
        <v>31</v>
      </c>
      <c r="U238" s="22" t="s">
        <v>200</v>
      </c>
      <c r="V238" s="16" t="s">
        <v>93</v>
      </c>
      <c r="W238" s="42">
        <v>46002</v>
      </c>
      <c r="X238" s="16">
        <f t="shared" si="19"/>
        <v>14</v>
      </c>
      <c r="Y238" s="16"/>
      <c r="Z238" s="16"/>
      <c r="AA238" s="16"/>
      <c r="AB238" s="10" t="str">
        <f t="shared" si="20"/>
        <v>Closed in Dec</v>
      </c>
    </row>
    <row r="239" spans="1:28" x14ac:dyDescent="0.25">
      <c r="A239" s="14">
        <v>45988</v>
      </c>
      <c r="B239" s="15">
        <v>2025</v>
      </c>
      <c r="C239" s="16" t="s">
        <v>88</v>
      </c>
      <c r="D239" s="26" t="s">
        <v>315</v>
      </c>
      <c r="E239" s="16" t="s">
        <v>88</v>
      </c>
      <c r="F239" s="15" t="s">
        <v>60</v>
      </c>
      <c r="G239" s="41" t="s">
        <v>423</v>
      </c>
      <c r="H239" s="16">
        <v>8909173473</v>
      </c>
      <c r="I239" s="16"/>
      <c r="J239" s="20" t="s">
        <v>424</v>
      </c>
      <c r="K239" s="25" t="s">
        <v>144</v>
      </c>
      <c r="L239" s="25" t="s">
        <v>84</v>
      </c>
      <c r="M239" s="27" t="s">
        <v>29</v>
      </c>
      <c r="N239" s="23">
        <v>610</v>
      </c>
      <c r="O239" s="63" t="s">
        <v>471</v>
      </c>
      <c r="P239" s="47" t="str">
        <f t="shared" si="23"/>
        <v>25</v>
      </c>
      <c r="Q239" s="19" t="str">
        <f t="shared" si="24"/>
        <v>07</v>
      </c>
      <c r="R239" s="19" t="s">
        <v>27</v>
      </c>
      <c r="S239" s="19" t="s">
        <v>102</v>
      </c>
      <c r="T239" s="22" t="s">
        <v>31</v>
      </c>
      <c r="U239" s="16" t="s">
        <v>314</v>
      </c>
      <c r="V239" s="16" t="s">
        <v>93</v>
      </c>
      <c r="W239" s="42">
        <v>46003</v>
      </c>
      <c r="X239" s="16">
        <f t="shared" si="19"/>
        <v>15</v>
      </c>
      <c r="Y239" s="16"/>
      <c r="Z239" s="16"/>
      <c r="AA239" s="16"/>
      <c r="AB239" s="10" t="str">
        <f t="shared" si="20"/>
        <v>Closed in Dec</v>
      </c>
    </row>
    <row r="240" spans="1:28" x14ac:dyDescent="0.25">
      <c r="A240" s="14">
        <v>45988</v>
      </c>
      <c r="B240" s="15">
        <v>2025</v>
      </c>
      <c r="C240" s="16" t="s">
        <v>88</v>
      </c>
      <c r="D240" s="26" t="s">
        <v>315</v>
      </c>
      <c r="E240" s="16" t="s">
        <v>88</v>
      </c>
      <c r="F240" s="15" t="s">
        <v>60</v>
      </c>
      <c r="G240" s="41" t="s">
        <v>423</v>
      </c>
      <c r="H240" s="16">
        <v>8909173473</v>
      </c>
      <c r="I240" s="16"/>
      <c r="J240" s="20" t="s">
        <v>424</v>
      </c>
      <c r="K240" s="25" t="s">
        <v>144</v>
      </c>
      <c r="L240" s="25" t="s">
        <v>84</v>
      </c>
      <c r="M240" s="27" t="s">
        <v>29</v>
      </c>
      <c r="N240" s="23">
        <v>610</v>
      </c>
      <c r="O240" s="63" t="s">
        <v>472</v>
      </c>
      <c r="P240" s="47" t="str">
        <f t="shared" si="23"/>
        <v>25</v>
      </c>
      <c r="Q240" s="19" t="str">
        <f t="shared" si="24"/>
        <v>07</v>
      </c>
      <c r="R240" s="19" t="s">
        <v>27</v>
      </c>
      <c r="S240" s="19" t="s">
        <v>102</v>
      </c>
      <c r="T240" s="22" t="s">
        <v>31</v>
      </c>
      <c r="U240" s="16" t="s">
        <v>314</v>
      </c>
      <c r="V240" s="16" t="s">
        <v>93</v>
      </c>
      <c r="W240" s="42">
        <v>46003</v>
      </c>
      <c r="X240" s="16">
        <f t="shared" si="19"/>
        <v>15</v>
      </c>
      <c r="Y240" s="16"/>
      <c r="Z240" s="16"/>
      <c r="AA240" s="16"/>
      <c r="AB240" s="10" t="str">
        <f t="shared" si="20"/>
        <v>Closed in Dec</v>
      </c>
    </row>
    <row r="241" spans="1:28" x14ac:dyDescent="0.25">
      <c r="A241" s="14">
        <v>45988</v>
      </c>
      <c r="B241" s="15">
        <v>2025</v>
      </c>
      <c r="C241" s="16" t="s">
        <v>88</v>
      </c>
      <c r="D241" s="26" t="s">
        <v>315</v>
      </c>
      <c r="E241" s="16" t="s">
        <v>88</v>
      </c>
      <c r="F241" s="15" t="s">
        <v>60</v>
      </c>
      <c r="G241" s="41" t="s">
        <v>423</v>
      </c>
      <c r="H241" s="16">
        <v>8909173473</v>
      </c>
      <c r="I241" s="16"/>
      <c r="J241" s="20" t="s">
        <v>424</v>
      </c>
      <c r="K241" s="25" t="s">
        <v>144</v>
      </c>
      <c r="L241" s="25" t="s">
        <v>84</v>
      </c>
      <c r="M241" s="16" t="s">
        <v>31</v>
      </c>
      <c r="N241" s="23">
        <v>610</v>
      </c>
      <c r="O241" s="63" t="s">
        <v>473</v>
      </c>
      <c r="P241" s="47" t="str">
        <f t="shared" si="23"/>
        <v>25</v>
      </c>
      <c r="Q241" s="19" t="str">
        <f t="shared" si="24"/>
        <v>07</v>
      </c>
      <c r="R241" s="19" t="s">
        <v>27</v>
      </c>
      <c r="S241" s="19" t="s">
        <v>102</v>
      </c>
      <c r="T241" s="22" t="s">
        <v>31</v>
      </c>
      <c r="U241" s="26" t="s">
        <v>328</v>
      </c>
      <c r="V241" s="16" t="s">
        <v>93</v>
      </c>
      <c r="W241" s="42">
        <v>46003</v>
      </c>
      <c r="X241" s="16">
        <f t="shared" si="19"/>
        <v>15</v>
      </c>
      <c r="Y241" s="16"/>
      <c r="Z241" s="16"/>
      <c r="AA241" s="16"/>
      <c r="AB241" s="10" t="str">
        <f t="shared" si="20"/>
        <v>Closed in Dec</v>
      </c>
    </row>
    <row r="242" spans="1:28" x14ac:dyDescent="0.25">
      <c r="A242" s="14">
        <v>45988</v>
      </c>
      <c r="B242" s="15">
        <v>2025</v>
      </c>
      <c r="C242" s="16" t="s">
        <v>88</v>
      </c>
      <c r="D242" s="26" t="s">
        <v>315</v>
      </c>
      <c r="E242" s="16" t="s">
        <v>88</v>
      </c>
      <c r="F242" s="15" t="s">
        <v>60</v>
      </c>
      <c r="G242" s="41" t="s">
        <v>423</v>
      </c>
      <c r="H242" s="16">
        <v>8909173473</v>
      </c>
      <c r="I242" s="16"/>
      <c r="J242" s="20" t="s">
        <v>424</v>
      </c>
      <c r="K242" s="25" t="s">
        <v>144</v>
      </c>
      <c r="L242" s="25" t="s">
        <v>84</v>
      </c>
      <c r="M242" s="27" t="s">
        <v>29</v>
      </c>
      <c r="N242" s="23">
        <v>610</v>
      </c>
      <c r="O242" s="63" t="s">
        <v>474</v>
      </c>
      <c r="P242" s="47" t="str">
        <f t="shared" si="23"/>
        <v>25</v>
      </c>
      <c r="Q242" s="19" t="str">
        <f t="shared" si="24"/>
        <v>07</v>
      </c>
      <c r="R242" s="19" t="s">
        <v>27</v>
      </c>
      <c r="S242" s="19" t="s">
        <v>102</v>
      </c>
      <c r="T242" s="22" t="s">
        <v>31</v>
      </c>
      <c r="U242" s="16" t="s">
        <v>314</v>
      </c>
      <c r="V242" s="16" t="s">
        <v>93</v>
      </c>
      <c r="W242" s="42">
        <v>46003</v>
      </c>
      <c r="X242" s="16">
        <f t="shared" si="19"/>
        <v>15</v>
      </c>
      <c r="Y242" s="16"/>
      <c r="Z242" s="16"/>
      <c r="AA242" s="16"/>
      <c r="AB242" s="10" t="str">
        <f t="shared" si="20"/>
        <v>Closed in Dec</v>
      </c>
    </row>
    <row r="243" spans="1:28" x14ac:dyDescent="0.25">
      <c r="A243" s="14">
        <v>45988</v>
      </c>
      <c r="B243" s="15">
        <v>2025</v>
      </c>
      <c r="C243" s="16" t="s">
        <v>88</v>
      </c>
      <c r="D243" s="26" t="s">
        <v>315</v>
      </c>
      <c r="E243" s="16" t="s">
        <v>88</v>
      </c>
      <c r="F243" s="15" t="s">
        <v>60</v>
      </c>
      <c r="G243" s="41" t="s">
        <v>423</v>
      </c>
      <c r="H243" s="16">
        <v>8909173473</v>
      </c>
      <c r="I243" s="16"/>
      <c r="J243" s="20" t="s">
        <v>424</v>
      </c>
      <c r="K243" s="25" t="s">
        <v>144</v>
      </c>
      <c r="L243" s="25" t="s">
        <v>84</v>
      </c>
      <c r="M243" s="27" t="s">
        <v>29</v>
      </c>
      <c r="N243" s="23">
        <v>610</v>
      </c>
      <c r="O243" s="63" t="s">
        <v>475</v>
      </c>
      <c r="P243" s="47" t="str">
        <f t="shared" si="23"/>
        <v>25</v>
      </c>
      <c r="Q243" s="19" t="str">
        <f t="shared" si="24"/>
        <v>07</v>
      </c>
      <c r="R243" s="19" t="s">
        <v>27</v>
      </c>
      <c r="S243" s="19" t="s">
        <v>102</v>
      </c>
      <c r="T243" s="22" t="s">
        <v>31</v>
      </c>
      <c r="U243" s="16" t="s">
        <v>314</v>
      </c>
      <c r="V243" s="16" t="s">
        <v>93</v>
      </c>
      <c r="W243" s="42">
        <v>46003</v>
      </c>
      <c r="X243" s="16">
        <f t="shared" si="19"/>
        <v>15</v>
      </c>
      <c r="Y243" s="16"/>
      <c r="Z243" s="16"/>
      <c r="AA243" s="16"/>
      <c r="AB243" s="10" t="str">
        <f t="shared" si="20"/>
        <v>Closed in Dec</v>
      </c>
    </row>
    <row r="244" spans="1:28" x14ac:dyDescent="0.25">
      <c r="A244" s="14">
        <v>45988</v>
      </c>
      <c r="B244" s="15">
        <v>2025</v>
      </c>
      <c r="C244" s="16" t="s">
        <v>88</v>
      </c>
      <c r="D244" s="26" t="s">
        <v>315</v>
      </c>
      <c r="E244" s="16" t="s">
        <v>88</v>
      </c>
      <c r="F244" s="15" t="s">
        <v>60</v>
      </c>
      <c r="G244" s="41" t="s">
        <v>423</v>
      </c>
      <c r="H244" s="16">
        <v>8909173473</v>
      </c>
      <c r="I244" s="16"/>
      <c r="J244" s="20" t="s">
        <v>424</v>
      </c>
      <c r="K244" s="25" t="s">
        <v>144</v>
      </c>
      <c r="L244" s="25" t="s">
        <v>84</v>
      </c>
      <c r="M244" s="27" t="s">
        <v>29</v>
      </c>
      <c r="N244" s="23">
        <v>610</v>
      </c>
      <c r="O244" s="63" t="s">
        <v>476</v>
      </c>
      <c r="P244" s="47" t="str">
        <f t="shared" si="23"/>
        <v>25</v>
      </c>
      <c r="Q244" s="19" t="str">
        <f t="shared" si="24"/>
        <v>07</v>
      </c>
      <c r="R244" s="19" t="s">
        <v>27</v>
      </c>
      <c r="S244" s="19" t="s">
        <v>102</v>
      </c>
      <c r="T244" s="22" t="s">
        <v>31</v>
      </c>
      <c r="U244" s="16" t="s">
        <v>314</v>
      </c>
      <c r="V244" s="16" t="s">
        <v>93</v>
      </c>
      <c r="W244" s="42">
        <v>46003</v>
      </c>
      <c r="X244" s="16">
        <f t="shared" si="19"/>
        <v>15</v>
      </c>
      <c r="Y244" s="16"/>
      <c r="Z244" s="16"/>
      <c r="AA244" s="16"/>
      <c r="AB244" s="10" t="str">
        <f t="shared" si="20"/>
        <v>Closed in Dec</v>
      </c>
    </row>
    <row r="245" spans="1:28" x14ac:dyDescent="0.25">
      <c r="A245" s="14">
        <v>45988</v>
      </c>
      <c r="B245" s="15">
        <v>2025</v>
      </c>
      <c r="C245" s="16" t="s">
        <v>88</v>
      </c>
      <c r="D245" s="26" t="s">
        <v>315</v>
      </c>
      <c r="E245" s="16" t="s">
        <v>88</v>
      </c>
      <c r="F245" s="15" t="s">
        <v>60</v>
      </c>
      <c r="G245" s="41" t="s">
        <v>423</v>
      </c>
      <c r="H245" s="16">
        <v>8909173473</v>
      </c>
      <c r="I245" s="16"/>
      <c r="J245" s="20" t="s">
        <v>424</v>
      </c>
      <c r="K245" s="25" t="s">
        <v>144</v>
      </c>
      <c r="L245" s="25" t="s">
        <v>84</v>
      </c>
      <c r="M245" s="27" t="s">
        <v>29</v>
      </c>
      <c r="N245" s="23">
        <v>610</v>
      </c>
      <c r="O245" s="63" t="s">
        <v>477</v>
      </c>
      <c r="P245" s="47" t="str">
        <f t="shared" si="23"/>
        <v>25</v>
      </c>
      <c r="Q245" s="19" t="str">
        <f t="shared" si="24"/>
        <v>07</v>
      </c>
      <c r="R245" s="19" t="s">
        <v>27</v>
      </c>
      <c r="S245" s="19" t="s">
        <v>102</v>
      </c>
      <c r="T245" s="22" t="s">
        <v>31</v>
      </c>
      <c r="U245" s="16" t="s">
        <v>314</v>
      </c>
      <c r="V245" s="16" t="s">
        <v>93</v>
      </c>
      <c r="W245" s="42">
        <v>46003</v>
      </c>
      <c r="X245" s="16">
        <f t="shared" si="19"/>
        <v>15</v>
      </c>
      <c r="Y245" s="16"/>
      <c r="Z245" s="16"/>
      <c r="AA245" s="16"/>
      <c r="AB245" s="10" t="str">
        <f t="shared" si="20"/>
        <v>Closed in Dec</v>
      </c>
    </row>
    <row r="246" spans="1:28" x14ac:dyDescent="0.25">
      <c r="A246" s="14">
        <v>45988</v>
      </c>
      <c r="B246" s="15">
        <v>2025</v>
      </c>
      <c r="C246" s="16" t="s">
        <v>88</v>
      </c>
      <c r="D246" s="26" t="s">
        <v>315</v>
      </c>
      <c r="E246" s="16" t="s">
        <v>88</v>
      </c>
      <c r="F246" s="15" t="s">
        <v>60</v>
      </c>
      <c r="G246" s="41" t="s">
        <v>423</v>
      </c>
      <c r="H246" s="16">
        <v>8909173473</v>
      </c>
      <c r="I246" s="16"/>
      <c r="J246" s="20" t="s">
        <v>424</v>
      </c>
      <c r="K246" s="25" t="s">
        <v>144</v>
      </c>
      <c r="L246" s="25" t="s">
        <v>84</v>
      </c>
      <c r="M246" s="27" t="s">
        <v>29</v>
      </c>
      <c r="N246" s="23">
        <v>610</v>
      </c>
      <c r="O246" s="63" t="s">
        <v>478</v>
      </c>
      <c r="P246" s="47" t="str">
        <f t="shared" si="23"/>
        <v>25</v>
      </c>
      <c r="Q246" s="19" t="str">
        <f t="shared" si="24"/>
        <v>07</v>
      </c>
      <c r="R246" s="19" t="s">
        <v>27</v>
      </c>
      <c r="S246" s="19" t="s">
        <v>102</v>
      </c>
      <c r="T246" s="22" t="s">
        <v>31</v>
      </c>
      <c r="U246" s="16" t="s">
        <v>314</v>
      </c>
      <c r="V246" s="16" t="s">
        <v>93</v>
      </c>
      <c r="W246" s="42">
        <v>46003</v>
      </c>
      <c r="X246" s="16">
        <f t="shared" si="19"/>
        <v>15</v>
      </c>
      <c r="Y246" s="16"/>
      <c r="Z246" s="16"/>
      <c r="AA246" s="16"/>
      <c r="AB246" s="10" t="str">
        <f t="shared" si="20"/>
        <v>Closed in Dec</v>
      </c>
    </row>
    <row r="247" spans="1:28" x14ac:dyDescent="0.25">
      <c r="A247" s="14">
        <v>45988</v>
      </c>
      <c r="B247" s="15">
        <v>2025</v>
      </c>
      <c r="C247" s="16" t="s">
        <v>88</v>
      </c>
      <c r="D247" s="26" t="s">
        <v>315</v>
      </c>
      <c r="E247" s="16" t="s">
        <v>88</v>
      </c>
      <c r="F247" s="15" t="s">
        <v>60</v>
      </c>
      <c r="G247" s="41" t="s">
        <v>423</v>
      </c>
      <c r="H247" s="16">
        <v>8909173473</v>
      </c>
      <c r="I247" s="16"/>
      <c r="J247" s="20" t="s">
        <v>424</v>
      </c>
      <c r="K247" s="25" t="s">
        <v>144</v>
      </c>
      <c r="L247" s="25" t="s">
        <v>84</v>
      </c>
      <c r="M247" s="27" t="s">
        <v>29</v>
      </c>
      <c r="N247" s="23">
        <v>610</v>
      </c>
      <c r="O247" s="63" t="s">
        <v>479</v>
      </c>
      <c r="P247" s="47" t="str">
        <f t="shared" si="23"/>
        <v>25</v>
      </c>
      <c r="Q247" s="19" t="str">
        <f t="shared" si="24"/>
        <v>07</v>
      </c>
      <c r="R247" s="19" t="s">
        <v>27</v>
      </c>
      <c r="S247" s="19" t="s">
        <v>102</v>
      </c>
      <c r="T247" s="22" t="s">
        <v>31</v>
      </c>
      <c r="U247" s="16" t="s">
        <v>314</v>
      </c>
      <c r="V247" s="16" t="s">
        <v>93</v>
      </c>
      <c r="W247" s="42">
        <v>46003</v>
      </c>
      <c r="X247" s="16">
        <f t="shared" si="19"/>
        <v>15</v>
      </c>
      <c r="Y247" s="16"/>
      <c r="Z247" s="16"/>
      <c r="AA247" s="16"/>
      <c r="AB247" s="10" t="str">
        <f t="shared" si="20"/>
        <v>Closed in Dec</v>
      </c>
    </row>
    <row r="248" spans="1:28" x14ac:dyDescent="0.25">
      <c r="A248" s="14">
        <v>45988</v>
      </c>
      <c r="B248" s="15">
        <v>2025</v>
      </c>
      <c r="C248" s="16" t="s">
        <v>88</v>
      </c>
      <c r="D248" s="26" t="s">
        <v>315</v>
      </c>
      <c r="E248" s="16" t="s">
        <v>88</v>
      </c>
      <c r="F248" s="15" t="s">
        <v>60</v>
      </c>
      <c r="G248" s="41" t="s">
        <v>423</v>
      </c>
      <c r="H248" s="16">
        <v>8909173473</v>
      </c>
      <c r="I248" s="16"/>
      <c r="J248" s="20" t="s">
        <v>424</v>
      </c>
      <c r="K248" s="25" t="s">
        <v>144</v>
      </c>
      <c r="L248" s="25" t="s">
        <v>84</v>
      </c>
      <c r="M248" s="27" t="s">
        <v>29</v>
      </c>
      <c r="N248" s="23">
        <v>610</v>
      </c>
      <c r="O248" s="63" t="s">
        <v>480</v>
      </c>
      <c r="P248" s="47" t="str">
        <f t="shared" si="23"/>
        <v>25</v>
      </c>
      <c r="Q248" s="19" t="str">
        <f t="shared" si="24"/>
        <v>07</v>
      </c>
      <c r="R248" s="19" t="s">
        <v>27</v>
      </c>
      <c r="S248" s="19" t="s">
        <v>102</v>
      </c>
      <c r="T248" s="22" t="s">
        <v>31</v>
      </c>
      <c r="U248" s="16" t="s">
        <v>314</v>
      </c>
      <c r="V248" s="16" t="s">
        <v>93</v>
      </c>
      <c r="W248" s="42">
        <v>46003</v>
      </c>
      <c r="X248" s="16">
        <f t="shared" si="19"/>
        <v>15</v>
      </c>
      <c r="Y248" s="16"/>
      <c r="Z248" s="16"/>
      <c r="AA248" s="16"/>
      <c r="AB248" s="10" t="str">
        <f t="shared" si="20"/>
        <v>Closed in Dec</v>
      </c>
    </row>
    <row r="249" spans="1:28" x14ac:dyDescent="0.25">
      <c r="A249" s="14">
        <v>45988</v>
      </c>
      <c r="B249" s="15">
        <v>2025</v>
      </c>
      <c r="C249" s="16" t="s">
        <v>88</v>
      </c>
      <c r="D249" s="26" t="s">
        <v>315</v>
      </c>
      <c r="E249" s="16" t="s">
        <v>88</v>
      </c>
      <c r="F249" s="15" t="s">
        <v>60</v>
      </c>
      <c r="G249" s="41" t="s">
        <v>423</v>
      </c>
      <c r="H249" s="16">
        <v>8909173473</v>
      </c>
      <c r="I249" s="16"/>
      <c r="J249" s="20" t="s">
        <v>424</v>
      </c>
      <c r="K249" s="25" t="s">
        <v>144</v>
      </c>
      <c r="L249" s="25" t="s">
        <v>84</v>
      </c>
      <c r="M249" s="27" t="s">
        <v>29</v>
      </c>
      <c r="N249" s="23">
        <v>610</v>
      </c>
      <c r="O249" s="63" t="s">
        <v>481</v>
      </c>
      <c r="P249" s="47" t="str">
        <f t="shared" si="23"/>
        <v>25</v>
      </c>
      <c r="Q249" s="19" t="str">
        <f t="shared" si="24"/>
        <v>07</v>
      </c>
      <c r="R249" s="19" t="s">
        <v>27</v>
      </c>
      <c r="S249" s="19" t="s">
        <v>102</v>
      </c>
      <c r="T249" s="22" t="s">
        <v>31</v>
      </c>
      <c r="U249" s="16" t="s">
        <v>314</v>
      </c>
      <c r="V249" s="16" t="s">
        <v>93</v>
      </c>
      <c r="W249" s="42">
        <v>46003</v>
      </c>
      <c r="X249" s="16">
        <f t="shared" si="19"/>
        <v>15</v>
      </c>
      <c r="Y249" s="16"/>
      <c r="Z249" s="16"/>
      <c r="AA249" s="16"/>
      <c r="AB249" s="10" t="str">
        <f t="shared" si="20"/>
        <v>Closed in Dec</v>
      </c>
    </row>
    <row r="250" spans="1:28" x14ac:dyDescent="0.25">
      <c r="A250" s="14">
        <v>45988</v>
      </c>
      <c r="B250" s="15">
        <v>2025</v>
      </c>
      <c r="C250" s="16" t="s">
        <v>88</v>
      </c>
      <c r="D250" s="26" t="s">
        <v>315</v>
      </c>
      <c r="E250" s="16" t="s">
        <v>88</v>
      </c>
      <c r="F250" s="15" t="s">
        <v>60</v>
      </c>
      <c r="G250" s="41" t="s">
        <v>423</v>
      </c>
      <c r="H250" s="16">
        <v>8909173473</v>
      </c>
      <c r="I250" s="16"/>
      <c r="J250" s="20" t="s">
        <v>424</v>
      </c>
      <c r="K250" s="25" t="s">
        <v>144</v>
      </c>
      <c r="L250" s="25" t="s">
        <v>84</v>
      </c>
      <c r="M250" s="27" t="s">
        <v>29</v>
      </c>
      <c r="N250" s="23">
        <v>610</v>
      </c>
      <c r="O250" s="63" t="s">
        <v>482</v>
      </c>
      <c r="P250" s="47" t="str">
        <f t="shared" si="23"/>
        <v>25</v>
      </c>
      <c r="Q250" s="19" t="str">
        <f t="shared" si="24"/>
        <v>07</v>
      </c>
      <c r="R250" s="19" t="s">
        <v>27</v>
      </c>
      <c r="S250" s="19" t="s">
        <v>102</v>
      </c>
      <c r="T250" s="22" t="s">
        <v>31</v>
      </c>
      <c r="U250" s="16" t="s">
        <v>314</v>
      </c>
      <c r="V250" s="16" t="s">
        <v>93</v>
      </c>
      <c r="W250" s="42">
        <v>46003</v>
      </c>
      <c r="X250" s="16">
        <f t="shared" si="19"/>
        <v>15</v>
      </c>
      <c r="Y250" s="16"/>
      <c r="Z250" s="16"/>
      <c r="AA250" s="16"/>
      <c r="AB250" s="10" t="str">
        <f t="shared" si="20"/>
        <v>Closed in Dec</v>
      </c>
    </row>
    <row r="251" spans="1:28" x14ac:dyDescent="0.25">
      <c r="A251" s="14">
        <v>45988</v>
      </c>
      <c r="B251" s="15">
        <v>2025</v>
      </c>
      <c r="C251" s="16" t="s">
        <v>88</v>
      </c>
      <c r="D251" s="26" t="s">
        <v>315</v>
      </c>
      <c r="E251" s="16" t="s">
        <v>88</v>
      </c>
      <c r="F251" s="15" t="s">
        <v>60</v>
      </c>
      <c r="G251" s="41" t="s">
        <v>423</v>
      </c>
      <c r="H251" s="16">
        <v>8909173473</v>
      </c>
      <c r="I251" s="16"/>
      <c r="J251" s="20" t="s">
        <v>424</v>
      </c>
      <c r="K251" s="25" t="s">
        <v>144</v>
      </c>
      <c r="L251" s="25" t="s">
        <v>84</v>
      </c>
      <c r="M251" s="27" t="s">
        <v>29</v>
      </c>
      <c r="N251" s="23">
        <v>610</v>
      </c>
      <c r="O251" s="63" t="s">
        <v>483</v>
      </c>
      <c r="P251" s="47" t="str">
        <f t="shared" si="23"/>
        <v>25</v>
      </c>
      <c r="Q251" s="19" t="str">
        <f t="shared" si="24"/>
        <v>06</v>
      </c>
      <c r="R251" s="19" t="s">
        <v>27</v>
      </c>
      <c r="S251" s="19" t="s">
        <v>102</v>
      </c>
      <c r="T251" s="22" t="s">
        <v>31</v>
      </c>
      <c r="U251" s="16" t="s">
        <v>314</v>
      </c>
      <c r="V251" s="16" t="s">
        <v>93</v>
      </c>
      <c r="W251" s="42">
        <v>46004</v>
      </c>
      <c r="X251" s="16">
        <f t="shared" si="19"/>
        <v>16</v>
      </c>
      <c r="Y251" s="16"/>
      <c r="Z251" s="16"/>
      <c r="AA251" s="16"/>
      <c r="AB251" s="10" t="str">
        <f t="shared" si="20"/>
        <v>Closed in Dec</v>
      </c>
    </row>
    <row r="252" spans="1:28" x14ac:dyDescent="0.25">
      <c r="A252" s="14">
        <v>45988</v>
      </c>
      <c r="B252" s="15">
        <v>2025</v>
      </c>
      <c r="C252" s="16" t="s">
        <v>88</v>
      </c>
      <c r="D252" s="26" t="s">
        <v>315</v>
      </c>
      <c r="E252" s="16" t="s">
        <v>88</v>
      </c>
      <c r="F252" s="15" t="s">
        <v>60</v>
      </c>
      <c r="G252" s="41" t="s">
        <v>423</v>
      </c>
      <c r="H252" s="16">
        <v>8909173473</v>
      </c>
      <c r="I252" s="16"/>
      <c r="J252" s="20" t="s">
        <v>424</v>
      </c>
      <c r="K252" s="25" t="s">
        <v>144</v>
      </c>
      <c r="L252" s="25" t="s">
        <v>84</v>
      </c>
      <c r="M252" s="27" t="s">
        <v>29</v>
      </c>
      <c r="N252" s="23">
        <v>610</v>
      </c>
      <c r="O252" s="63" t="s">
        <v>484</v>
      </c>
      <c r="P252" s="47" t="str">
        <f t="shared" si="23"/>
        <v>25</v>
      </c>
      <c r="Q252" s="19" t="str">
        <f t="shared" si="24"/>
        <v>06</v>
      </c>
      <c r="R252" s="19" t="s">
        <v>27</v>
      </c>
      <c r="S252" s="19" t="s">
        <v>102</v>
      </c>
      <c r="T252" s="22" t="s">
        <v>31</v>
      </c>
      <c r="U252" s="27" t="s">
        <v>338</v>
      </c>
      <c r="V252" s="16" t="s">
        <v>93</v>
      </c>
      <c r="W252" s="42">
        <v>46004</v>
      </c>
      <c r="X252" s="16">
        <f t="shared" si="19"/>
        <v>16</v>
      </c>
      <c r="Y252" s="16"/>
      <c r="Z252" s="16"/>
      <c r="AA252" s="16"/>
      <c r="AB252" s="10" t="str">
        <f t="shared" si="20"/>
        <v>Closed in Dec</v>
      </c>
    </row>
    <row r="253" spans="1:28" x14ac:dyDescent="0.25">
      <c r="A253" s="14">
        <v>45988</v>
      </c>
      <c r="B253" s="15">
        <v>2025</v>
      </c>
      <c r="C253" s="16" t="s">
        <v>88</v>
      </c>
      <c r="D253" s="26" t="s">
        <v>315</v>
      </c>
      <c r="E253" s="16" t="s">
        <v>88</v>
      </c>
      <c r="F253" s="15" t="s">
        <v>60</v>
      </c>
      <c r="G253" s="41" t="s">
        <v>423</v>
      </c>
      <c r="H253" s="16">
        <v>8909173473</v>
      </c>
      <c r="I253" s="16"/>
      <c r="J253" s="20" t="s">
        <v>424</v>
      </c>
      <c r="K253" s="25" t="s">
        <v>144</v>
      </c>
      <c r="L253" s="25" t="s">
        <v>84</v>
      </c>
      <c r="M253" s="27" t="s">
        <v>29</v>
      </c>
      <c r="N253" s="23">
        <v>610</v>
      </c>
      <c r="O253" s="63" t="s">
        <v>485</v>
      </c>
      <c r="P253" s="47" t="str">
        <f t="shared" si="23"/>
        <v>25</v>
      </c>
      <c r="Q253" s="19" t="str">
        <f t="shared" si="24"/>
        <v>06</v>
      </c>
      <c r="R253" s="19" t="s">
        <v>27</v>
      </c>
      <c r="S253" s="19" t="s">
        <v>102</v>
      </c>
      <c r="T253" s="22" t="s">
        <v>31</v>
      </c>
      <c r="U253" s="27" t="s">
        <v>338</v>
      </c>
      <c r="V253" s="16" t="s">
        <v>93</v>
      </c>
      <c r="W253" s="42">
        <v>46004</v>
      </c>
      <c r="X253" s="16">
        <f t="shared" si="19"/>
        <v>16</v>
      </c>
      <c r="Y253" s="16"/>
      <c r="Z253" s="16"/>
      <c r="AA253" s="16"/>
      <c r="AB253" s="10" t="str">
        <f t="shared" si="20"/>
        <v>Closed in Dec</v>
      </c>
    </row>
    <row r="254" spans="1:28" x14ac:dyDescent="0.25">
      <c r="A254" s="14">
        <v>45988</v>
      </c>
      <c r="B254" s="15">
        <v>2025</v>
      </c>
      <c r="C254" s="16" t="s">
        <v>88</v>
      </c>
      <c r="D254" s="26" t="s">
        <v>315</v>
      </c>
      <c r="E254" s="16" t="s">
        <v>88</v>
      </c>
      <c r="F254" s="15" t="s">
        <v>60</v>
      </c>
      <c r="G254" s="41" t="s">
        <v>423</v>
      </c>
      <c r="H254" s="16">
        <v>8909173473</v>
      </c>
      <c r="I254" s="16"/>
      <c r="J254" s="20" t="s">
        <v>424</v>
      </c>
      <c r="K254" s="25" t="s">
        <v>144</v>
      </c>
      <c r="L254" s="25" t="s">
        <v>84</v>
      </c>
      <c r="M254" s="27" t="s">
        <v>29</v>
      </c>
      <c r="N254" s="23">
        <v>610</v>
      </c>
      <c r="O254" s="63" t="s">
        <v>486</v>
      </c>
      <c r="P254" s="47" t="str">
        <f t="shared" si="23"/>
        <v>25</v>
      </c>
      <c r="Q254" s="19" t="str">
        <f t="shared" si="24"/>
        <v>06</v>
      </c>
      <c r="R254" s="19" t="s">
        <v>27</v>
      </c>
      <c r="S254" s="19" t="s">
        <v>102</v>
      </c>
      <c r="T254" s="22" t="s">
        <v>31</v>
      </c>
      <c r="U254" s="16" t="s">
        <v>314</v>
      </c>
      <c r="V254" s="16" t="s">
        <v>93</v>
      </c>
      <c r="W254" s="42">
        <v>46004</v>
      </c>
      <c r="X254" s="16">
        <f t="shared" si="19"/>
        <v>16</v>
      </c>
      <c r="Y254" s="16"/>
      <c r="Z254" s="16"/>
      <c r="AA254" s="16"/>
      <c r="AB254" s="10" t="str">
        <f t="shared" si="20"/>
        <v>Closed in Dec</v>
      </c>
    </row>
    <row r="255" spans="1:28" x14ac:dyDescent="0.25">
      <c r="A255" s="14">
        <v>45988</v>
      </c>
      <c r="B255" s="15">
        <v>2025</v>
      </c>
      <c r="C255" s="16" t="s">
        <v>88</v>
      </c>
      <c r="D255" s="26" t="s">
        <v>315</v>
      </c>
      <c r="E255" s="16" t="s">
        <v>88</v>
      </c>
      <c r="F255" s="15" t="s">
        <v>60</v>
      </c>
      <c r="G255" s="41" t="s">
        <v>423</v>
      </c>
      <c r="H255" s="16">
        <v>8909173473</v>
      </c>
      <c r="I255" s="16"/>
      <c r="J255" s="20" t="s">
        <v>424</v>
      </c>
      <c r="K255" s="25" t="s">
        <v>144</v>
      </c>
      <c r="L255" s="25" t="s">
        <v>84</v>
      </c>
      <c r="M255" s="27" t="s">
        <v>29</v>
      </c>
      <c r="N255" s="23">
        <v>610</v>
      </c>
      <c r="O255" s="63" t="s">
        <v>487</v>
      </c>
      <c r="P255" s="47" t="str">
        <f t="shared" si="23"/>
        <v>25</v>
      </c>
      <c r="Q255" s="19" t="str">
        <f t="shared" si="24"/>
        <v>06</v>
      </c>
      <c r="R255" s="19" t="s">
        <v>27</v>
      </c>
      <c r="S255" s="19" t="s">
        <v>102</v>
      </c>
      <c r="T255" s="22" t="s">
        <v>31</v>
      </c>
      <c r="U255" s="16" t="s">
        <v>314</v>
      </c>
      <c r="V255" s="16" t="s">
        <v>93</v>
      </c>
      <c r="W255" s="42">
        <v>46004</v>
      </c>
      <c r="X255" s="16">
        <f t="shared" si="19"/>
        <v>16</v>
      </c>
      <c r="Y255" s="16"/>
      <c r="Z255" s="16"/>
      <c r="AA255" s="16"/>
      <c r="AB255" s="10" t="str">
        <f t="shared" si="20"/>
        <v>Closed in Dec</v>
      </c>
    </row>
    <row r="256" spans="1:28" x14ac:dyDescent="0.25">
      <c r="A256" s="14">
        <v>45988</v>
      </c>
      <c r="B256" s="15">
        <v>2025</v>
      </c>
      <c r="C256" s="16" t="s">
        <v>88</v>
      </c>
      <c r="D256" s="26" t="s">
        <v>315</v>
      </c>
      <c r="E256" s="16" t="s">
        <v>88</v>
      </c>
      <c r="F256" s="15" t="s">
        <v>60</v>
      </c>
      <c r="G256" s="41" t="s">
        <v>423</v>
      </c>
      <c r="H256" s="16">
        <v>8909173473</v>
      </c>
      <c r="I256" s="16"/>
      <c r="J256" s="20" t="s">
        <v>424</v>
      </c>
      <c r="K256" s="25" t="s">
        <v>144</v>
      </c>
      <c r="L256" s="25" t="s">
        <v>84</v>
      </c>
      <c r="M256" s="27" t="s">
        <v>29</v>
      </c>
      <c r="N256" s="23">
        <v>610</v>
      </c>
      <c r="O256" s="63" t="s">
        <v>488</v>
      </c>
      <c r="P256" s="47" t="str">
        <f t="shared" si="23"/>
        <v>25</v>
      </c>
      <c r="Q256" s="19" t="str">
        <f t="shared" si="24"/>
        <v>06</v>
      </c>
      <c r="R256" s="19" t="s">
        <v>27</v>
      </c>
      <c r="S256" s="19" t="s">
        <v>102</v>
      </c>
      <c r="T256" s="22" t="s">
        <v>31</v>
      </c>
      <c r="U256" s="16" t="s">
        <v>314</v>
      </c>
      <c r="V256" s="16" t="s">
        <v>93</v>
      </c>
      <c r="W256" s="42">
        <v>46004</v>
      </c>
      <c r="X256" s="16">
        <f t="shared" si="19"/>
        <v>16</v>
      </c>
      <c r="Y256" s="16"/>
      <c r="Z256" s="16"/>
      <c r="AA256" s="16"/>
      <c r="AB256" s="10" t="str">
        <f t="shared" si="20"/>
        <v>Closed in Dec</v>
      </c>
    </row>
    <row r="257" spans="1:28" x14ac:dyDescent="0.25">
      <c r="A257" s="14">
        <v>45988</v>
      </c>
      <c r="B257" s="15">
        <v>2025</v>
      </c>
      <c r="C257" s="16" t="s">
        <v>88</v>
      </c>
      <c r="D257" s="26" t="s">
        <v>315</v>
      </c>
      <c r="E257" s="16" t="s">
        <v>88</v>
      </c>
      <c r="F257" s="15" t="s">
        <v>60</v>
      </c>
      <c r="G257" s="41" t="s">
        <v>423</v>
      </c>
      <c r="H257" s="16">
        <v>8909173473</v>
      </c>
      <c r="I257" s="16"/>
      <c r="J257" s="20" t="s">
        <v>424</v>
      </c>
      <c r="K257" s="25" t="s">
        <v>144</v>
      </c>
      <c r="L257" s="25" t="s">
        <v>84</v>
      </c>
      <c r="M257" s="27" t="s">
        <v>29</v>
      </c>
      <c r="N257" s="23">
        <v>610</v>
      </c>
      <c r="O257" s="63" t="s">
        <v>489</v>
      </c>
      <c r="P257" s="47" t="str">
        <f t="shared" si="23"/>
        <v>25</v>
      </c>
      <c r="Q257" s="19" t="str">
        <f t="shared" si="24"/>
        <v>06</v>
      </c>
      <c r="R257" s="19" t="s">
        <v>27</v>
      </c>
      <c r="S257" s="19" t="s">
        <v>102</v>
      </c>
      <c r="T257" s="22" t="s">
        <v>31</v>
      </c>
      <c r="U257" s="16" t="s">
        <v>314</v>
      </c>
      <c r="V257" s="16" t="s">
        <v>93</v>
      </c>
      <c r="W257" s="42">
        <v>46004</v>
      </c>
      <c r="X257" s="16">
        <f t="shared" si="19"/>
        <v>16</v>
      </c>
      <c r="Y257" s="16"/>
      <c r="Z257" s="16"/>
      <c r="AA257" s="16"/>
      <c r="AB257" s="10" t="str">
        <f t="shared" si="20"/>
        <v>Closed in Dec</v>
      </c>
    </row>
    <row r="258" spans="1:28" x14ac:dyDescent="0.25">
      <c r="A258" s="14">
        <v>45988</v>
      </c>
      <c r="B258" s="15">
        <v>2025</v>
      </c>
      <c r="C258" s="16" t="s">
        <v>88</v>
      </c>
      <c r="D258" s="26" t="s">
        <v>315</v>
      </c>
      <c r="E258" s="16" t="s">
        <v>88</v>
      </c>
      <c r="F258" s="15" t="s">
        <v>60</v>
      </c>
      <c r="G258" s="41" t="s">
        <v>423</v>
      </c>
      <c r="H258" s="16">
        <v>8909173473</v>
      </c>
      <c r="I258" s="16"/>
      <c r="J258" s="20" t="s">
        <v>424</v>
      </c>
      <c r="K258" s="25" t="s">
        <v>144</v>
      </c>
      <c r="L258" s="25" t="s">
        <v>84</v>
      </c>
      <c r="M258" s="27" t="s">
        <v>29</v>
      </c>
      <c r="N258" s="23">
        <v>610</v>
      </c>
      <c r="O258" s="63" t="s">
        <v>490</v>
      </c>
      <c r="P258" s="47" t="str">
        <f t="shared" si="23"/>
        <v>25</v>
      </c>
      <c r="Q258" s="19" t="str">
        <f t="shared" si="24"/>
        <v>06</v>
      </c>
      <c r="R258" s="19" t="s">
        <v>27</v>
      </c>
      <c r="S258" s="19" t="s">
        <v>102</v>
      </c>
      <c r="T258" s="22" t="s">
        <v>31</v>
      </c>
      <c r="U258" s="16" t="s">
        <v>314</v>
      </c>
      <c r="V258" s="16" t="s">
        <v>93</v>
      </c>
      <c r="W258" s="42">
        <v>46004</v>
      </c>
      <c r="X258" s="16">
        <f t="shared" ref="X258:X321" si="25">W258-A258</f>
        <v>16</v>
      </c>
      <c r="Y258" s="16"/>
      <c r="Z258" s="16"/>
      <c r="AA258" s="16"/>
      <c r="AB258" s="10" t="str">
        <f t="shared" ref="AB258:AB321" si="26">IF(AND(F258="Closed",W258&gt;=DATE(2025,12,1),W258&lt;=DATE(2025,12,31)),"Closed in Dec","Other")</f>
        <v>Closed in Dec</v>
      </c>
    </row>
    <row r="259" spans="1:28" x14ac:dyDescent="0.25">
      <c r="A259" s="14">
        <v>45988</v>
      </c>
      <c r="B259" s="15">
        <v>2025</v>
      </c>
      <c r="C259" s="16" t="s">
        <v>88</v>
      </c>
      <c r="D259" s="26" t="s">
        <v>315</v>
      </c>
      <c r="E259" s="16" t="s">
        <v>88</v>
      </c>
      <c r="F259" s="15" t="s">
        <v>60</v>
      </c>
      <c r="G259" s="41" t="s">
        <v>423</v>
      </c>
      <c r="H259" s="16">
        <v>8909173473</v>
      </c>
      <c r="I259" s="16"/>
      <c r="J259" s="20" t="s">
        <v>424</v>
      </c>
      <c r="K259" s="25" t="s">
        <v>144</v>
      </c>
      <c r="L259" s="25" t="s">
        <v>84</v>
      </c>
      <c r="M259" s="27" t="s">
        <v>29</v>
      </c>
      <c r="N259" s="23">
        <v>610</v>
      </c>
      <c r="O259" s="63" t="s">
        <v>491</v>
      </c>
      <c r="P259" s="47" t="str">
        <f t="shared" si="23"/>
        <v>25</v>
      </c>
      <c r="Q259" s="19" t="str">
        <f t="shared" si="24"/>
        <v>06</v>
      </c>
      <c r="R259" s="19" t="s">
        <v>27</v>
      </c>
      <c r="S259" s="19" t="s">
        <v>102</v>
      </c>
      <c r="T259" s="22" t="s">
        <v>31</v>
      </c>
      <c r="U259" s="16" t="s">
        <v>314</v>
      </c>
      <c r="V259" s="16" t="s">
        <v>93</v>
      </c>
      <c r="W259" s="42">
        <v>46004</v>
      </c>
      <c r="X259" s="16">
        <f t="shared" si="25"/>
        <v>16</v>
      </c>
      <c r="Y259" s="16"/>
      <c r="Z259" s="16"/>
      <c r="AA259" s="16"/>
      <c r="AB259" s="10" t="str">
        <f t="shared" si="26"/>
        <v>Closed in Dec</v>
      </c>
    </row>
    <row r="260" spans="1:28" x14ac:dyDescent="0.25">
      <c r="A260" s="14">
        <v>45988</v>
      </c>
      <c r="B260" s="15">
        <v>2025</v>
      </c>
      <c r="C260" s="16" t="s">
        <v>88</v>
      </c>
      <c r="D260" s="26" t="s">
        <v>315</v>
      </c>
      <c r="E260" s="16" t="s">
        <v>88</v>
      </c>
      <c r="F260" s="15" t="s">
        <v>60</v>
      </c>
      <c r="G260" s="41" t="s">
        <v>423</v>
      </c>
      <c r="H260" s="16">
        <v>8909173473</v>
      </c>
      <c r="I260" s="16"/>
      <c r="J260" s="20" t="s">
        <v>424</v>
      </c>
      <c r="K260" s="25" t="s">
        <v>144</v>
      </c>
      <c r="L260" s="25" t="s">
        <v>84</v>
      </c>
      <c r="M260" s="27" t="s">
        <v>29</v>
      </c>
      <c r="N260" s="23">
        <v>610</v>
      </c>
      <c r="O260" s="63" t="s">
        <v>492</v>
      </c>
      <c r="P260" s="47" t="str">
        <f t="shared" si="23"/>
        <v>25</v>
      </c>
      <c r="Q260" s="19" t="str">
        <f t="shared" si="24"/>
        <v>06</v>
      </c>
      <c r="R260" s="19" t="s">
        <v>27</v>
      </c>
      <c r="S260" s="19" t="s">
        <v>102</v>
      </c>
      <c r="T260" s="22" t="s">
        <v>31</v>
      </c>
      <c r="U260" s="16" t="s">
        <v>314</v>
      </c>
      <c r="V260" s="16" t="s">
        <v>93</v>
      </c>
      <c r="W260" s="42">
        <v>46004</v>
      </c>
      <c r="X260" s="16">
        <f t="shared" si="25"/>
        <v>16</v>
      </c>
      <c r="Y260" s="16"/>
      <c r="Z260" s="16"/>
      <c r="AA260" s="16"/>
      <c r="AB260" s="10" t="str">
        <f t="shared" si="26"/>
        <v>Closed in Dec</v>
      </c>
    </row>
    <row r="261" spans="1:28" x14ac:dyDescent="0.25">
      <c r="A261" s="14">
        <v>45988</v>
      </c>
      <c r="B261" s="15">
        <v>2025</v>
      </c>
      <c r="C261" s="16" t="s">
        <v>88</v>
      </c>
      <c r="D261" s="26" t="s">
        <v>315</v>
      </c>
      <c r="E261" s="16" t="s">
        <v>88</v>
      </c>
      <c r="F261" s="15" t="s">
        <v>60</v>
      </c>
      <c r="G261" s="41" t="s">
        <v>423</v>
      </c>
      <c r="H261" s="16">
        <v>8909173473</v>
      </c>
      <c r="I261" s="16"/>
      <c r="J261" s="20" t="s">
        <v>424</v>
      </c>
      <c r="K261" s="25" t="s">
        <v>144</v>
      </c>
      <c r="L261" s="25" t="s">
        <v>84</v>
      </c>
      <c r="M261" s="27" t="s">
        <v>29</v>
      </c>
      <c r="N261" s="23">
        <v>610</v>
      </c>
      <c r="O261" s="63" t="s">
        <v>493</v>
      </c>
      <c r="P261" s="47" t="str">
        <f t="shared" si="23"/>
        <v>25</v>
      </c>
      <c r="Q261" s="19" t="str">
        <f t="shared" si="24"/>
        <v>06</v>
      </c>
      <c r="R261" s="19" t="s">
        <v>27</v>
      </c>
      <c r="S261" s="19" t="s">
        <v>102</v>
      </c>
      <c r="T261" s="22" t="s">
        <v>31</v>
      </c>
      <c r="U261" s="16" t="s">
        <v>314</v>
      </c>
      <c r="V261" s="16" t="s">
        <v>93</v>
      </c>
      <c r="W261" s="42">
        <v>46004</v>
      </c>
      <c r="X261" s="16">
        <f t="shared" si="25"/>
        <v>16</v>
      </c>
      <c r="Y261" s="16"/>
      <c r="Z261" s="16"/>
      <c r="AA261" s="16"/>
      <c r="AB261" s="10" t="str">
        <f t="shared" si="26"/>
        <v>Closed in Dec</v>
      </c>
    </row>
    <row r="262" spans="1:28" x14ac:dyDescent="0.25">
      <c r="A262" s="14">
        <v>45988</v>
      </c>
      <c r="B262" s="15">
        <v>2025</v>
      </c>
      <c r="C262" s="16" t="s">
        <v>88</v>
      </c>
      <c r="D262" s="26" t="s">
        <v>315</v>
      </c>
      <c r="E262" s="16" t="s">
        <v>88</v>
      </c>
      <c r="F262" s="15" t="s">
        <v>60</v>
      </c>
      <c r="G262" s="41" t="s">
        <v>423</v>
      </c>
      <c r="H262" s="16">
        <v>8909173473</v>
      </c>
      <c r="I262" s="16"/>
      <c r="J262" s="20" t="s">
        <v>424</v>
      </c>
      <c r="K262" s="25" t="s">
        <v>144</v>
      </c>
      <c r="L262" s="25" t="s">
        <v>84</v>
      </c>
      <c r="M262" s="27" t="s">
        <v>29</v>
      </c>
      <c r="N262" s="23">
        <v>610</v>
      </c>
      <c r="O262" s="63" t="s">
        <v>494</v>
      </c>
      <c r="P262" s="47" t="str">
        <f t="shared" si="23"/>
        <v>25</v>
      </c>
      <c r="Q262" s="19" t="str">
        <f t="shared" si="24"/>
        <v>06</v>
      </c>
      <c r="R262" s="19" t="s">
        <v>27</v>
      </c>
      <c r="S262" s="19" t="s">
        <v>102</v>
      </c>
      <c r="T262" s="22" t="s">
        <v>31</v>
      </c>
      <c r="U262" s="16" t="s">
        <v>314</v>
      </c>
      <c r="V262" s="16" t="s">
        <v>93</v>
      </c>
      <c r="W262" s="42">
        <v>46004</v>
      </c>
      <c r="X262" s="16">
        <f t="shared" si="25"/>
        <v>16</v>
      </c>
      <c r="Y262" s="16"/>
      <c r="Z262" s="16"/>
      <c r="AA262" s="16"/>
      <c r="AB262" s="10" t="str">
        <f t="shared" si="26"/>
        <v>Closed in Dec</v>
      </c>
    </row>
    <row r="263" spans="1:28" x14ac:dyDescent="0.25">
      <c r="A263" s="14">
        <v>45988</v>
      </c>
      <c r="B263" s="15">
        <v>2025</v>
      </c>
      <c r="C263" s="16" t="s">
        <v>88</v>
      </c>
      <c r="D263" s="26" t="s">
        <v>315</v>
      </c>
      <c r="E263" s="16" t="s">
        <v>88</v>
      </c>
      <c r="F263" s="15" t="s">
        <v>60</v>
      </c>
      <c r="G263" s="41" t="s">
        <v>423</v>
      </c>
      <c r="H263" s="16">
        <v>8909173473</v>
      </c>
      <c r="I263" s="16"/>
      <c r="J263" s="20" t="s">
        <v>424</v>
      </c>
      <c r="K263" s="25" t="s">
        <v>144</v>
      </c>
      <c r="L263" s="25" t="s">
        <v>84</v>
      </c>
      <c r="M263" s="27" t="s">
        <v>29</v>
      </c>
      <c r="N263" s="23">
        <v>610</v>
      </c>
      <c r="O263" s="63" t="s">
        <v>495</v>
      </c>
      <c r="P263" s="47" t="str">
        <f t="shared" si="23"/>
        <v>25</v>
      </c>
      <c r="Q263" s="19" t="str">
        <f t="shared" si="24"/>
        <v>06</v>
      </c>
      <c r="R263" s="19" t="s">
        <v>27</v>
      </c>
      <c r="S263" s="19" t="s">
        <v>102</v>
      </c>
      <c r="T263" s="22" t="s">
        <v>31</v>
      </c>
      <c r="U263" s="16" t="s">
        <v>314</v>
      </c>
      <c r="V263" s="16" t="s">
        <v>93</v>
      </c>
      <c r="W263" s="42">
        <v>46004</v>
      </c>
      <c r="X263" s="16">
        <f t="shared" si="25"/>
        <v>16</v>
      </c>
      <c r="Y263" s="16"/>
      <c r="Z263" s="16"/>
      <c r="AA263" s="16"/>
      <c r="AB263" s="10" t="str">
        <f t="shared" si="26"/>
        <v>Closed in Dec</v>
      </c>
    </row>
    <row r="264" spans="1:28" x14ac:dyDescent="0.25">
      <c r="A264" s="14">
        <v>45988</v>
      </c>
      <c r="B264" s="15">
        <v>2025</v>
      </c>
      <c r="C264" s="16" t="s">
        <v>88</v>
      </c>
      <c r="D264" s="26" t="s">
        <v>315</v>
      </c>
      <c r="E264" s="16" t="s">
        <v>88</v>
      </c>
      <c r="F264" s="15" t="s">
        <v>60</v>
      </c>
      <c r="G264" s="41" t="s">
        <v>423</v>
      </c>
      <c r="H264" s="16">
        <v>8909173473</v>
      </c>
      <c r="I264" s="16"/>
      <c r="J264" s="20" t="s">
        <v>424</v>
      </c>
      <c r="K264" s="25" t="s">
        <v>144</v>
      </c>
      <c r="L264" s="25" t="s">
        <v>84</v>
      </c>
      <c r="M264" s="27" t="s">
        <v>29</v>
      </c>
      <c r="N264" s="23">
        <v>610</v>
      </c>
      <c r="O264" s="63" t="s">
        <v>496</v>
      </c>
      <c r="P264" s="47" t="str">
        <f t="shared" si="23"/>
        <v>25</v>
      </c>
      <c r="Q264" s="19" t="str">
        <f t="shared" si="24"/>
        <v>06</v>
      </c>
      <c r="R264" s="19" t="s">
        <v>27</v>
      </c>
      <c r="S264" s="19" t="s">
        <v>102</v>
      </c>
      <c r="T264" s="22" t="s">
        <v>31</v>
      </c>
      <c r="U264" s="16" t="s">
        <v>314</v>
      </c>
      <c r="V264" s="16" t="s">
        <v>93</v>
      </c>
      <c r="W264" s="42">
        <v>46004</v>
      </c>
      <c r="X264" s="16">
        <f t="shared" si="25"/>
        <v>16</v>
      </c>
      <c r="Y264" s="16"/>
      <c r="Z264" s="16"/>
      <c r="AA264" s="16"/>
      <c r="AB264" s="10" t="str">
        <f t="shared" si="26"/>
        <v>Closed in Dec</v>
      </c>
    </row>
    <row r="265" spans="1:28" x14ac:dyDescent="0.25">
      <c r="A265" s="14">
        <v>45988</v>
      </c>
      <c r="B265" s="15">
        <v>2025</v>
      </c>
      <c r="C265" s="16" t="s">
        <v>88</v>
      </c>
      <c r="D265" s="26" t="s">
        <v>315</v>
      </c>
      <c r="E265" s="16" t="s">
        <v>88</v>
      </c>
      <c r="F265" s="15" t="s">
        <v>60</v>
      </c>
      <c r="G265" s="41" t="s">
        <v>423</v>
      </c>
      <c r="H265" s="16">
        <v>8909173473</v>
      </c>
      <c r="I265" s="16"/>
      <c r="J265" s="20" t="s">
        <v>424</v>
      </c>
      <c r="K265" s="25" t="s">
        <v>144</v>
      </c>
      <c r="L265" s="25" t="s">
        <v>84</v>
      </c>
      <c r="M265" s="27" t="s">
        <v>29</v>
      </c>
      <c r="N265" s="23">
        <v>610</v>
      </c>
      <c r="O265" s="63" t="s">
        <v>497</v>
      </c>
      <c r="P265" s="47" t="str">
        <f t="shared" si="23"/>
        <v>25</v>
      </c>
      <c r="Q265" s="19" t="str">
        <f t="shared" si="24"/>
        <v>06</v>
      </c>
      <c r="R265" s="19" t="s">
        <v>27</v>
      </c>
      <c r="S265" s="19" t="s">
        <v>102</v>
      </c>
      <c r="T265" s="22" t="s">
        <v>31</v>
      </c>
      <c r="U265" s="27" t="s">
        <v>338</v>
      </c>
      <c r="V265" s="16" t="s">
        <v>93</v>
      </c>
      <c r="W265" s="42">
        <v>46006</v>
      </c>
      <c r="X265" s="16">
        <f t="shared" si="25"/>
        <v>18</v>
      </c>
      <c r="Y265" s="16"/>
      <c r="Z265" s="16"/>
      <c r="AA265" s="16"/>
      <c r="AB265" s="10" t="str">
        <f t="shared" si="26"/>
        <v>Closed in Dec</v>
      </c>
    </row>
    <row r="266" spans="1:28" x14ac:dyDescent="0.25">
      <c r="A266" s="14">
        <v>45988</v>
      </c>
      <c r="B266" s="15">
        <v>2025</v>
      </c>
      <c r="C266" s="16" t="s">
        <v>88</v>
      </c>
      <c r="D266" s="26" t="s">
        <v>315</v>
      </c>
      <c r="E266" s="16" t="s">
        <v>88</v>
      </c>
      <c r="F266" s="15" t="s">
        <v>60</v>
      </c>
      <c r="G266" s="41" t="s">
        <v>423</v>
      </c>
      <c r="H266" s="16">
        <v>8909173473</v>
      </c>
      <c r="I266" s="16"/>
      <c r="J266" s="20" t="s">
        <v>424</v>
      </c>
      <c r="K266" s="25" t="s">
        <v>144</v>
      </c>
      <c r="L266" s="25" t="s">
        <v>84</v>
      </c>
      <c r="M266" s="27" t="s">
        <v>29</v>
      </c>
      <c r="N266" s="23">
        <v>610</v>
      </c>
      <c r="O266" s="63" t="s">
        <v>498</v>
      </c>
      <c r="P266" s="47" t="str">
        <f t="shared" ref="P266:P280" si="27">MID(O266,5,2)</f>
        <v>25</v>
      </c>
      <c r="Q266" s="19" t="str">
        <f t="shared" ref="Q266:Q280" si="28">MID(O266,7,2)</f>
        <v>06</v>
      </c>
      <c r="R266" s="19" t="s">
        <v>27</v>
      </c>
      <c r="S266" s="19" t="s">
        <v>102</v>
      </c>
      <c r="T266" s="22" t="s">
        <v>31</v>
      </c>
      <c r="U266" s="27" t="s">
        <v>338</v>
      </c>
      <c r="V266" s="16" t="s">
        <v>93</v>
      </c>
      <c r="W266" s="42">
        <v>46006</v>
      </c>
      <c r="X266" s="16">
        <f t="shared" si="25"/>
        <v>18</v>
      </c>
      <c r="Y266" s="16"/>
      <c r="Z266" s="16"/>
      <c r="AA266" s="16"/>
      <c r="AB266" s="10" t="str">
        <f t="shared" si="26"/>
        <v>Closed in Dec</v>
      </c>
    </row>
    <row r="267" spans="1:28" x14ac:dyDescent="0.25">
      <c r="A267" s="14">
        <v>45988</v>
      </c>
      <c r="B267" s="15">
        <v>2025</v>
      </c>
      <c r="C267" s="16" t="s">
        <v>88</v>
      </c>
      <c r="D267" s="26" t="s">
        <v>315</v>
      </c>
      <c r="E267" s="16" t="s">
        <v>88</v>
      </c>
      <c r="F267" s="15" t="s">
        <v>60</v>
      </c>
      <c r="G267" s="41" t="s">
        <v>423</v>
      </c>
      <c r="H267" s="16">
        <v>8909173473</v>
      </c>
      <c r="I267" s="16"/>
      <c r="J267" s="20" t="s">
        <v>424</v>
      </c>
      <c r="K267" s="25" t="s">
        <v>144</v>
      </c>
      <c r="L267" s="25" t="s">
        <v>84</v>
      </c>
      <c r="M267" s="27" t="s">
        <v>29</v>
      </c>
      <c r="N267" s="23">
        <v>610</v>
      </c>
      <c r="O267" s="63" t="s">
        <v>499</v>
      </c>
      <c r="P267" s="47" t="str">
        <f t="shared" si="27"/>
        <v>25</v>
      </c>
      <c r="Q267" s="19" t="str">
        <f t="shared" si="28"/>
        <v>06</v>
      </c>
      <c r="R267" s="19" t="s">
        <v>27</v>
      </c>
      <c r="S267" s="19" t="s">
        <v>102</v>
      </c>
      <c r="T267" s="22" t="s">
        <v>31</v>
      </c>
      <c r="U267" s="16" t="s">
        <v>314</v>
      </c>
      <c r="V267" s="16" t="s">
        <v>93</v>
      </c>
      <c r="W267" s="42">
        <v>46006</v>
      </c>
      <c r="X267" s="16">
        <f t="shared" si="25"/>
        <v>18</v>
      </c>
      <c r="Y267" s="16"/>
      <c r="Z267" s="16"/>
      <c r="AA267" s="16"/>
      <c r="AB267" s="10" t="str">
        <f t="shared" si="26"/>
        <v>Closed in Dec</v>
      </c>
    </row>
    <row r="268" spans="1:28" x14ac:dyDescent="0.25">
      <c r="A268" s="14">
        <v>45988</v>
      </c>
      <c r="B268" s="15">
        <v>2025</v>
      </c>
      <c r="C268" s="16" t="s">
        <v>88</v>
      </c>
      <c r="D268" s="26" t="s">
        <v>315</v>
      </c>
      <c r="E268" s="16" t="s">
        <v>88</v>
      </c>
      <c r="F268" s="15" t="s">
        <v>60</v>
      </c>
      <c r="G268" s="41" t="s">
        <v>423</v>
      </c>
      <c r="H268" s="16">
        <v>8909173473</v>
      </c>
      <c r="I268" s="16"/>
      <c r="J268" s="20" t="s">
        <v>424</v>
      </c>
      <c r="K268" s="25" t="s">
        <v>144</v>
      </c>
      <c r="L268" s="25" t="s">
        <v>84</v>
      </c>
      <c r="M268" s="27" t="s">
        <v>29</v>
      </c>
      <c r="N268" s="23">
        <v>610</v>
      </c>
      <c r="O268" s="63" t="s">
        <v>500</v>
      </c>
      <c r="P268" s="47" t="str">
        <f t="shared" si="27"/>
        <v>25</v>
      </c>
      <c r="Q268" s="19" t="str">
        <f t="shared" si="28"/>
        <v>06</v>
      </c>
      <c r="R268" s="19" t="s">
        <v>27</v>
      </c>
      <c r="S268" s="19" t="s">
        <v>102</v>
      </c>
      <c r="T268" s="22" t="s">
        <v>31</v>
      </c>
      <c r="U268" s="16" t="s">
        <v>314</v>
      </c>
      <c r="V268" s="16" t="s">
        <v>93</v>
      </c>
      <c r="W268" s="42">
        <v>46006</v>
      </c>
      <c r="X268" s="16">
        <f t="shared" si="25"/>
        <v>18</v>
      </c>
      <c r="Y268" s="16"/>
      <c r="Z268" s="16"/>
      <c r="AA268" s="16"/>
      <c r="AB268" s="10" t="str">
        <f t="shared" si="26"/>
        <v>Closed in Dec</v>
      </c>
    </row>
    <row r="269" spans="1:28" x14ac:dyDescent="0.25">
      <c r="A269" s="14">
        <v>45988</v>
      </c>
      <c r="B269" s="15">
        <v>2025</v>
      </c>
      <c r="C269" s="16" t="s">
        <v>88</v>
      </c>
      <c r="D269" s="26" t="s">
        <v>315</v>
      </c>
      <c r="E269" s="16" t="s">
        <v>88</v>
      </c>
      <c r="F269" s="15" t="s">
        <v>60</v>
      </c>
      <c r="G269" s="41" t="s">
        <v>423</v>
      </c>
      <c r="H269" s="16">
        <v>8909173473</v>
      </c>
      <c r="I269" s="16"/>
      <c r="J269" s="20" t="s">
        <v>424</v>
      </c>
      <c r="K269" s="25" t="s">
        <v>144</v>
      </c>
      <c r="L269" s="25" t="s">
        <v>84</v>
      </c>
      <c r="M269" s="27" t="s">
        <v>29</v>
      </c>
      <c r="N269" s="23">
        <v>610</v>
      </c>
      <c r="O269" s="63" t="s">
        <v>501</v>
      </c>
      <c r="P269" s="47" t="str">
        <f t="shared" si="27"/>
        <v>25</v>
      </c>
      <c r="Q269" s="19" t="str">
        <f t="shared" si="28"/>
        <v>06</v>
      </c>
      <c r="R269" s="19" t="s">
        <v>27</v>
      </c>
      <c r="S269" s="19" t="s">
        <v>102</v>
      </c>
      <c r="T269" s="22" t="s">
        <v>31</v>
      </c>
      <c r="U269" s="16" t="s">
        <v>314</v>
      </c>
      <c r="V269" s="16" t="s">
        <v>93</v>
      </c>
      <c r="W269" s="42">
        <v>46006</v>
      </c>
      <c r="X269" s="16">
        <f t="shared" si="25"/>
        <v>18</v>
      </c>
      <c r="Y269" s="16"/>
      <c r="Z269" s="16"/>
      <c r="AA269" s="16"/>
      <c r="AB269" s="10" t="str">
        <f t="shared" si="26"/>
        <v>Closed in Dec</v>
      </c>
    </row>
    <row r="270" spans="1:28" x14ac:dyDescent="0.25">
      <c r="A270" s="14">
        <v>45988</v>
      </c>
      <c r="B270" s="15">
        <v>2025</v>
      </c>
      <c r="C270" s="16" t="s">
        <v>88</v>
      </c>
      <c r="D270" s="26" t="s">
        <v>315</v>
      </c>
      <c r="E270" s="16" t="s">
        <v>88</v>
      </c>
      <c r="F270" s="15" t="s">
        <v>60</v>
      </c>
      <c r="G270" s="41" t="s">
        <v>423</v>
      </c>
      <c r="H270" s="16">
        <v>8909173473</v>
      </c>
      <c r="I270" s="16"/>
      <c r="J270" s="20" t="s">
        <v>424</v>
      </c>
      <c r="K270" s="25" t="s">
        <v>144</v>
      </c>
      <c r="L270" s="25" t="s">
        <v>84</v>
      </c>
      <c r="M270" s="27" t="s">
        <v>29</v>
      </c>
      <c r="N270" s="23">
        <v>610</v>
      </c>
      <c r="O270" s="63" t="s">
        <v>502</v>
      </c>
      <c r="P270" s="47" t="str">
        <f t="shared" si="27"/>
        <v>25</v>
      </c>
      <c r="Q270" s="19" t="str">
        <f t="shared" si="28"/>
        <v>06</v>
      </c>
      <c r="R270" s="19" t="s">
        <v>27</v>
      </c>
      <c r="S270" s="19" t="s">
        <v>102</v>
      </c>
      <c r="T270" s="22" t="s">
        <v>31</v>
      </c>
      <c r="U270" s="16" t="s">
        <v>314</v>
      </c>
      <c r="V270" s="16" t="s">
        <v>93</v>
      </c>
      <c r="W270" s="42">
        <v>46006</v>
      </c>
      <c r="X270" s="16">
        <f t="shared" si="25"/>
        <v>18</v>
      </c>
      <c r="Y270" s="16"/>
      <c r="Z270" s="16"/>
      <c r="AA270" s="16"/>
      <c r="AB270" s="10" t="str">
        <f t="shared" si="26"/>
        <v>Closed in Dec</v>
      </c>
    </row>
    <row r="271" spans="1:28" x14ac:dyDescent="0.25">
      <c r="A271" s="14">
        <v>45988</v>
      </c>
      <c r="B271" s="15">
        <v>2025</v>
      </c>
      <c r="C271" s="16" t="s">
        <v>88</v>
      </c>
      <c r="D271" s="26" t="s">
        <v>315</v>
      </c>
      <c r="E271" s="16" t="s">
        <v>88</v>
      </c>
      <c r="F271" s="15" t="s">
        <v>60</v>
      </c>
      <c r="G271" s="41" t="s">
        <v>423</v>
      </c>
      <c r="H271" s="16">
        <v>8909173473</v>
      </c>
      <c r="I271" s="16"/>
      <c r="J271" s="20" t="s">
        <v>424</v>
      </c>
      <c r="K271" s="25" t="s">
        <v>144</v>
      </c>
      <c r="L271" s="25" t="s">
        <v>84</v>
      </c>
      <c r="M271" s="27" t="s">
        <v>29</v>
      </c>
      <c r="N271" s="23">
        <v>610</v>
      </c>
      <c r="O271" s="63" t="s">
        <v>503</v>
      </c>
      <c r="P271" s="47" t="str">
        <f t="shared" si="27"/>
        <v>25</v>
      </c>
      <c r="Q271" s="19" t="str">
        <f t="shared" si="28"/>
        <v>06</v>
      </c>
      <c r="R271" s="19" t="s">
        <v>27</v>
      </c>
      <c r="S271" s="19" t="s">
        <v>102</v>
      </c>
      <c r="T271" s="22" t="s">
        <v>31</v>
      </c>
      <c r="U271" s="16" t="s">
        <v>314</v>
      </c>
      <c r="V271" s="16" t="s">
        <v>93</v>
      </c>
      <c r="W271" s="42">
        <v>46006</v>
      </c>
      <c r="X271" s="16">
        <f t="shared" si="25"/>
        <v>18</v>
      </c>
      <c r="Y271" s="16"/>
      <c r="Z271" s="16"/>
      <c r="AA271" s="16"/>
      <c r="AB271" s="10" t="str">
        <f t="shared" si="26"/>
        <v>Closed in Dec</v>
      </c>
    </row>
    <row r="272" spans="1:28" s="30" customFormat="1" ht="12" customHeight="1" x14ac:dyDescent="0.3">
      <c r="A272" s="14">
        <v>45988</v>
      </c>
      <c r="B272" s="15">
        <v>2025</v>
      </c>
      <c r="C272" s="16" t="s">
        <v>88</v>
      </c>
      <c r="D272" s="26" t="s">
        <v>315</v>
      </c>
      <c r="E272" s="16" t="s">
        <v>88</v>
      </c>
      <c r="F272" s="15" t="s">
        <v>60</v>
      </c>
      <c r="G272" s="41" t="s">
        <v>423</v>
      </c>
      <c r="H272" s="16">
        <v>8909173473</v>
      </c>
      <c r="I272" s="16"/>
      <c r="J272" s="20" t="s">
        <v>424</v>
      </c>
      <c r="K272" s="25" t="s">
        <v>144</v>
      </c>
      <c r="L272" s="25" t="s">
        <v>84</v>
      </c>
      <c r="M272" s="27" t="s">
        <v>29</v>
      </c>
      <c r="N272" s="23">
        <v>610</v>
      </c>
      <c r="O272" s="63" t="s">
        <v>504</v>
      </c>
      <c r="P272" s="47" t="str">
        <f t="shared" si="27"/>
        <v>25</v>
      </c>
      <c r="Q272" s="19" t="str">
        <f t="shared" si="28"/>
        <v>06</v>
      </c>
      <c r="R272" s="19" t="s">
        <v>27</v>
      </c>
      <c r="S272" s="19" t="s">
        <v>102</v>
      </c>
      <c r="T272" s="22" t="s">
        <v>31</v>
      </c>
      <c r="U272" s="16" t="s">
        <v>314</v>
      </c>
      <c r="V272" s="16" t="s">
        <v>93</v>
      </c>
      <c r="W272" s="42">
        <v>46006</v>
      </c>
      <c r="X272" s="16">
        <f t="shared" si="25"/>
        <v>18</v>
      </c>
      <c r="Y272" s="16"/>
      <c r="Z272" s="16"/>
      <c r="AA272" s="16"/>
      <c r="AB272" s="10" t="str">
        <f t="shared" si="26"/>
        <v>Closed in Dec</v>
      </c>
    </row>
    <row r="273" spans="1:28" x14ac:dyDescent="0.25">
      <c r="A273" s="14">
        <v>45988</v>
      </c>
      <c r="B273" s="15">
        <v>2025</v>
      </c>
      <c r="C273" s="16" t="s">
        <v>88</v>
      </c>
      <c r="D273" s="26" t="s">
        <v>315</v>
      </c>
      <c r="E273" s="16" t="s">
        <v>88</v>
      </c>
      <c r="F273" s="15" t="s">
        <v>60</v>
      </c>
      <c r="G273" s="41" t="s">
        <v>423</v>
      </c>
      <c r="H273" s="16">
        <v>8909173473</v>
      </c>
      <c r="I273" s="16"/>
      <c r="J273" s="20" t="s">
        <v>424</v>
      </c>
      <c r="K273" s="25" t="s">
        <v>144</v>
      </c>
      <c r="L273" s="25" t="s">
        <v>84</v>
      </c>
      <c r="M273" s="27" t="s">
        <v>29</v>
      </c>
      <c r="N273" s="23">
        <v>610</v>
      </c>
      <c r="O273" s="63" t="s">
        <v>505</v>
      </c>
      <c r="P273" s="47" t="str">
        <f t="shared" si="27"/>
        <v>25</v>
      </c>
      <c r="Q273" s="19" t="str">
        <f t="shared" si="28"/>
        <v>06</v>
      </c>
      <c r="R273" s="19" t="s">
        <v>27</v>
      </c>
      <c r="S273" s="19" t="s">
        <v>102</v>
      </c>
      <c r="T273" s="22" t="s">
        <v>31</v>
      </c>
      <c r="U273" s="27" t="s">
        <v>338</v>
      </c>
      <c r="V273" s="16" t="s">
        <v>93</v>
      </c>
      <c r="W273" s="42">
        <v>46006</v>
      </c>
      <c r="X273" s="16">
        <f t="shared" si="25"/>
        <v>18</v>
      </c>
      <c r="Y273" s="16"/>
      <c r="Z273" s="16"/>
      <c r="AA273" s="16"/>
      <c r="AB273" s="10" t="str">
        <f t="shared" si="26"/>
        <v>Closed in Dec</v>
      </c>
    </row>
    <row r="274" spans="1:28" x14ac:dyDescent="0.25">
      <c r="A274" s="14">
        <v>45988</v>
      </c>
      <c r="B274" s="15">
        <v>2025</v>
      </c>
      <c r="C274" s="16" t="s">
        <v>88</v>
      </c>
      <c r="D274" s="26" t="s">
        <v>315</v>
      </c>
      <c r="E274" s="16" t="s">
        <v>88</v>
      </c>
      <c r="F274" s="15" t="s">
        <v>60</v>
      </c>
      <c r="G274" s="41" t="s">
        <v>423</v>
      </c>
      <c r="H274" s="16">
        <v>8909173473</v>
      </c>
      <c r="I274" s="16"/>
      <c r="J274" s="20" t="s">
        <v>424</v>
      </c>
      <c r="K274" s="25" t="s">
        <v>144</v>
      </c>
      <c r="L274" s="25" t="s">
        <v>84</v>
      </c>
      <c r="M274" s="27" t="s">
        <v>29</v>
      </c>
      <c r="N274" s="23">
        <v>610</v>
      </c>
      <c r="O274" s="63" t="s">
        <v>506</v>
      </c>
      <c r="P274" s="47" t="str">
        <f t="shared" si="27"/>
        <v>25</v>
      </c>
      <c r="Q274" s="19" t="str">
        <f t="shared" si="28"/>
        <v>05</v>
      </c>
      <c r="R274" s="19" t="s">
        <v>27</v>
      </c>
      <c r="S274" s="19" t="s">
        <v>102</v>
      </c>
      <c r="T274" s="22" t="s">
        <v>31</v>
      </c>
      <c r="U274" s="27" t="s">
        <v>338</v>
      </c>
      <c r="V274" s="16" t="s">
        <v>93</v>
      </c>
      <c r="W274" s="42">
        <v>46006</v>
      </c>
      <c r="X274" s="16">
        <f t="shared" si="25"/>
        <v>18</v>
      </c>
      <c r="Y274" s="16"/>
      <c r="Z274" s="16"/>
      <c r="AA274" s="16"/>
      <c r="AB274" s="10" t="str">
        <f t="shared" si="26"/>
        <v>Closed in Dec</v>
      </c>
    </row>
    <row r="275" spans="1:28" x14ac:dyDescent="0.25">
      <c r="A275" s="14">
        <v>45988</v>
      </c>
      <c r="B275" s="15">
        <v>2025</v>
      </c>
      <c r="C275" s="16" t="s">
        <v>88</v>
      </c>
      <c r="D275" s="26" t="s">
        <v>315</v>
      </c>
      <c r="E275" s="16" t="s">
        <v>88</v>
      </c>
      <c r="F275" s="15" t="s">
        <v>60</v>
      </c>
      <c r="G275" s="41" t="s">
        <v>423</v>
      </c>
      <c r="H275" s="16">
        <v>8909173473</v>
      </c>
      <c r="I275" s="16"/>
      <c r="J275" s="20" t="s">
        <v>424</v>
      </c>
      <c r="K275" s="25" t="s">
        <v>144</v>
      </c>
      <c r="L275" s="25" t="s">
        <v>84</v>
      </c>
      <c r="M275" s="16" t="s">
        <v>31</v>
      </c>
      <c r="N275" s="23">
        <v>610</v>
      </c>
      <c r="O275" s="63" t="s">
        <v>507</v>
      </c>
      <c r="P275" s="47" t="str">
        <f t="shared" si="27"/>
        <v>25</v>
      </c>
      <c r="Q275" s="19" t="str">
        <f t="shared" si="28"/>
        <v>05</v>
      </c>
      <c r="R275" s="19" t="s">
        <v>27</v>
      </c>
      <c r="S275" s="19" t="s">
        <v>102</v>
      </c>
      <c r="T275" s="22" t="s">
        <v>31</v>
      </c>
      <c r="U275" s="26" t="s">
        <v>328</v>
      </c>
      <c r="V275" s="16" t="s">
        <v>93</v>
      </c>
      <c r="W275" s="42">
        <v>46006</v>
      </c>
      <c r="X275" s="16">
        <f t="shared" si="25"/>
        <v>18</v>
      </c>
      <c r="Y275" s="16"/>
      <c r="Z275" s="16"/>
      <c r="AA275" s="16"/>
      <c r="AB275" s="10" t="str">
        <f t="shared" si="26"/>
        <v>Closed in Dec</v>
      </c>
    </row>
    <row r="276" spans="1:28" x14ac:dyDescent="0.25">
      <c r="A276" s="14">
        <v>45988</v>
      </c>
      <c r="B276" s="15">
        <v>2025</v>
      </c>
      <c r="C276" s="16" t="s">
        <v>88</v>
      </c>
      <c r="D276" s="26" t="s">
        <v>315</v>
      </c>
      <c r="E276" s="16" t="s">
        <v>88</v>
      </c>
      <c r="F276" s="15" t="s">
        <v>60</v>
      </c>
      <c r="G276" s="41" t="s">
        <v>423</v>
      </c>
      <c r="H276" s="16">
        <v>8909173473</v>
      </c>
      <c r="I276" s="16"/>
      <c r="J276" s="20" t="s">
        <v>424</v>
      </c>
      <c r="K276" s="25" t="s">
        <v>144</v>
      </c>
      <c r="L276" s="25" t="s">
        <v>84</v>
      </c>
      <c r="M276" s="16" t="s">
        <v>31</v>
      </c>
      <c r="N276" s="23">
        <v>610</v>
      </c>
      <c r="O276" s="63" t="s">
        <v>508</v>
      </c>
      <c r="P276" s="47" t="str">
        <f t="shared" si="27"/>
        <v>25</v>
      </c>
      <c r="Q276" s="19" t="str">
        <f t="shared" si="28"/>
        <v>06</v>
      </c>
      <c r="R276" s="19" t="s">
        <v>27</v>
      </c>
      <c r="S276" s="19" t="s">
        <v>102</v>
      </c>
      <c r="T276" s="22" t="s">
        <v>31</v>
      </c>
      <c r="U276" s="26" t="s">
        <v>328</v>
      </c>
      <c r="V276" s="16" t="s">
        <v>93</v>
      </c>
      <c r="W276" s="42">
        <v>46006</v>
      </c>
      <c r="X276" s="16">
        <f t="shared" si="25"/>
        <v>18</v>
      </c>
      <c r="Y276" s="16"/>
      <c r="Z276" s="16"/>
      <c r="AA276" s="16"/>
      <c r="AB276" s="10" t="str">
        <f t="shared" si="26"/>
        <v>Closed in Dec</v>
      </c>
    </row>
    <row r="277" spans="1:28" x14ac:dyDescent="0.25">
      <c r="A277" s="14">
        <v>45988</v>
      </c>
      <c r="B277" s="15">
        <v>2025</v>
      </c>
      <c r="C277" s="16" t="s">
        <v>88</v>
      </c>
      <c r="D277" s="26" t="s">
        <v>315</v>
      </c>
      <c r="E277" s="16" t="s">
        <v>88</v>
      </c>
      <c r="F277" s="15" t="s">
        <v>60</v>
      </c>
      <c r="G277" s="41" t="s">
        <v>423</v>
      </c>
      <c r="H277" s="16">
        <v>8909173473</v>
      </c>
      <c r="I277" s="16"/>
      <c r="J277" s="20" t="s">
        <v>424</v>
      </c>
      <c r="K277" s="25" t="s">
        <v>144</v>
      </c>
      <c r="L277" s="25" t="s">
        <v>84</v>
      </c>
      <c r="M277" s="27" t="s">
        <v>29</v>
      </c>
      <c r="N277" s="23">
        <v>610</v>
      </c>
      <c r="O277" s="63" t="s">
        <v>509</v>
      </c>
      <c r="P277" s="47" t="str">
        <f t="shared" si="27"/>
        <v>25</v>
      </c>
      <c r="Q277" s="19" t="str">
        <f t="shared" si="28"/>
        <v>05</v>
      </c>
      <c r="R277" s="19" t="s">
        <v>27</v>
      </c>
      <c r="S277" s="19" t="s">
        <v>102</v>
      </c>
      <c r="T277" s="22" t="s">
        <v>31</v>
      </c>
      <c r="U277" s="27" t="s">
        <v>338</v>
      </c>
      <c r="V277" s="16" t="s">
        <v>93</v>
      </c>
      <c r="W277" s="42">
        <v>46006</v>
      </c>
      <c r="X277" s="16">
        <f t="shared" si="25"/>
        <v>18</v>
      </c>
      <c r="Y277" s="16"/>
      <c r="Z277" s="16"/>
      <c r="AA277" s="16"/>
      <c r="AB277" s="10" t="str">
        <f t="shared" si="26"/>
        <v>Closed in Dec</v>
      </c>
    </row>
    <row r="278" spans="1:28" x14ac:dyDescent="0.25">
      <c r="A278" s="14">
        <v>45988</v>
      </c>
      <c r="B278" s="15">
        <v>2025</v>
      </c>
      <c r="C278" s="16" t="s">
        <v>88</v>
      </c>
      <c r="D278" s="26" t="s">
        <v>315</v>
      </c>
      <c r="E278" s="16" t="s">
        <v>88</v>
      </c>
      <c r="F278" s="15" t="s">
        <v>60</v>
      </c>
      <c r="G278" s="41" t="s">
        <v>423</v>
      </c>
      <c r="H278" s="16">
        <v>8909173473</v>
      </c>
      <c r="I278" s="16"/>
      <c r="J278" s="20" t="s">
        <v>424</v>
      </c>
      <c r="K278" s="25" t="s">
        <v>144</v>
      </c>
      <c r="L278" s="25" t="s">
        <v>84</v>
      </c>
      <c r="M278" s="16" t="s">
        <v>31</v>
      </c>
      <c r="N278" s="23">
        <v>610</v>
      </c>
      <c r="O278" s="63" t="s">
        <v>510</v>
      </c>
      <c r="P278" s="47" t="str">
        <f t="shared" si="27"/>
        <v>25</v>
      </c>
      <c r="Q278" s="19" t="str">
        <f t="shared" si="28"/>
        <v>05</v>
      </c>
      <c r="R278" s="19" t="s">
        <v>27</v>
      </c>
      <c r="S278" s="19" t="s">
        <v>102</v>
      </c>
      <c r="T278" s="22" t="s">
        <v>31</v>
      </c>
      <c r="U278" s="22" t="s">
        <v>200</v>
      </c>
      <c r="V278" s="16" t="s">
        <v>93</v>
      </c>
      <c r="W278" s="42">
        <v>46006</v>
      </c>
      <c r="X278" s="16">
        <f t="shared" si="25"/>
        <v>18</v>
      </c>
      <c r="Y278" s="16"/>
      <c r="Z278" s="16"/>
      <c r="AA278" s="16"/>
      <c r="AB278" s="10" t="str">
        <f t="shared" si="26"/>
        <v>Closed in Dec</v>
      </c>
    </row>
    <row r="279" spans="1:28" x14ac:dyDescent="0.25">
      <c r="A279" s="14">
        <v>45988</v>
      </c>
      <c r="B279" s="15">
        <v>2025</v>
      </c>
      <c r="C279" s="16" t="s">
        <v>88</v>
      </c>
      <c r="D279" s="26" t="s">
        <v>315</v>
      </c>
      <c r="E279" s="16" t="s">
        <v>88</v>
      </c>
      <c r="F279" s="15" t="s">
        <v>60</v>
      </c>
      <c r="G279" s="41" t="s">
        <v>423</v>
      </c>
      <c r="H279" s="16">
        <v>8909173473</v>
      </c>
      <c r="I279" s="16"/>
      <c r="J279" s="20" t="s">
        <v>424</v>
      </c>
      <c r="K279" s="25" t="s">
        <v>144</v>
      </c>
      <c r="L279" s="25" t="s">
        <v>84</v>
      </c>
      <c r="M279" s="27" t="s">
        <v>29</v>
      </c>
      <c r="N279" s="23">
        <v>610</v>
      </c>
      <c r="O279" s="63" t="s">
        <v>511</v>
      </c>
      <c r="P279" s="47" t="str">
        <f t="shared" si="27"/>
        <v>25</v>
      </c>
      <c r="Q279" s="19" t="str">
        <f t="shared" si="28"/>
        <v>05</v>
      </c>
      <c r="R279" s="19" t="s">
        <v>27</v>
      </c>
      <c r="S279" s="19" t="s">
        <v>102</v>
      </c>
      <c r="T279" s="22" t="s">
        <v>31</v>
      </c>
      <c r="U279" s="16" t="s">
        <v>314</v>
      </c>
      <c r="V279" s="16" t="s">
        <v>93</v>
      </c>
      <c r="W279" s="42">
        <v>46006</v>
      </c>
      <c r="X279" s="16">
        <f t="shared" si="25"/>
        <v>18</v>
      </c>
      <c r="Y279" s="16"/>
      <c r="Z279" s="16"/>
      <c r="AA279" s="16"/>
      <c r="AB279" s="10" t="str">
        <f t="shared" si="26"/>
        <v>Closed in Dec</v>
      </c>
    </row>
    <row r="280" spans="1:28" x14ac:dyDescent="0.25">
      <c r="A280" s="14">
        <v>46006</v>
      </c>
      <c r="B280" s="15">
        <v>2025</v>
      </c>
      <c r="C280" s="9" t="s">
        <v>710</v>
      </c>
      <c r="D280" s="9" t="s">
        <v>194</v>
      </c>
      <c r="E280" s="16"/>
      <c r="F280" s="9" t="s">
        <v>60</v>
      </c>
      <c r="G280" s="8" t="s">
        <v>512</v>
      </c>
      <c r="H280" s="24">
        <v>9900092186</v>
      </c>
      <c r="I280" s="16"/>
      <c r="J280" s="24" t="s">
        <v>513</v>
      </c>
      <c r="K280" s="25" t="s">
        <v>158</v>
      </c>
      <c r="L280" s="9" t="s">
        <v>30</v>
      </c>
      <c r="M280" s="24" t="s">
        <v>119</v>
      </c>
      <c r="N280" s="53">
        <v>540</v>
      </c>
      <c r="O280" s="64" t="s">
        <v>514</v>
      </c>
      <c r="P280" s="47" t="str">
        <f t="shared" si="27"/>
        <v>25</v>
      </c>
      <c r="Q280" s="19" t="str">
        <f t="shared" si="28"/>
        <v>11</v>
      </c>
      <c r="R280" s="19" t="s">
        <v>26</v>
      </c>
      <c r="S280" s="19" t="s">
        <v>101</v>
      </c>
      <c r="T280" s="24" t="s">
        <v>515</v>
      </c>
      <c r="U280" s="16" t="s">
        <v>94</v>
      </c>
      <c r="V280" s="16" t="s">
        <v>94</v>
      </c>
      <c r="W280" s="14">
        <v>46007</v>
      </c>
      <c r="X280" s="16">
        <f t="shared" si="25"/>
        <v>1</v>
      </c>
      <c r="Y280" s="16"/>
      <c r="Z280" s="16"/>
      <c r="AA280" s="16"/>
      <c r="AB280" s="10" t="str">
        <f t="shared" si="26"/>
        <v>Closed in Dec</v>
      </c>
    </row>
    <row r="281" spans="1:28" x14ac:dyDescent="0.25">
      <c r="A281" s="14">
        <v>45992</v>
      </c>
      <c r="B281" s="16">
        <v>2025</v>
      </c>
      <c r="C281" s="16" t="s">
        <v>90</v>
      </c>
      <c r="D281" s="26" t="s">
        <v>516</v>
      </c>
      <c r="E281" s="26"/>
      <c r="F281" s="26" t="s">
        <v>60</v>
      </c>
      <c r="G281" s="26" t="s">
        <v>517</v>
      </c>
      <c r="H281" s="26">
        <v>9773989342</v>
      </c>
      <c r="I281" s="26"/>
      <c r="J281" s="26" t="s">
        <v>304</v>
      </c>
      <c r="K281" s="9" t="s">
        <v>148</v>
      </c>
      <c r="L281" s="16" t="s">
        <v>38</v>
      </c>
      <c r="M281" s="16" t="s">
        <v>120</v>
      </c>
      <c r="N281" s="23" t="s">
        <v>135</v>
      </c>
      <c r="O281" s="65" t="s">
        <v>518</v>
      </c>
      <c r="P281" s="47" t="str">
        <f>MID(O281,7,2)</f>
        <v>23</v>
      </c>
      <c r="Q281" s="19" t="str">
        <f>MID(O281,5,2)</f>
        <v>02</v>
      </c>
      <c r="R281" s="16" t="s">
        <v>135</v>
      </c>
      <c r="S281" s="16" t="s">
        <v>135</v>
      </c>
      <c r="T281" s="43" t="s">
        <v>120</v>
      </c>
      <c r="U281" s="45" t="s">
        <v>120</v>
      </c>
      <c r="V281" s="16" t="s">
        <v>94</v>
      </c>
      <c r="W281" s="14">
        <v>45992</v>
      </c>
      <c r="X281" s="16">
        <f t="shared" si="25"/>
        <v>0</v>
      </c>
      <c r="Y281" s="16"/>
      <c r="Z281" s="16"/>
      <c r="AA281" s="23"/>
      <c r="AB281" s="10" t="str">
        <f t="shared" si="26"/>
        <v>Closed in Dec</v>
      </c>
    </row>
    <row r="282" spans="1:28" x14ac:dyDescent="0.25">
      <c r="A282" s="14">
        <v>45989</v>
      </c>
      <c r="B282" s="15">
        <v>2025</v>
      </c>
      <c r="C282" s="26" t="s">
        <v>90</v>
      </c>
      <c r="D282" s="15" t="s">
        <v>194</v>
      </c>
      <c r="E282" s="16"/>
      <c r="F282" s="16" t="s">
        <v>60</v>
      </c>
      <c r="G282" s="15" t="s">
        <v>517</v>
      </c>
      <c r="H282" s="24">
        <v>8826633540</v>
      </c>
      <c r="I282" s="16"/>
      <c r="J282" s="9" t="s">
        <v>519</v>
      </c>
      <c r="K282" s="9" t="s">
        <v>150</v>
      </c>
      <c r="L282" s="9" t="s">
        <v>38</v>
      </c>
      <c r="M282" s="9" t="s">
        <v>33</v>
      </c>
      <c r="N282" s="78">
        <v>545</v>
      </c>
      <c r="O282" s="22">
        <v>26240831016940</v>
      </c>
      <c r="P282" s="19">
        <v>24</v>
      </c>
      <c r="Q282" s="19">
        <v>8</v>
      </c>
      <c r="R282" s="79" t="s">
        <v>25</v>
      </c>
      <c r="S282" s="19" t="s">
        <v>101</v>
      </c>
      <c r="T282" s="16" t="s">
        <v>520</v>
      </c>
      <c r="U282" s="16" t="s">
        <v>521</v>
      </c>
      <c r="V282" s="16" t="s">
        <v>94</v>
      </c>
      <c r="W282" s="14">
        <v>46001</v>
      </c>
      <c r="X282" s="16">
        <f t="shared" si="25"/>
        <v>12</v>
      </c>
      <c r="Y282" s="16"/>
      <c r="Z282" s="16"/>
      <c r="AA282" s="16"/>
      <c r="AB282" s="10" t="str">
        <f t="shared" si="26"/>
        <v>Closed in Dec</v>
      </c>
    </row>
    <row r="283" spans="1:28" x14ac:dyDescent="0.25">
      <c r="A283" s="14">
        <v>45989</v>
      </c>
      <c r="B283" s="15">
        <v>2025</v>
      </c>
      <c r="C283" s="26" t="s">
        <v>90</v>
      </c>
      <c r="D283" s="15" t="s">
        <v>194</v>
      </c>
      <c r="E283" s="16"/>
      <c r="F283" s="16" t="s">
        <v>60</v>
      </c>
      <c r="G283" s="15" t="s">
        <v>517</v>
      </c>
      <c r="H283" s="24">
        <v>8826633540</v>
      </c>
      <c r="I283" s="16"/>
      <c r="J283" s="9" t="s">
        <v>519</v>
      </c>
      <c r="K283" s="9" t="s">
        <v>150</v>
      </c>
      <c r="L283" s="9" t="s">
        <v>38</v>
      </c>
      <c r="M283" s="9" t="s">
        <v>33</v>
      </c>
      <c r="N283" s="78">
        <v>545</v>
      </c>
      <c r="O283" s="22">
        <v>26240831013416</v>
      </c>
      <c r="P283" s="19">
        <v>24</v>
      </c>
      <c r="Q283" s="19">
        <v>8</v>
      </c>
      <c r="R283" s="79" t="s">
        <v>25</v>
      </c>
      <c r="S283" s="19" t="s">
        <v>101</v>
      </c>
      <c r="T283" s="16" t="s">
        <v>520</v>
      </c>
      <c r="U283" s="16" t="s">
        <v>521</v>
      </c>
      <c r="V283" s="16" t="s">
        <v>94</v>
      </c>
      <c r="W283" s="14">
        <v>46001</v>
      </c>
      <c r="X283" s="16">
        <f t="shared" si="25"/>
        <v>12</v>
      </c>
      <c r="Y283" s="16"/>
      <c r="Z283" s="16"/>
      <c r="AA283" s="16"/>
      <c r="AB283" s="10" t="str">
        <f t="shared" si="26"/>
        <v>Closed in Dec</v>
      </c>
    </row>
    <row r="284" spans="1:28" x14ac:dyDescent="0.25">
      <c r="A284" s="14">
        <v>45989</v>
      </c>
      <c r="B284" s="15">
        <v>2025</v>
      </c>
      <c r="C284" s="26" t="s">
        <v>90</v>
      </c>
      <c r="D284" s="15" t="s">
        <v>194</v>
      </c>
      <c r="E284" s="16"/>
      <c r="F284" s="16" t="s">
        <v>60</v>
      </c>
      <c r="G284" s="15" t="s">
        <v>517</v>
      </c>
      <c r="H284" s="24">
        <v>8826633540</v>
      </c>
      <c r="I284" s="16"/>
      <c r="J284" s="9" t="s">
        <v>519</v>
      </c>
      <c r="K284" s="9" t="s">
        <v>150</v>
      </c>
      <c r="L284" s="9" t="s">
        <v>38</v>
      </c>
      <c r="M284" s="9" t="s">
        <v>33</v>
      </c>
      <c r="N284" s="78">
        <v>545</v>
      </c>
      <c r="O284" s="22">
        <v>26240831015578</v>
      </c>
      <c r="P284" s="19">
        <v>24</v>
      </c>
      <c r="Q284" s="19">
        <v>8</v>
      </c>
      <c r="R284" s="79" t="s">
        <v>25</v>
      </c>
      <c r="S284" s="19" t="s">
        <v>101</v>
      </c>
      <c r="T284" s="16" t="s">
        <v>520</v>
      </c>
      <c r="U284" s="16" t="s">
        <v>521</v>
      </c>
      <c r="V284" s="16" t="s">
        <v>94</v>
      </c>
      <c r="W284" s="14">
        <v>46001</v>
      </c>
      <c r="X284" s="16">
        <f t="shared" si="25"/>
        <v>12</v>
      </c>
      <c r="Y284" s="16"/>
      <c r="Z284" s="16"/>
      <c r="AA284" s="16"/>
      <c r="AB284" s="10" t="str">
        <f t="shared" si="26"/>
        <v>Closed in Dec</v>
      </c>
    </row>
    <row r="285" spans="1:28" x14ac:dyDescent="0.25">
      <c r="A285" s="14">
        <v>45989</v>
      </c>
      <c r="B285" s="15">
        <v>2025</v>
      </c>
      <c r="C285" s="26" t="s">
        <v>90</v>
      </c>
      <c r="D285" s="15" t="s">
        <v>194</v>
      </c>
      <c r="E285" s="16"/>
      <c r="F285" s="16" t="s">
        <v>60</v>
      </c>
      <c r="G285" s="15" t="s">
        <v>517</v>
      </c>
      <c r="H285" s="24">
        <v>8826633540</v>
      </c>
      <c r="I285" s="16"/>
      <c r="J285" s="9" t="s">
        <v>519</v>
      </c>
      <c r="K285" s="9" t="s">
        <v>150</v>
      </c>
      <c r="L285" s="9" t="s">
        <v>38</v>
      </c>
      <c r="M285" s="9" t="s">
        <v>33</v>
      </c>
      <c r="N285" s="78">
        <v>545</v>
      </c>
      <c r="O285" s="22">
        <v>26240831013423</v>
      </c>
      <c r="P285" s="19">
        <v>24</v>
      </c>
      <c r="Q285" s="19">
        <v>8</v>
      </c>
      <c r="R285" s="79" t="s">
        <v>25</v>
      </c>
      <c r="S285" s="19" t="s">
        <v>101</v>
      </c>
      <c r="T285" s="16" t="s">
        <v>520</v>
      </c>
      <c r="U285" s="16" t="s">
        <v>521</v>
      </c>
      <c r="V285" s="16" t="s">
        <v>94</v>
      </c>
      <c r="W285" s="14">
        <v>46001</v>
      </c>
      <c r="X285" s="16">
        <f t="shared" si="25"/>
        <v>12</v>
      </c>
      <c r="Y285" s="16"/>
      <c r="Z285" s="16"/>
      <c r="AA285" s="16"/>
      <c r="AB285" s="10" t="str">
        <f t="shared" si="26"/>
        <v>Closed in Dec</v>
      </c>
    </row>
    <row r="286" spans="1:28" x14ac:dyDescent="0.25">
      <c r="A286" s="14">
        <v>45989</v>
      </c>
      <c r="B286" s="15">
        <v>2025</v>
      </c>
      <c r="C286" s="26" t="s">
        <v>90</v>
      </c>
      <c r="D286" s="15" t="s">
        <v>194</v>
      </c>
      <c r="E286" s="16"/>
      <c r="F286" s="16" t="s">
        <v>60</v>
      </c>
      <c r="G286" s="15" t="s">
        <v>517</v>
      </c>
      <c r="H286" s="24">
        <v>8826633540</v>
      </c>
      <c r="I286" s="16"/>
      <c r="J286" s="9" t="s">
        <v>519</v>
      </c>
      <c r="K286" s="9" t="s">
        <v>150</v>
      </c>
      <c r="L286" s="9" t="s">
        <v>38</v>
      </c>
      <c r="M286" s="9" t="s">
        <v>33</v>
      </c>
      <c r="N286" s="78">
        <v>545</v>
      </c>
      <c r="O286" s="22">
        <v>26240831015183</v>
      </c>
      <c r="P286" s="19">
        <v>24</v>
      </c>
      <c r="Q286" s="19">
        <v>8</v>
      </c>
      <c r="R286" s="79" t="s">
        <v>25</v>
      </c>
      <c r="S286" s="19" t="s">
        <v>101</v>
      </c>
      <c r="T286" s="16" t="s">
        <v>520</v>
      </c>
      <c r="U286" s="16" t="s">
        <v>521</v>
      </c>
      <c r="V286" s="16" t="s">
        <v>94</v>
      </c>
      <c r="W286" s="14">
        <v>46001</v>
      </c>
      <c r="X286" s="16">
        <f t="shared" si="25"/>
        <v>12</v>
      </c>
      <c r="Y286" s="16"/>
      <c r="Z286" s="16"/>
      <c r="AA286" s="16"/>
      <c r="AB286" s="10" t="str">
        <f t="shared" si="26"/>
        <v>Closed in Dec</v>
      </c>
    </row>
    <row r="287" spans="1:28" x14ac:dyDescent="0.25">
      <c r="A287" s="14">
        <v>45989</v>
      </c>
      <c r="B287" s="15">
        <v>2025</v>
      </c>
      <c r="C287" s="26" t="s">
        <v>90</v>
      </c>
      <c r="D287" s="15" t="s">
        <v>194</v>
      </c>
      <c r="E287" s="16"/>
      <c r="F287" s="16" t="s">
        <v>60</v>
      </c>
      <c r="G287" s="15" t="s">
        <v>517</v>
      </c>
      <c r="H287" s="24">
        <v>8826633540</v>
      </c>
      <c r="I287" s="16"/>
      <c r="J287" s="9" t="s">
        <v>519</v>
      </c>
      <c r="K287" s="9" t="s">
        <v>150</v>
      </c>
      <c r="L287" s="9" t="s">
        <v>38</v>
      </c>
      <c r="M287" s="9" t="s">
        <v>33</v>
      </c>
      <c r="N287" s="78">
        <v>545</v>
      </c>
      <c r="O287" s="22">
        <v>26240831017117</v>
      </c>
      <c r="P287" s="19">
        <v>24</v>
      </c>
      <c r="Q287" s="19">
        <v>8</v>
      </c>
      <c r="R287" s="79" t="s">
        <v>25</v>
      </c>
      <c r="S287" s="19" t="s">
        <v>101</v>
      </c>
      <c r="T287" s="16" t="s">
        <v>520</v>
      </c>
      <c r="U287" s="16" t="s">
        <v>521</v>
      </c>
      <c r="V287" s="16" t="s">
        <v>94</v>
      </c>
      <c r="W287" s="14">
        <v>46001</v>
      </c>
      <c r="X287" s="16">
        <f t="shared" si="25"/>
        <v>12</v>
      </c>
      <c r="Y287" s="16"/>
      <c r="Z287" s="16"/>
      <c r="AA287" s="16"/>
      <c r="AB287" s="10" t="str">
        <f t="shared" si="26"/>
        <v>Closed in Dec</v>
      </c>
    </row>
    <row r="288" spans="1:28" x14ac:dyDescent="0.25">
      <c r="A288" s="14">
        <v>45989</v>
      </c>
      <c r="B288" s="15">
        <v>2025</v>
      </c>
      <c r="C288" s="26" t="s">
        <v>90</v>
      </c>
      <c r="D288" s="15" t="s">
        <v>194</v>
      </c>
      <c r="E288" s="16"/>
      <c r="F288" s="16" t="s">
        <v>60</v>
      </c>
      <c r="G288" s="15" t="s">
        <v>517</v>
      </c>
      <c r="H288" s="24">
        <v>8826633540</v>
      </c>
      <c r="I288" s="16"/>
      <c r="J288" s="9" t="s">
        <v>519</v>
      </c>
      <c r="K288" s="9" t="s">
        <v>150</v>
      </c>
      <c r="L288" s="9" t="s">
        <v>38</v>
      </c>
      <c r="M288" s="9" t="s">
        <v>33</v>
      </c>
      <c r="N288" s="78">
        <v>545</v>
      </c>
      <c r="O288" s="22">
        <v>26240831017089</v>
      </c>
      <c r="P288" s="19">
        <v>24</v>
      </c>
      <c r="Q288" s="19">
        <v>8</v>
      </c>
      <c r="R288" s="79" t="s">
        <v>25</v>
      </c>
      <c r="S288" s="19" t="s">
        <v>101</v>
      </c>
      <c r="T288" s="16" t="s">
        <v>520</v>
      </c>
      <c r="U288" s="16" t="s">
        <v>521</v>
      </c>
      <c r="V288" s="16" t="s">
        <v>94</v>
      </c>
      <c r="W288" s="14">
        <v>46001</v>
      </c>
      <c r="X288" s="16">
        <f t="shared" si="25"/>
        <v>12</v>
      </c>
      <c r="Y288" s="16"/>
      <c r="Z288" s="16"/>
      <c r="AA288" s="16"/>
      <c r="AB288" s="10" t="str">
        <f t="shared" si="26"/>
        <v>Closed in Dec</v>
      </c>
    </row>
    <row r="289" spans="1:28" x14ac:dyDescent="0.25">
      <c r="A289" s="14">
        <v>45989</v>
      </c>
      <c r="B289" s="15">
        <v>2025</v>
      </c>
      <c r="C289" s="26" t="s">
        <v>90</v>
      </c>
      <c r="D289" s="15" t="s">
        <v>194</v>
      </c>
      <c r="E289" s="16"/>
      <c r="F289" s="16" t="s">
        <v>60</v>
      </c>
      <c r="G289" s="15" t="s">
        <v>517</v>
      </c>
      <c r="H289" s="24">
        <v>8826633540</v>
      </c>
      <c r="I289" s="16"/>
      <c r="J289" s="9" t="s">
        <v>519</v>
      </c>
      <c r="K289" s="9" t="s">
        <v>150</v>
      </c>
      <c r="L289" s="9" t="s">
        <v>38</v>
      </c>
      <c r="M289" s="9" t="s">
        <v>33</v>
      </c>
      <c r="N289" s="78">
        <v>545</v>
      </c>
      <c r="O289" s="22">
        <v>26240831017090</v>
      </c>
      <c r="P289" s="19">
        <v>24</v>
      </c>
      <c r="Q289" s="19">
        <v>8</v>
      </c>
      <c r="R289" s="79" t="s">
        <v>25</v>
      </c>
      <c r="S289" s="19" t="s">
        <v>101</v>
      </c>
      <c r="T289" s="16" t="s">
        <v>520</v>
      </c>
      <c r="U289" s="16" t="s">
        <v>521</v>
      </c>
      <c r="V289" s="16" t="s">
        <v>94</v>
      </c>
      <c r="W289" s="14">
        <v>46001</v>
      </c>
      <c r="X289" s="16">
        <f t="shared" si="25"/>
        <v>12</v>
      </c>
      <c r="Y289" s="16"/>
      <c r="Z289" s="16"/>
      <c r="AA289" s="16"/>
      <c r="AB289" s="10" t="str">
        <f t="shared" si="26"/>
        <v>Closed in Dec</v>
      </c>
    </row>
    <row r="290" spans="1:28" x14ac:dyDescent="0.25">
      <c r="A290" s="14">
        <v>45989</v>
      </c>
      <c r="B290" s="15">
        <v>2025</v>
      </c>
      <c r="C290" s="26" t="s">
        <v>90</v>
      </c>
      <c r="D290" s="15" t="s">
        <v>194</v>
      </c>
      <c r="E290" s="16"/>
      <c r="F290" s="16" t="s">
        <v>60</v>
      </c>
      <c r="G290" s="15" t="s">
        <v>517</v>
      </c>
      <c r="H290" s="24">
        <v>8826633540</v>
      </c>
      <c r="I290" s="16"/>
      <c r="J290" s="9" t="s">
        <v>519</v>
      </c>
      <c r="K290" s="9" t="s">
        <v>150</v>
      </c>
      <c r="L290" s="9" t="s">
        <v>38</v>
      </c>
      <c r="M290" s="9" t="s">
        <v>33</v>
      </c>
      <c r="N290" s="78">
        <v>545</v>
      </c>
      <c r="O290" s="22">
        <v>26240831017096</v>
      </c>
      <c r="P290" s="19">
        <v>24</v>
      </c>
      <c r="Q290" s="19">
        <v>8</v>
      </c>
      <c r="R290" s="79" t="s">
        <v>25</v>
      </c>
      <c r="S290" s="19" t="s">
        <v>101</v>
      </c>
      <c r="T290" s="16" t="s">
        <v>520</v>
      </c>
      <c r="U290" s="16" t="s">
        <v>521</v>
      </c>
      <c r="V290" s="16" t="s">
        <v>94</v>
      </c>
      <c r="W290" s="14">
        <v>46001</v>
      </c>
      <c r="X290" s="16">
        <f t="shared" si="25"/>
        <v>12</v>
      </c>
      <c r="Y290" s="16"/>
      <c r="Z290" s="16"/>
      <c r="AA290" s="16"/>
      <c r="AB290" s="10" t="str">
        <f t="shared" si="26"/>
        <v>Closed in Dec</v>
      </c>
    </row>
    <row r="291" spans="1:28" x14ac:dyDescent="0.25">
      <c r="A291" s="14">
        <v>45989</v>
      </c>
      <c r="B291" s="15">
        <v>2025</v>
      </c>
      <c r="C291" s="26" t="s">
        <v>90</v>
      </c>
      <c r="D291" s="15" t="s">
        <v>194</v>
      </c>
      <c r="E291" s="16"/>
      <c r="F291" s="16" t="s">
        <v>60</v>
      </c>
      <c r="G291" s="15" t="s">
        <v>517</v>
      </c>
      <c r="H291" s="24">
        <v>8826633540</v>
      </c>
      <c r="I291" s="16"/>
      <c r="J291" s="9" t="s">
        <v>519</v>
      </c>
      <c r="K291" s="9" t="s">
        <v>150</v>
      </c>
      <c r="L291" s="9" t="s">
        <v>38</v>
      </c>
      <c r="M291" s="9" t="s">
        <v>33</v>
      </c>
      <c r="N291" s="78">
        <v>545</v>
      </c>
      <c r="O291" s="22">
        <v>26240831017093</v>
      </c>
      <c r="P291" s="19">
        <v>24</v>
      </c>
      <c r="Q291" s="19">
        <v>8</v>
      </c>
      <c r="R291" s="79" t="s">
        <v>25</v>
      </c>
      <c r="S291" s="19" t="s">
        <v>101</v>
      </c>
      <c r="T291" s="16" t="s">
        <v>520</v>
      </c>
      <c r="U291" s="16" t="s">
        <v>521</v>
      </c>
      <c r="V291" s="16" t="s">
        <v>94</v>
      </c>
      <c r="W291" s="14">
        <v>46001</v>
      </c>
      <c r="X291" s="16">
        <f t="shared" si="25"/>
        <v>12</v>
      </c>
      <c r="Y291" s="16"/>
      <c r="Z291" s="16"/>
      <c r="AA291" s="16"/>
      <c r="AB291" s="10" t="str">
        <f t="shared" si="26"/>
        <v>Closed in Dec</v>
      </c>
    </row>
    <row r="292" spans="1:28" x14ac:dyDescent="0.25">
      <c r="A292" s="14">
        <v>45989</v>
      </c>
      <c r="B292" s="15">
        <v>2025</v>
      </c>
      <c r="C292" s="26" t="s">
        <v>90</v>
      </c>
      <c r="D292" s="15" t="s">
        <v>194</v>
      </c>
      <c r="E292" s="16"/>
      <c r="F292" s="16" t="s">
        <v>60</v>
      </c>
      <c r="G292" s="15" t="s">
        <v>517</v>
      </c>
      <c r="H292" s="24">
        <v>8826633540</v>
      </c>
      <c r="I292" s="16"/>
      <c r="J292" s="9" t="s">
        <v>519</v>
      </c>
      <c r="K292" s="9" t="s">
        <v>150</v>
      </c>
      <c r="L292" s="9" t="s">
        <v>38</v>
      </c>
      <c r="M292" s="9" t="s">
        <v>33</v>
      </c>
      <c r="N292" s="78">
        <v>545</v>
      </c>
      <c r="O292" s="22">
        <v>26240831016903</v>
      </c>
      <c r="P292" s="19">
        <v>24</v>
      </c>
      <c r="Q292" s="19">
        <v>8</v>
      </c>
      <c r="R292" s="79" t="s">
        <v>25</v>
      </c>
      <c r="S292" s="19" t="s">
        <v>101</v>
      </c>
      <c r="T292" s="16" t="s">
        <v>520</v>
      </c>
      <c r="U292" s="16" t="s">
        <v>521</v>
      </c>
      <c r="V292" s="16" t="s">
        <v>94</v>
      </c>
      <c r="W292" s="14">
        <v>46001</v>
      </c>
      <c r="X292" s="16">
        <f t="shared" si="25"/>
        <v>12</v>
      </c>
      <c r="Y292" s="16"/>
      <c r="Z292" s="16"/>
      <c r="AA292" s="16"/>
      <c r="AB292" s="10" t="str">
        <f t="shared" si="26"/>
        <v>Closed in Dec</v>
      </c>
    </row>
    <row r="293" spans="1:28" x14ac:dyDescent="0.25">
      <c r="A293" s="14">
        <v>45989</v>
      </c>
      <c r="B293" s="15">
        <v>2025</v>
      </c>
      <c r="C293" s="26" t="s">
        <v>90</v>
      </c>
      <c r="D293" s="15" t="s">
        <v>194</v>
      </c>
      <c r="E293" s="16"/>
      <c r="F293" s="16" t="s">
        <v>60</v>
      </c>
      <c r="G293" s="15" t="s">
        <v>517</v>
      </c>
      <c r="H293" s="24">
        <v>8826633540</v>
      </c>
      <c r="I293" s="16"/>
      <c r="J293" s="9" t="s">
        <v>519</v>
      </c>
      <c r="K293" s="9" t="s">
        <v>150</v>
      </c>
      <c r="L293" s="9" t="s">
        <v>38</v>
      </c>
      <c r="M293" s="9" t="s">
        <v>33</v>
      </c>
      <c r="N293" s="78">
        <v>545</v>
      </c>
      <c r="O293" s="22">
        <v>26240831013425</v>
      </c>
      <c r="P293" s="19">
        <v>24</v>
      </c>
      <c r="Q293" s="19">
        <v>8</v>
      </c>
      <c r="R293" s="79" t="s">
        <v>25</v>
      </c>
      <c r="S293" s="19" t="s">
        <v>101</v>
      </c>
      <c r="T293" s="16" t="s">
        <v>520</v>
      </c>
      <c r="U293" s="16" t="s">
        <v>521</v>
      </c>
      <c r="V293" s="16" t="s">
        <v>94</v>
      </c>
      <c r="W293" s="14">
        <v>46001</v>
      </c>
      <c r="X293" s="16">
        <f t="shared" si="25"/>
        <v>12</v>
      </c>
      <c r="Y293" s="16"/>
      <c r="Z293" s="16"/>
      <c r="AA293" s="16"/>
      <c r="AB293" s="10" t="str">
        <f t="shared" si="26"/>
        <v>Closed in Dec</v>
      </c>
    </row>
    <row r="294" spans="1:28" x14ac:dyDescent="0.25">
      <c r="A294" s="14">
        <v>45989</v>
      </c>
      <c r="B294" s="15">
        <v>2025</v>
      </c>
      <c r="C294" s="26" t="s">
        <v>90</v>
      </c>
      <c r="D294" s="15" t="s">
        <v>194</v>
      </c>
      <c r="E294" s="16"/>
      <c r="F294" s="16" t="s">
        <v>60</v>
      </c>
      <c r="G294" s="15" t="s">
        <v>517</v>
      </c>
      <c r="H294" s="24">
        <v>8826633540</v>
      </c>
      <c r="I294" s="16"/>
      <c r="J294" s="9" t="s">
        <v>519</v>
      </c>
      <c r="K294" s="9" t="s">
        <v>150</v>
      </c>
      <c r="L294" s="9" t="s">
        <v>38</v>
      </c>
      <c r="M294" s="9" t="s">
        <v>33</v>
      </c>
      <c r="N294" s="78">
        <v>545</v>
      </c>
      <c r="O294" s="22">
        <v>26240831015463</v>
      </c>
      <c r="P294" s="19">
        <v>24</v>
      </c>
      <c r="Q294" s="19">
        <v>8</v>
      </c>
      <c r="R294" s="79" t="s">
        <v>25</v>
      </c>
      <c r="S294" s="19" t="s">
        <v>101</v>
      </c>
      <c r="T294" s="16" t="s">
        <v>520</v>
      </c>
      <c r="U294" s="16" t="s">
        <v>521</v>
      </c>
      <c r="V294" s="16" t="s">
        <v>94</v>
      </c>
      <c r="W294" s="14">
        <v>46001</v>
      </c>
      <c r="X294" s="16">
        <f t="shared" si="25"/>
        <v>12</v>
      </c>
      <c r="Y294" s="16"/>
      <c r="Z294" s="16"/>
      <c r="AA294" s="16"/>
      <c r="AB294" s="10" t="str">
        <f t="shared" si="26"/>
        <v>Closed in Dec</v>
      </c>
    </row>
    <row r="295" spans="1:28" x14ac:dyDescent="0.25">
      <c r="A295" s="14">
        <v>45989</v>
      </c>
      <c r="B295" s="15">
        <v>2025</v>
      </c>
      <c r="C295" s="26" t="s">
        <v>90</v>
      </c>
      <c r="D295" s="15" t="s">
        <v>194</v>
      </c>
      <c r="E295" s="16"/>
      <c r="F295" s="16" t="s">
        <v>60</v>
      </c>
      <c r="G295" s="15" t="s">
        <v>517</v>
      </c>
      <c r="H295" s="24">
        <v>8826633540</v>
      </c>
      <c r="I295" s="16"/>
      <c r="J295" s="9" t="s">
        <v>519</v>
      </c>
      <c r="K295" s="9" t="s">
        <v>150</v>
      </c>
      <c r="L295" s="9" t="s">
        <v>38</v>
      </c>
      <c r="M295" s="9" t="s">
        <v>33</v>
      </c>
      <c r="N295" s="78">
        <v>545</v>
      </c>
      <c r="O295" s="22">
        <v>26240831016897</v>
      </c>
      <c r="P295" s="19">
        <v>24</v>
      </c>
      <c r="Q295" s="19">
        <v>8</v>
      </c>
      <c r="R295" s="79" t="s">
        <v>25</v>
      </c>
      <c r="S295" s="19" t="s">
        <v>101</v>
      </c>
      <c r="T295" s="16" t="s">
        <v>520</v>
      </c>
      <c r="U295" s="16" t="s">
        <v>521</v>
      </c>
      <c r="V295" s="16" t="s">
        <v>94</v>
      </c>
      <c r="W295" s="14">
        <v>46001</v>
      </c>
      <c r="X295" s="16">
        <f t="shared" si="25"/>
        <v>12</v>
      </c>
      <c r="Y295" s="16"/>
      <c r="Z295" s="16"/>
      <c r="AA295" s="16"/>
      <c r="AB295" s="10" t="str">
        <f t="shared" si="26"/>
        <v>Closed in Dec</v>
      </c>
    </row>
    <row r="296" spans="1:28" x14ac:dyDescent="0.25">
      <c r="A296" s="14">
        <v>45989</v>
      </c>
      <c r="B296" s="15">
        <v>2025</v>
      </c>
      <c r="C296" s="26" t="s">
        <v>90</v>
      </c>
      <c r="D296" s="15" t="s">
        <v>194</v>
      </c>
      <c r="E296" s="16"/>
      <c r="F296" s="16" t="s">
        <v>60</v>
      </c>
      <c r="G296" s="15" t="s">
        <v>517</v>
      </c>
      <c r="H296" s="24">
        <v>8826633540</v>
      </c>
      <c r="I296" s="16"/>
      <c r="J296" s="9" t="s">
        <v>519</v>
      </c>
      <c r="K296" s="9" t="s">
        <v>150</v>
      </c>
      <c r="L296" s="9" t="s">
        <v>38</v>
      </c>
      <c r="M296" s="9" t="s">
        <v>33</v>
      </c>
      <c r="N296" s="78">
        <v>545</v>
      </c>
      <c r="O296" s="22">
        <v>26240831017065</v>
      </c>
      <c r="P296" s="19">
        <v>24</v>
      </c>
      <c r="Q296" s="19">
        <v>8</v>
      </c>
      <c r="R296" s="79" t="s">
        <v>25</v>
      </c>
      <c r="S296" s="19" t="s">
        <v>101</v>
      </c>
      <c r="T296" s="16" t="s">
        <v>520</v>
      </c>
      <c r="U296" s="16" t="s">
        <v>521</v>
      </c>
      <c r="V296" s="16" t="s">
        <v>94</v>
      </c>
      <c r="W296" s="14">
        <v>46001</v>
      </c>
      <c r="X296" s="16">
        <f t="shared" si="25"/>
        <v>12</v>
      </c>
      <c r="Y296" s="16"/>
      <c r="Z296" s="16"/>
      <c r="AA296" s="16"/>
      <c r="AB296" s="10" t="str">
        <f t="shared" si="26"/>
        <v>Closed in Dec</v>
      </c>
    </row>
    <row r="297" spans="1:28" x14ac:dyDescent="0.25">
      <c r="A297" s="14">
        <v>45989</v>
      </c>
      <c r="B297" s="15">
        <v>2025</v>
      </c>
      <c r="C297" s="26" t="s">
        <v>90</v>
      </c>
      <c r="D297" s="15" t="s">
        <v>194</v>
      </c>
      <c r="E297" s="16"/>
      <c r="F297" s="16" t="s">
        <v>60</v>
      </c>
      <c r="G297" s="15" t="s">
        <v>517</v>
      </c>
      <c r="H297" s="24">
        <v>8826633540</v>
      </c>
      <c r="I297" s="16"/>
      <c r="J297" s="9" t="s">
        <v>519</v>
      </c>
      <c r="K297" s="9" t="s">
        <v>150</v>
      </c>
      <c r="L297" s="9" t="s">
        <v>38</v>
      </c>
      <c r="M297" s="9" t="s">
        <v>33</v>
      </c>
      <c r="N297" s="78">
        <v>545</v>
      </c>
      <c r="O297" s="22">
        <v>26240831017099</v>
      </c>
      <c r="P297" s="19">
        <v>24</v>
      </c>
      <c r="Q297" s="19">
        <v>8</v>
      </c>
      <c r="R297" s="79" t="s">
        <v>25</v>
      </c>
      <c r="S297" s="19" t="s">
        <v>101</v>
      </c>
      <c r="T297" s="16" t="s">
        <v>520</v>
      </c>
      <c r="U297" s="16" t="s">
        <v>521</v>
      </c>
      <c r="V297" s="16" t="s">
        <v>94</v>
      </c>
      <c r="W297" s="14">
        <v>46001</v>
      </c>
      <c r="X297" s="16">
        <f t="shared" si="25"/>
        <v>12</v>
      </c>
      <c r="Y297" s="16"/>
      <c r="Z297" s="16"/>
      <c r="AA297" s="16"/>
      <c r="AB297" s="10" t="str">
        <f t="shared" si="26"/>
        <v>Closed in Dec</v>
      </c>
    </row>
    <row r="298" spans="1:28" x14ac:dyDescent="0.25">
      <c r="A298" s="14">
        <v>45989</v>
      </c>
      <c r="B298" s="15">
        <v>2025</v>
      </c>
      <c r="C298" s="26" t="s">
        <v>90</v>
      </c>
      <c r="D298" s="15" t="s">
        <v>194</v>
      </c>
      <c r="E298" s="16"/>
      <c r="F298" s="16" t="s">
        <v>60</v>
      </c>
      <c r="G298" s="15" t="s">
        <v>517</v>
      </c>
      <c r="H298" s="24">
        <v>8826633540</v>
      </c>
      <c r="I298" s="16"/>
      <c r="J298" s="9" t="s">
        <v>519</v>
      </c>
      <c r="K298" s="9" t="s">
        <v>150</v>
      </c>
      <c r="L298" s="9" t="s">
        <v>38</v>
      </c>
      <c r="M298" s="9" t="s">
        <v>33</v>
      </c>
      <c r="N298" s="78">
        <v>545</v>
      </c>
      <c r="O298" s="22">
        <v>26240831016939</v>
      </c>
      <c r="P298" s="19">
        <v>24</v>
      </c>
      <c r="Q298" s="19">
        <v>8</v>
      </c>
      <c r="R298" s="79" t="s">
        <v>25</v>
      </c>
      <c r="S298" s="19" t="s">
        <v>101</v>
      </c>
      <c r="T298" s="16" t="s">
        <v>520</v>
      </c>
      <c r="U298" s="16" t="s">
        <v>521</v>
      </c>
      <c r="V298" s="16" t="s">
        <v>94</v>
      </c>
      <c r="W298" s="14">
        <v>46001</v>
      </c>
      <c r="X298" s="16">
        <f t="shared" si="25"/>
        <v>12</v>
      </c>
      <c r="Y298" s="16"/>
      <c r="Z298" s="16"/>
      <c r="AA298" s="16"/>
      <c r="AB298" s="10" t="str">
        <f t="shared" si="26"/>
        <v>Closed in Dec</v>
      </c>
    </row>
    <row r="299" spans="1:28" x14ac:dyDescent="0.25">
      <c r="A299" s="14">
        <v>45989</v>
      </c>
      <c r="B299" s="15">
        <v>2025</v>
      </c>
      <c r="C299" s="26" t="s">
        <v>90</v>
      </c>
      <c r="D299" s="15" t="s">
        <v>194</v>
      </c>
      <c r="E299" s="16"/>
      <c r="F299" s="16" t="s">
        <v>60</v>
      </c>
      <c r="G299" s="15" t="s">
        <v>517</v>
      </c>
      <c r="H299" s="24">
        <v>8826633540</v>
      </c>
      <c r="I299" s="16"/>
      <c r="J299" s="9" t="s">
        <v>519</v>
      </c>
      <c r="K299" s="9" t="s">
        <v>150</v>
      </c>
      <c r="L299" s="9" t="s">
        <v>38</v>
      </c>
      <c r="M299" s="9" t="s">
        <v>33</v>
      </c>
      <c r="N299" s="78">
        <v>545</v>
      </c>
      <c r="O299" s="77">
        <v>26240831016869</v>
      </c>
      <c r="P299" s="19">
        <v>24</v>
      </c>
      <c r="Q299" s="19">
        <v>8</v>
      </c>
      <c r="R299" s="79" t="s">
        <v>25</v>
      </c>
      <c r="S299" s="19" t="s">
        <v>101</v>
      </c>
      <c r="T299" s="16" t="s">
        <v>520</v>
      </c>
      <c r="U299" s="16" t="s">
        <v>521</v>
      </c>
      <c r="V299" s="16" t="s">
        <v>94</v>
      </c>
      <c r="W299" s="14">
        <v>46001</v>
      </c>
      <c r="X299" s="16">
        <f t="shared" si="25"/>
        <v>12</v>
      </c>
      <c r="Y299" s="16"/>
      <c r="Z299" s="16"/>
      <c r="AA299" s="16"/>
      <c r="AB299" s="10" t="str">
        <f t="shared" si="26"/>
        <v>Closed in Dec</v>
      </c>
    </row>
    <row r="300" spans="1:28" x14ac:dyDescent="0.25">
      <c r="A300" s="14">
        <v>45989</v>
      </c>
      <c r="B300" s="15">
        <v>2025</v>
      </c>
      <c r="C300" s="26" t="s">
        <v>90</v>
      </c>
      <c r="D300" s="15" t="s">
        <v>194</v>
      </c>
      <c r="E300" s="16"/>
      <c r="F300" s="16" t="s">
        <v>60</v>
      </c>
      <c r="G300" s="15" t="s">
        <v>517</v>
      </c>
      <c r="H300" s="24">
        <v>8826633540</v>
      </c>
      <c r="I300" s="16"/>
      <c r="J300" s="9" t="s">
        <v>519</v>
      </c>
      <c r="K300" s="9" t="s">
        <v>150</v>
      </c>
      <c r="L300" s="9" t="s">
        <v>38</v>
      </c>
      <c r="M300" s="9" t="s">
        <v>33</v>
      </c>
      <c r="N300" s="78">
        <v>545</v>
      </c>
      <c r="O300" s="77">
        <v>26240831016765</v>
      </c>
      <c r="P300" s="19">
        <v>24</v>
      </c>
      <c r="Q300" s="19">
        <v>8</v>
      </c>
      <c r="R300" s="79" t="s">
        <v>25</v>
      </c>
      <c r="S300" s="19" t="s">
        <v>101</v>
      </c>
      <c r="T300" s="16" t="s">
        <v>520</v>
      </c>
      <c r="U300" s="16" t="s">
        <v>521</v>
      </c>
      <c r="V300" s="16" t="s">
        <v>94</v>
      </c>
      <c r="W300" s="14">
        <v>46001</v>
      </c>
      <c r="X300" s="16">
        <f t="shared" si="25"/>
        <v>12</v>
      </c>
      <c r="Y300" s="16"/>
      <c r="Z300" s="16"/>
      <c r="AA300" s="23"/>
      <c r="AB300" s="10" t="str">
        <f t="shared" si="26"/>
        <v>Closed in Dec</v>
      </c>
    </row>
    <row r="301" spans="1:28" x14ac:dyDescent="0.25">
      <c r="A301" s="14">
        <v>45988</v>
      </c>
      <c r="B301" s="15">
        <v>2025</v>
      </c>
      <c r="C301" s="16" t="s">
        <v>88</v>
      </c>
      <c r="D301" s="26" t="s">
        <v>315</v>
      </c>
      <c r="E301" s="16" t="s">
        <v>88</v>
      </c>
      <c r="F301" s="15" t="s">
        <v>60</v>
      </c>
      <c r="G301" s="41" t="s">
        <v>423</v>
      </c>
      <c r="H301" s="16">
        <v>8909173473</v>
      </c>
      <c r="I301" s="16"/>
      <c r="J301" s="20" t="s">
        <v>424</v>
      </c>
      <c r="K301" s="25" t="s">
        <v>144</v>
      </c>
      <c r="L301" s="25" t="s">
        <v>84</v>
      </c>
      <c r="M301" s="22" t="s">
        <v>31</v>
      </c>
      <c r="N301" s="23">
        <v>610</v>
      </c>
      <c r="O301" s="48" t="s">
        <v>522</v>
      </c>
      <c r="P301" s="47" t="str">
        <f t="shared" ref="P301:P364" si="29">MID(O301,5,2)</f>
        <v>25</v>
      </c>
      <c r="Q301" s="19" t="str">
        <f t="shared" ref="Q301:Q364" si="30">MID(O301,7,2)</f>
        <v>06</v>
      </c>
      <c r="R301" s="19" t="s">
        <v>27</v>
      </c>
      <c r="S301" s="19" t="s">
        <v>102</v>
      </c>
      <c r="T301" s="22" t="s">
        <v>31</v>
      </c>
      <c r="U301" s="26" t="s">
        <v>328</v>
      </c>
      <c r="V301" s="16" t="s">
        <v>93</v>
      </c>
      <c r="W301" s="14">
        <v>46007</v>
      </c>
      <c r="X301" s="16">
        <f t="shared" si="25"/>
        <v>19</v>
      </c>
      <c r="AB301" s="10" t="str">
        <f t="shared" si="26"/>
        <v>Closed in Dec</v>
      </c>
    </row>
    <row r="302" spans="1:28" x14ac:dyDescent="0.25">
      <c r="A302" s="14">
        <v>45988</v>
      </c>
      <c r="B302" s="15">
        <v>2025</v>
      </c>
      <c r="C302" s="16" t="s">
        <v>88</v>
      </c>
      <c r="D302" s="26" t="s">
        <v>315</v>
      </c>
      <c r="E302" s="16" t="s">
        <v>88</v>
      </c>
      <c r="F302" s="15" t="s">
        <v>60</v>
      </c>
      <c r="G302" s="41" t="s">
        <v>423</v>
      </c>
      <c r="H302" s="16">
        <v>8909173473</v>
      </c>
      <c r="I302" s="16"/>
      <c r="J302" s="20" t="s">
        <v>424</v>
      </c>
      <c r="K302" s="25" t="s">
        <v>144</v>
      </c>
      <c r="L302" s="25" t="s">
        <v>84</v>
      </c>
      <c r="M302" s="27" t="s">
        <v>29</v>
      </c>
      <c r="N302" s="23">
        <v>610</v>
      </c>
      <c r="O302" s="48" t="s">
        <v>523</v>
      </c>
      <c r="P302" s="47" t="str">
        <f t="shared" si="29"/>
        <v>25</v>
      </c>
      <c r="Q302" s="19" t="str">
        <f t="shared" si="30"/>
        <v>05</v>
      </c>
      <c r="R302" s="19" t="s">
        <v>27</v>
      </c>
      <c r="S302" s="19" t="s">
        <v>102</v>
      </c>
      <c r="T302" s="22" t="s">
        <v>31</v>
      </c>
      <c r="U302" s="16" t="s">
        <v>314</v>
      </c>
      <c r="V302" s="16" t="s">
        <v>93</v>
      </c>
      <c r="W302" s="14">
        <v>46007</v>
      </c>
      <c r="X302" s="16">
        <f t="shared" si="25"/>
        <v>19</v>
      </c>
      <c r="AB302" s="10" t="str">
        <f t="shared" si="26"/>
        <v>Closed in Dec</v>
      </c>
    </row>
    <row r="303" spans="1:28" x14ac:dyDescent="0.25">
      <c r="A303" s="14">
        <v>45988</v>
      </c>
      <c r="B303" s="15">
        <v>2025</v>
      </c>
      <c r="C303" s="16" t="s">
        <v>88</v>
      </c>
      <c r="D303" s="26" t="s">
        <v>315</v>
      </c>
      <c r="E303" s="16" t="s">
        <v>88</v>
      </c>
      <c r="F303" s="15" t="s">
        <v>60</v>
      </c>
      <c r="G303" s="41" t="s">
        <v>423</v>
      </c>
      <c r="H303" s="16">
        <v>8909173473</v>
      </c>
      <c r="I303" s="16"/>
      <c r="J303" s="20" t="s">
        <v>424</v>
      </c>
      <c r="K303" s="25" t="s">
        <v>144</v>
      </c>
      <c r="L303" s="25" t="s">
        <v>84</v>
      </c>
      <c r="M303" s="27" t="s">
        <v>29</v>
      </c>
      <c r="N303" s="23">
        <v>610</v>
      </c>
      <c r="O303" s="48" t="s">
        <v>524</v>
      </c>
      <c r="P303" s="47" t="str">
        <f t="shared" si="29"/>
        <v>25</v>
      </c>
      <c r="Q303" s="19" t="str">
        <f t="shared" si="30"/>
        <v>06</v>
      </c>
      <c r="R303" s="19" t="s">
        <v>27</v>
      </c>
      <c r="S303" s="19" t="s">
        <v>102</v>
      </c>
      <c r="T303" s="22" t="s">
        <v>31</v>
      </c>
      <c r="U303" s="27" t="s">
        <v>338</v>
      </c>
      <c r="V303" s="16" t="s">
        <v>93</v>
      </c>
      <c r="W303" s="14">
        <v>46007</v>
      </c>
      <c r="X303" s="16">
        <f t="shared" si="25"/>
        <v>19</v>
      </c>
      <c r="AB303" s="10" t="str">
        <f t="shared" si="26"/>
        <v>Closed in Dec</v>
      </c>
    </row>
    <row r="304" spans="1:28" x14ac:dyDescent="0.25">
      <c r="A304" s="14">
        <v>45988</v>
      </c>
      <c r="B304" s="15">
        <v>2025</v>
      </c>
      <c r="C304" s="16" t="s">
        <v>88</v>
      </c>
      <c r="D304" s="26" t="s">
        <v>315</v>
      </c>
      <c r="E304" s="16" t="s">
        <v>88</v>
      </c>
      <c r="F304" s="15" t="s">
        <v>60</v>
      </c>
      <c r="G304" s="41" t="s">
        <v>423</v>
      </c>
      <c r="H304" s="16">
        <v>8909173473</v>
      </c>
      <c r="I304" s="16"/>
      <c r="J304" s="20" t="s">
        <v>424</v>
      </c>
      <c r="K304" s="25" t="s">
        <v>144</v>
      </c>
      <c r="L304" s="25" t="s">
        <v>84</v>
      </c>
      <c r="M304" s="27" t="s">
        <v>29</v>
      </c>
      <c r="N304" s="23">
        <v>610</v>
      </c>
      <c r="O304" s="48" t="s">
        <v>525</v>
      </c>
      <c r="P304" s="47" t="str">
        <f t="shared" si="29"/>
        <v>25</v>
      </c>
      <c r="Q304" s="19" t="str">
        <f t="shared" si="30"/>
        <v>07</v>
      </c>
      <c r="R304" s="19" t="s">
        <v>27</v>
      </c>
      <c r="S304" s="19" t="s">
        <v>102</v>
      </c>
      <c r="T304" s="22" t="s">
        <v>31</v>
      </c>
      <c r="U304" s="27" t="s">
        <v>338</v>
      </c>
      <c r="V304" s="16" t="s">
        <v>93</v>
      </c>
      <c r="W304" s="14">
        <v>46007</v>
      </c>
      <c r="X304" s="16">
        <f t="shared" si="25"/>
        <v>19</v>
      </c>
      <c r="AB304" s="10" t="str">
        <f t="shared" si="26"/>
        <v>Closed in Dec</v>
      </c>
    </row>
    <row r="305" spans="1:28" x14ac:dyDescent="0.25">
      <c r="A305" s="14">
        <v>45988</v>
      </c>
      <c r="B305" s="15">
        <v>2025</v>
      </c>
      <c r="C305" s="16" t="s">
        <v>88</v>
      </c>
      <c r="D305" s="26" t="s">
        <v>315</v>
      </c>
      <c r="E305" s="16" t="s">
        <v>88</v>
      </c>
      <c r="F305" s="15" t="s">
        <v>60</v>
      </c>
      <c r="G305" s="41" t="s">
        <v>423</v>
      </c>
      <c r="H305" s="16">
        <v>8909173473</v>
      </c>
      <c r="I305" s="16"/>
      <c r="J305" s="20" t="s">
        <v>424</v>
      </c>
      <c r="K305" s="25" t="s">
        <v>144</v>
      </c>
      <c r="L305" s="25" t="s">
        <v>84</v>
      </c>
      <c r="M305" s="27" t="s">
        <v>29</v>
      </c>
      <c r="N305" s="23">
        <v>610</v>
      </c>
      <c r="O305" s="48" t="s">
        <v>526</v>
      </c>
      <c r="P305" s="47" t="str">
        <f t="shared" si="29"/>
        <v>25</v>
      </c>
      <c r="Q305" s="19" t="str">
        <f t="shared" si="30"/>
        <v>05</v>
      </c>
      <c r="R305" s="19" t="s">
        <v>27</v>
      </c>
      <c r="S305" s="19" t="s">
        <v>102</v>
      </c>
      <c r="T305" s="22" t="s">
        <v>31</v>
      </c>
      <c r="U305" s="27" t="s">
        <v>338</v>
      </c>
      <c r="V305" s="16" t="s">
        <v>93</v>
      </c>
      <c r="W305" s="14">
        <v>46007</v>
      </c>
      <c r="X305" s="16">
        <f t="shared" si="25"/>
        <v>19</v>
      </c>
      <c r="AB305" s="10" t="str">
        <f t="shared" si="26"/>
        <v>Closed in Dec</v>
      </c>
    </row>
    <row r="306" spans="1:28" x14ac:dyDescent="0.25">
      <c r="A306" s="14">
        <v>45988</v>
      </c>
      <c r="B306" s="15">
        <v>2025</v>
      </c>
      <c r="C306" s="16" t="s">
        <v>88</v>
      </c>
      <c r="D306" s="26" t="s">
        <v>315</v>
      </c>
      <c r="E306" s="16" t="s">
        <v>88</v>
      </c>
      <c r="F306" s="15" t="s">
        <v>60</v>
      </c>
      <c r="G306" s="41" t="s">
        <v>423</v>
      </c>
      <c r="H306" s="16">
        <v>8909173473</v>
      </c>
      <c r="I306" s="16"/>
      <c r="J306" s="20" t="s">
        <v>424</v>
      </c>
      <c r="K306" s="25" t="s">
        <v>144</v>
      </c>
      <c r="L306" s="25" t="s">
        <v>84</v>
      </c>
      <c r="M306" s="22" t="s">
        <v>31</v>
      </c>
      <c r="N306" s="23">
        <v>610</v>
      </c>
      <c r="O306" s="48" t="s">
        <v>527</v>
      </c>
      <c r="P306" s="47" t="str">
        <f t="shared" si="29"/>
        <v>25</v>
      </c>
      <c r="Q306" s="19" t="str">
        <f t="shared" si="30"/>
        <v>06</v>
      </c>
      <c r="R306" s="19" t="s">
        <v>27</v>
      </c>
      <c r="S306" s="19" t="s">
        <v>102</v>
      </c>
      <c r="T306" s="22" t="s">
        <v>31</v>
      </c>
      <c r="U306" s="26" t="s">
        <v>328</v>
      </c>
      <c r="V306" s="16" t="s">
        <v>93</v>
      </c>
      <c r="W306" s="14">
        <v>46007</v>
      </c>
      <c r="X306" s="16">
        <f t="shared" si="25"/>
        <v>19</v>
      </c>
      <c r="AB306" s="10" t="str">
        <f t="shared" si="26"/>
        <v>Closed in Dec</v>
      </c>
    </row>
    <row r="307" spans="1:28" x14ac:dyDescent="0.25">
      <c r="A307" s="14">
        <v>45988</v>
      </c>
      <c r="B307" s="15">
        <v>2025</v>
      </c>
      <c r="C307" s="16" t="s">
        <v>88</v>
      </c>
      <c r="D307" s="26" t="s">
        <v>315</v>
      </c>
      <c r="E307" s="16" t="s">
        <v>88</v>
      </c>
      <c r="F307" s="15" t="s">
        <v>60</v>
      </c>
      <c r="G307" s="41" t="s">
        <v>423</v>
      </c>
      <c r="H307" s="16">
        <v>8909173473</v>
      </c>
      <c r="I307" s="16"/>
      <c r="J307" s="20" t="s">
        <v>424</v>
      </c>
      <c r="K307" s="25" t="s">
        <v>144</v>
      </c>
      <c r="L307" s="25" t="s">
        <v>84</v>
      </c>
      <c r="M307" s="27" t="s">
        <v>29</v>
      </c>
      <c r="N307" s="23">
        <v>610</v>
      </c>
      <c r="O307" s="48" t="s">
        <v>528</v>
      </c>
      <c r="P307" s="47" t="str">
        <f t="shared" si="29"/>
        <v>25</v>
      </c>
      <c r="Q307" s="19" t="str">
        <f t="shared" si="30"/>
        <v>06</v>
      </c>
      <c r="R307" s="19" t="s">
        <v>27</v>
      </c>
      <c r="S307" s="19" t="s">
        <v>102</v>
      </c>
      <c r="T307" s="22" t="s">
        <v>31</v>
      </c>
      <c r="U307" s="16" t="s">
        <v>314</v>
      </c>
      <c r="V307" s="16" t="s">
        <v>93</v>
      </c>
      <c r="W307" s="14">
        <v>46007</v>
      </c>
      <c r="X307" s="16">
        <f t="shared" si="25"/>
        <v>19</v>
      </c>
      <c r="AB307" s="10" t="str">
        <f t="shared" si="26"/>
        <v>Closed in Dec</v>
      </c>
    </row>
    <row r="308" spans="1:28" x14ac:dyDescent="0.25">
      <c r="A308" s="14">
        <v>45988</v>
      </c>
      <c r="B308" s="15">
        <v>2025</v>
      </c>
      <c r="C308" s="16" t="s">
        <v>88</v>
      </c>
      <c r="D308" s="26" t="s">
        <v>315</v>
      </c>
      <c r="E308" s="16" t="s">
        <v>88</v>
      </c>
      <c r="F308" s="15" t="s">
        <v>60</v>
      </c>
      <c r="G308" s="41" t="s">
        <v>423</v>
      </c>
      <c r="H308" s="16">
        <v>8909173473</v>
      </c>
      <c r="I308" s="16"/>
      <c r="J308" s="20" t="s">
        <v>424</v>
      </c>
      <c r="K308" s="25" t="s">
        <v>144</v>
      </c>
      <c r="L308" s="25" t="s">
        <v>84</v>
      </c>
      <c r="M308" s="27" t="s">
        <v>29</v>
      </c>
      <c r="N308" s="23">
        <v>610</v>
      </c>
      <c r="O308" s="48" t="s">
        <v>529</v>
      </c>
      <c r="P308" s="47" t="str">
        <f t="shared" si="29"/>
        <v>25</v>
      </c>
      <c r="Q308" s="19" t="str">
        <f t="shared" si="30"/>
        <v>06</v>
      </c>
      <c r="R308" s="19" t="s">
        <v>27</v>
      </c>
      <c r="S308" s="19" t="s">
        <v>102</v>
      </c>
      <c r="T308" s="22" t="s">
        <v>31</v>
      </c>
      <c r="U308" s="16" t="s">
        <v>314</v>
      </c>
      <c r="V308" s="16" t="s">
        <v>93</v>
      </c>
      <c r="W308" s="14">
        <v>46007</v>
      </c>
      <c r="X308" s="16">
        <f t="shared" si="25"/>
        <v>19</v>
      </c>
      <c r="AB308" s="10" t="str">
        <f t="shared" si="26"/>
        <v>Closed in Dec</v>
      </c>
    </row>
    <row r="309" spans="1:28" x14ac:dyDescent="0.25">
      <c r="A309" s="14">
        <v>45988</v>
      </c>
      <c r="B309" s="15">
        <v>2025</v>
      </c>
      <c r="C309" s="16" t="s">
        <v>88</v>
      </c>
      <c r="D309" s="26" t="s">
        <v>315</v>
      </c>
      <c r="E309" s="16" t="s">
        <v>88</v>
      </c>
      <c r="F309" s="15" t="s">
        <v>60</v>
      </c>
      <c r="G309" s="41" t="s">
        <v>423</v>
      </c>
      <c r="H309" s="16">
        <v>8909173473</v>
      </c>
      <c r="I309" s="16"/>
      <c r="J309" s="20" t="s">
        <v>424</v>
      </c>
      <c r="K309" s="25" t="s">
        <v>144</v>
      </c>
      <c r="L309" s="25" t="s">
        <v>84</v>
      </c>
      <c r="M309" s="22" t="s">
        <v>31</v>
      </c>
      <c r="N309" s="23">
        <v>610</v>
      </c>
      <c r="O309" s="48" t="s">
        <v>530</v>
      </c>
      <c r="P309" s="47" t="str">
        <f t="shared" si="29"/>
        <v>25</v>
      </c>
      <c r="Q309" s="19" t="str">
        <f t="shared" si="30"/>
        <v>05</v>
      </c>
      <c r="R309" s="19" t="s">
        <v>27</v>
      </c>
      <c r="S309" s="19" t="s">
        <v>102</v>
      </c>
      <c r="T309" s="22" t="s">
        <v>31</v>
      </c>
      <c r="U309" s="26" t="s">
        <v>328</v>
      </c>
      <c r="V309" s="16" t="s">
        <v>93</v>
      </c>
      <c r="W309" s="14">
        <v>46007</v>
      </c>
      <c r="X309" s="16">
        <f t="shared" si="25"/>
        <v>19</v>
      </c>
      <c r="AB309" s="10" t="str">
        <f t="shared" si="26"/>
        <v>Closed in Dec</v>
      </c>
    </row>
    <row r="310" spans="1:28" x14ac:dyDescent="0.25">
      <c r="A310" s="14">
        <v>45988</v>
      </c>
      <c r="B310" s="15">
        <v>2025</v>
      </c>
      <c r="C310" s="16" t="s">
        <v>88</v>
      </c>
      <c r="D310" s="26" t="s">
        <v>315</v>
      </c>
      <c r="E310" s="16" t="s">
        <v>88</v>
      </c>
      <c r="F310" s="15" t="s">
        <v>60</v>
      </c>
      <c r="G310" s="41" t="s">
        <v>423</v>
      </c>
      <c r="H310" s="16">
        <v>8909173473</v>
      </c>
      <c r="I310" s="16"/>
      <c r="J310" s="20" t="s">
        <v>424</v>
      </c>
      <c r="K310" s="25" t="s">
        <v>144</v>
      </c>
      <c r="L310" s="25" t="s">
        <v>84</v>
      </c>
      <c r="M310" s="22" t="s">
        <v>31</v>
      </c>
      <c r="N310" s="23">
        <v>610</v>
      </c>
      <c r="O310" s="48" t="s">
        <v>531</v>
      </c>
      <c r="P310" s="47" t="str">
        <f t="shared" si="29"/>
        <v>25</v>
      </c>
      <c r="Q310" s="19" t="str">
        <f t="shared" si="30"/>
        <v>05</v>
      </c>
      <c r="R310" s="19" t="s">
        <v>27</v>
      </c>
      <c r="S310" s="19" t="s">
        <v>102</v>
      </c>
      <c r="T310" s="22" t="s">
        <v>31</v>
      </c>
      <c r="U310" s="26" t="s">
        <v>328</v>
      </c>
      <c r="V310" s="16" t="s">
        <v>93</v>
      </c>
      <c r="W310" s="14">
        <v>46007</v>
      </c>
      <c r="X310" s="16">
        <f t="shared" si="25"/>
        <v>19</v>
      </c>
      <c r="AB310" s="10" t="str">
        <f t="shared" si="26"/>
        <v>Closed in Dec</v>
      </c>
    </row>
    <row r="311" spans="1:28" x14ac:dyDescent="0.25">
      <c r="A311" s="14">
        <v>45988</v>
      </c>
      <c r="B311" s="15">
        <v>2025</v>
      </c>
      <c r="C311" s="16" t="s">
        <v>88</v>
      </c>
      <c r="D311" s="26" t="s">
        <v>315</v>
      </c>
      <c r="E311" s="16" t="s">
        <v>88</v>
      </c>
      <c r="F311" s="15" t="s">
        <v>60</v>
      </c>
      <c r="G311" s="41" t="s">
        <v>423</v>
      </c>
      <c r="H311" s="16">
        <v>8909173473</v>
      </c>
      <c r="I311" s="16"/>
      <c r="J311" s="20" t="s">
        <v>424</v>
      </c>
      <c r="K311" s="25" t="s">
        <v>144</v>
      </c>
      <c r="L311" s="25" t="s">
        <v>84</v>
      </c>
      <c r="M311" s="27" t="s">
        <v>29</v>
      </c>
      <c r="N311" s="23">
        <v>610</v>
      </c>
      <c r="O311" s="48" t="s">
        <v>532</v>
      </c>
      <c r="P311" s="47" t="str">
        <f t="shared" si="29"/>
        <v>25</v>
      </c>
      <c r="Q311" s="19" t="str">
        <f t="shared" si="30"/>
        <v>05</v>
      </c>
      <c r="R311" s="19" t="s">
        <v>27</v>
      </c>
      <c r="S311" s="19" t="s">
        <v>102</v>
      </c>
      <c r="T311" s="22" t="s">
        <v>31</v>
      </c>
      <c r="U311" s="16" t="s">
        <v>314</v>
      </c>
      <c r="V311" s="16" t="s">
        <v>93</v>
      </c>
      <c r="W311" s="14">
        <v>46007</v>
      </c>
      <c r="X311" s="16">
        <f t="shared" si="25"/>
        <v>19</v>
      </c>
      <c r="AB311" s="10" t="str">
        <f t="shared" si="26"/>
        <v>Closed in Dec</v>
      </c>
    </row>
    <row r="312" spans="1:28" x14ac:dyDescent="0.25">
      <c r="A312" s="14">
        <v>45988</v>
      </c>
      <c r="B312" s="15">
        <v>2025</v>
      </c>
      <c r="C312" s="16" t="s">
        <v>88</v>
      </c>
      <c r="D312" s="26" t="s">
        <v>315</v>
      </c>
      <c r="E312" s="16" t="s">
        <v>88</v>
      </c>
      <c r="F312" s="15" t="s">
        <v>60</v>
      </c>
      <c r="G312" s="41" t="s">
        <v>423</v>
      </c>
      <c r="H312" s="16">
        <v>8909173473</v>
      </c>
      <c r="I312" s="16"/>
      <c r="J312" s="20" t="s">
        <v>424</v>
      </c>
      <c r="K312" s="25" t="s">
        <v>144</v>
      </c>
      <c r="L312" s="25" t="s">
        <v>84</v>
      </c>
      <c r="M312" s="27" t="s">
        <v>29</v>
      </c>
      <c r="N312" s="23">
        <v>610</v>
      </c>
      <c r="O312" s="48" t="s">
        <v>533</v>
      </c>
      <c r="P312" s="47" t="str">
        <f t="shared" si="29"/>
        <v>25</v>
      </c>
      <c r="Q312" s="19" t="str">
        <f t="shared" si="30"/>
        <v>05</v>
      </c>
      <c r="R312" s="19" t="s">
        <v>27</v>
      </c>
      <c r="S312" s="19" t="s">
        <v>102</v>
      </c>
      <c r="T312" s="22" t="s">
        <v>31</v>
      </c>
      <c r="U312" s="16" t="s">
        <v>314</v>
      </c>
      <c r="V312" s="16" t="s">
        <v>93</v>
      </c>
      <c r="W312" s="14">
        <v>46007</v>
      </c>
      <c r="X312" s="16">
        <f t="shared" si="25"/>
        <v>19</v>
      </c>
      <c r="AB312" s="10" t="str">
        <f t="shared" si="26"/>
        <v>Closed in Dec</v>
      </c>
    </row>
    <row r="313" spans="1:28" x14ac:dyDescent="0.25">
      <c r="A313" s="14">
        <v>45988</v>
      </c>
      <c r="B313" s="15">
        <v>2025</v>
      </c>
      <c r="C313" s="16" t="s">
        <v>88</v>
      </c>
      <c r="D313" s="26" t="s">
        <v>315</v>
      </c>
      <c r="E313" s="16" t="s">
        <v>88</v>
      </c>
      <c r="F313" s="15" t="s">
        <v>60</v>
      </c>
      <c r="G313" s="41" t="s">
        <v>423</v>
      </c>
      <c r="H313" s="16">
        <v>8909173473</v>
      </c>
      <c r="I313" s="16"/>
      <c r="J313" s="20" t="s">
        <v>424</v>
      </c>
      <c r="K313" s="25" t="s">
        <v>144</v>
      </c>
      <c r="L313" s="25" t="s">
        <v>84</v>
      </c>
      <c r="M313" s="27" t="s">
        <v>29</v>
      </c>
      <c r="N313" s="23">
        <v>610</v>
      </c>
      <c r="O313" s="48" t="s">
        <v>534</v>
      </c>
      <c r="P313" s="47" t="str">
        <f t="shared" si="29"/>
        <v>25</v>
      </c>
      <c r="Q313" s="19" t="str">
        <f t="shared" si="30"/>
        <v>06</v>
      </c>
      <c r="R313" s="19" t="s">
        <v>27</v>
      </c>
      <c r="S313" s="19" t="s">
        <v>102</v>
      </c>
      <c r="T313" s="22" t="s">
        <v>31</v>
      </c>
      <c r="U313" s="27" t="s">
        <v>338</v>
      </c>
      <c r="V313" s="16" t="s">
        <v>93</v>
      </c>
      <c r="W313" s="14">
        <v>46007</v>
      </c>
      <c r="X313" s="16">
        <f t="shared" si="25"/>
        <v>19</v>
      </c>
      <c r="AB313" s="10" t="str">
        <f t="shared" si="26"/>
        <v>Closed in Dec</v>
      </c>
    </row>
    <row r="314" spans="1:28" x14ac:dyDescent="0.25">
      <c r="A314" s="14">
        <v>45988</v>
      </c>
      <c r="B314" s="15">
        <v>2025</v>
      </c>
      <c r="C314" s="16" t="s">
        <v>88</v>
      </c>
      <c r="D314" s="26" t="s">
        <v>315</v>
      </c>
      <c r="E314" s="16" t="s">
        <v>88</v>
      </c>
      <c r="F314" s="15" t="s">
        <v>60</v>
      </c>
      <c r="G314" s="41" t="s">
        <v>423</v>
      </c>
      <c r="H314" s="16">
        <v>8909173473</v>
      </c>
      <c r="I314" s="16"/>
      <c r="J314" s="20" t="s">
        <v>424</v>
      </c>
      <c r="K314" s="25" t="s">
        <v>144</v>
      </c>
      <c r="L314" s="25" t="s">
        <v>84</v>
      </c>
      <c r="M314" s="27" t="s">
        <v>29</v>
      </c>
      <c r="N314" s="23">
        <v>610</v>
      </c>
      <c r="O314" s="48" t="s">
        <v>535</v>
      </c>
      <c r="P314" s="47" t="str">
        <f t="shared" si="29"/>
        <v>25</v>
      </c>
      <c r="Q314" s="19" t="str">
        <f t="shared" si="30"/>
        <v>05</v>
      </c>
      <c r="R314" s="19" t="s">
        <v>27</v>
      </c>
      <c r="S314" s="19" t="s">
        <v>102</v>
      </c>
      <c r="T314" s="22" t="s">
        <v>31</v>
      </c>
      <c r="U314" s="27" t="s">
        <v>338</v>
      </c>
      <c r="V314" s="16" t="s">
        <v>93</v>
      </c>
      <c r="W314" s="14">
        <v>46007</v>
      </c>
      <c r="X314" s="16">
        <f t="shared" si="25"/>
        <v>19</v>
      </c>
      <c r="AB314" s="10" t="str">
        <f t="shared" si="26"/>
        <v>Closed in Dec</v>
      </c>
    </row>
    <row r="315" spans="1:28" x14ac:dyDescent="0.25">
      <c r="A315" s="14">
        <v>45988</v>
      </c>
      <c r="B315" s="15">
        <v>2025</v>
      </c>
      <c r="C315" s="16" t="s">
        <v>88</v>
      </c>
      <c r="D315" s="26" t="s">
        <v>315</v>
      </c>
      <c r="E315" s="16" t="s">
        <v>88</v>
      </c>
      <c r="F315" s="15" t="s">
        <v>60</v>
      </c>
      <c r="G315" s="41" t="s">
        <v>423</v>
      </c>
      <c r="H315" s="16">
        <v>8909173473</v>
      </c>
      <c r="I315" s="16"/>
      <c r="J315" s="20" t="s">
        <v>424</v>
      </c>
      <c r="K315" s="25" t="s">
        <v>144</v>
      </c>
      <c r="L315" s="25" t="s">
        <v>84</v>
      </c>
      <c r="M315" s="27" t="s">
        <v>29</v>
      </c>
      <c r="N315" s="23">
        <v>610</v>
      </c>
      <c r="O315" s="48" t="s">
        <v>536</v>
      </c>
      <c r="P315" s="47" t="str">
        <f t="shared" si="29"/>
        <v>25</v>
      </c>
      <c r="Q315" s="19" t="str">
        <f t="shared" si="30"/>
        <v>05</v>
      </c>
      <c r="R315" s="19" t="s">
        <v>27</v>
      </c>
      <c r="S315" s="19" t="s">
        <v>102</v>
      </c>
      <c r="T315" s="22" t="s">
        <v>31</v>
      </c>
      <c r="U315" s="27" t="s">
        <v>338</v>
      </c>
      <c r="V315" s="16" t="s">
        <v>93</v>
      </c>
      <c r="W315" s="14">
        <v>46007</v>
      </c>
      <c r="X315" s="16">
        <f t="shared" si="25"/>
        <v>19</v>
      </c>
      <c r="AB315" s="10" t="str">
        <f t="shared" si="26"/>
        <v>Closed in Dec</v>
      </c>
    </row>
    <row r="316" spans="1:28" x14ac:dyDescent="0.25">
      <c r="A316" s="14">
        <v>45988</v>
      </c>
      <c r="B316" s="15">
        <v>2025</v>
      </c>
      <c r="C316" s="16" t="s">
        <v>88</v>
      </c>
      <c r="D316" s="26" t="s">
        <v>315</v>
      </c>
      <c r="E316" s="16" t="s">
        <v>88</v>
      </c>
      <c r="F316" s="15" t="s">
        <v>60</v>
      </c>
      <c r="G316" s="41" t="s">
        <v>423</v>
      </c>
      <c r="H316" s="16">
        <v>8909173473</v>
      </c>
      <c r="I316" s="16"/>
      <c r="J316" s="20" t="s">
        <v>424</v>
      </c>
      <c r="K316" s="25" t="s">
        <v>144</v>
      </c>
      <c r="L316" s="25" t="s">
        <v>84</v>
      </c>
      <c r="M316" s="27" t="s">
        <v>29</v>
      </c>
      <c r="N316" s="23">
        <v>610</v>
      </c>
      <c r="O316" s="48" t="s">
        <v>537</v>
      </c>
      <c r="P316" s="47" t="str">
        <f t="shared" si="29"/>
        <v>25</v>
      </c>
      <c r="Q316" s="19" t="str">
        <f t="shared" si="30"/>
        <v>05</v>
      </c>
      <c r="R316" s="19" t="s">
        <v>27</v>
      </c>
      <c r="S316" s="19" t="s">
        <v>102</v>
      </c>
      <c r="T316" s="22" t="s">
        <v>31</v>
      </c>
      <c r="U316" s="16" t="s">
        <v>314</v>
      </c>
      <c r="V316" s="16" t="s">
        <v>93</v>
      </c>
      <c r="W316" s="14">
        <v>46007</v>
      </c>
      <c r="X316" s="16">
        <f t="shared" si="25"/>
        <v>19</v>
      </c>
      <c r="AB316" s="10" t="str">
        <f t="shared" si="26"/>
        <v>Closed in Dec</v>
      </c>
    </row>
    <row r="317" spans="1:28" x14ac:dyDescent="0.25">
      <c r="A317" s="14">
        <v>45988</v>
      </c>
      <c r="B317" s="15">
        <v>2025</v>
      </c>
      <c r="C317" s="16" t="s">
        <v>88</v>
      </c>
      <c r="D317" s="26" t="s">
        <v>315</v>
      </c>
      <c r="E317" s="16" t="s">
        <v>88</v>
      </c>
      <c r="F317" s="15" t="s">
        <v>60</v>
      </c>
      <c r="G317" s="41" t="s">
        <v>423</v>
      </c>
      <c r="H317" s="16">
        <v>8909173473</v>
      </c>
      <c r="I317" s="16"/>
      <c r="J317" s="20" t="s">
        <v>424</v>
      </c>
      <c r="K317" s="25" t="s">
        <v>144</v>
      </c>
      <c r="L317" s="25" t="s">
        <v>84</v>
      </c>
      <c r="M317" s="27" t="s">
        <v>29</v>
      </c>
      <c r="N317" s="23">
        <v>610</v>
      </c>
      <c r="O317" s="48" t="s">
        <v>538</v>
      </c>
      <c r="P317" s="47" t="str">
        <f t="shared" si="29"/>
        <v>25</v>
      </c>
      <c r="Q317" s="19" t="str">
        <f t="shared" si="30"/>
        <v>05</v>
      </c>
      <c r="R317" s="19" t="s">
        <v>27</v>
      </c>
      <c r="S317" s="19" t="s">
        <v>102</v>
      </c>
      <c r="T317" s="22" t="s">
        <v>31</v>
      </c>
      <c r="U317" s="27" t="s">
        <v>338</v>
      </c>
      <c r="V317" s="16" t="s">
        <v>93</v>
      </c>
      <c r="W317" s="14">
        <v>46007</v>
      </c>
      <c r="X317" s="16">
        <f t="shared" si="25"/>
        <v>19</v>
      </c>
      <c r="AB317" s="10" t="str">
        <f t="shared" si="26"/>
        <v>Closed in Dec</v>
      </c>
    </row>
    <row r="318" spans="1:28" x14ac:dyDescent="0.25">
      <c r="A318" s="14">
        <v>45988</v>
      </c>
      <c r="B318" s="15">
        <v>2025</v>
      </c>
      <c r="C318" s="16" t="s">
        <v>88</v>
      </c>
      <c r="D318" s="26" t="s">
        <v>315</v>
      </c>
      <c r="E318" s="16" t="s">
        <v>88</v>
      </c>
      <c r="F318" s="15" t="s">
        <v>60</v>
      </c>
      <c r="G318" s="41" t="s">
        <v>423</v>
      </c>
      <c r="H318" s="16">
        <v>8909173473</v>
      </c>
      <c r="I318" s="16"/>
      <c r="J318" s="20" t="s">
        <v>424</v>
      </c>
      <c r="K318" s="25" t="s">
        <v>144</v>
      </c>
      <c r="L318" s="25" t="s">
        <v>84</v>
      </c>
      <c r="M318" s="27" t="s">
        <v>29</v>
      </c>
      <c r="N318" s="23">
        <v>610</v>
      </c>
      <c r="O318" s="49" t="s">
        <v>539</v>
      </c>
      <c r="P318" s="47" t="str">
        <f t="shared" si="29"/>
        <v>25</v>
      </c>
      <c r="Q318" s="19" t="str">
        <f t="shared" si="30"/>
        <v>06</v>
      </c>
      <c r="R318" s="19" t="s">
        <v>27</v>
      </c>
      <c r="S318" s="19" t="s">
        <v>102</v>
      </c>
      <c r="T318" s="22" t="s">
        <v>31</v>
      </c>
      <c r="U318" s="51" t="s">
        <v>338</v>
      </c>
      <c r="V318" s="16" t="s">
        <v>93</v>
      </c>
      <c r="W318" s="14">
        <v>46007</v>
      </c>
      <c r="X318" s="16">
        <f t="shared" si="25"/>
        <v>19</v>
      </c>
      <c r="AB318" s="10" t="str">
        <f t="shared" si="26"/>
        <v>Closed in Dec</v>
      </c>
    </row>
    <row r="319" spans="1:28" x14ac:dyDescent="0.25">
      <c r="A319" s="14">
        <v>45988</v>
      </c>
      <c r="B319" s="15">
        <v>2025</v>
      </c>
      <c r="C319" s="16" t="s">
        <v>88</v>
      </c>
      <c r="D319" s="26" t="s">
        <v>315</v>
      </c>
      <c r="E319" s="16" t="s">
        <v>88</v>
      </c>
      <c r="F319" s="15" t="s">
        <v>60</v>
      </c>
      <c r="G319" s="41" t="s">
        <v>423</v>
      </c>
      <c r="H319" s="16">
        <v>8909173473</v>
      </c>
      <c r="J319" s="20" t="s">
        <v>424</v>
      </c>
      <c r="K319" s="25" t="s">
        <v>144</v>
      </c>
      <c r="L319" s="25" t="s">
        <v>84</v>
      </c>
      <c r="M319" s="22" t="s">
        <v>31</v>
      </c>
      <c r="N319" s="23">
        <v>610</v>
      </c>
      <c r="O319" s="49" t="s">
        <v>540</v>
      </c>
      <c r="P319" s="47" t="str">
        <f t="shared" si="29"/>
        <v>25</v>
      </c>
      <c r="Q319" s="19" t="str">
        <f t="shared" si="30"/>
        <v>05</v>
      </c>
      <c r="R319" s="19" t="s">
        <v>27</v>
      </c>
      <c r="S319" s="19" t="s">
        <v>102</v>
      </c>
      <c r="T319" s="22" t="s">
        <v>31</v>
      </c>
      <c r="U319" s="26" t="s">
        <v>328</v>
      </c>
      <c r="V319" s="16" t="s">
        <v>93</v>
      </c>
      <c r="W319" s="14">
        <v>46008</v>
      </c>
      <c r="X319" s="16">
        <f t="shared" si="25"/>
        <v>20</v>
      </c>
      <c r="AB319" s="10" t="str">
        <f t="shared" si="26"/>
        <v>Closed in Dec</v>
      </c>
    </row>
    <row r="320" spans="1:28" x14ac:dyDescent="0.25">
      <c r="A320" s="14">
        <v>45988</v>
      </c>
      <c r="B320" s="15">
        <v>2025</v>
      </c>
      <c r="C320" s="16" t="s">
        <v>88</v>
      </c>
      <c r="D320" s="26" t="s">
        <v>315</v>
      </c>
      <c r="E320" s="16" t="s">
        <v>88</v>
      </c>
      <c r="F320" s="15" t="s">
        <v>60</v>
      </c>
      <c r="G320" s="41" t="s">
        <v>423</v>
      </c>
      <c r="H320" s="16">
        <v>8909173473</v>
      </c>
      <c r="J320" s="20" t="s">
        <v>424</v>
      </c>
      <c r="K320" s="25" t="s">
        <v>144</v>
      </c>
      <c r="L320" s="25" t="s">
        <v>84</v>
      </c>
      <c r="M320" s="27" t="s">
        <v>29</v>
      </c>
      <c r="N320" s="23">
        <v>610</v>
      </c>
      <c r="O320" s="49" t="s">
        <v>541</v>
      </c>
      <c r="P320" s="47" t="str">
        <f t="shared" si="29"/>
        <v>25</v>
      </c>
      <c r="Q320" s="19" t="str">
        <f t="shared" si="30"/>
        <v>05</v>
      </c>
      <c r="R320" s="19" t="s">
        <v>27</v>
      </c>
      <c r="S320" s="19" t="s">
        <v>102</v>
      </c>
      <c r="T320" s="22" t="s">
        <v>31</v>
      </c>
      <c r="U320" s="16" t="s">
        <v>314</v>
      </c>
      <c r="V320" s="16" t="s">
        <v>93</v>
      </c>
      <c r="W320" s="14">
        <v>46008</v>
      </c>
      <c r="X320" s="16">
        <f t="shared" si="25"/>
        <v>20</v>
      </c>
      <c r="AB320" s="10" t="str">
        <f t="shared" si="26"/>
        <v>Closed in Dec</v>
      </c>
    </row>
    <row r="321" spans="1:28" x14ac:dyDescent="0.25">
      <c r="A321" s="14">
        <v>45988</v>
      </c>
      <c r="B321" s="15">
        <v>2025</v>
      </c>
      <c r="C321" s="16" t="s">
        <v>88</v>
      </c>
      <c r="D321" s="26" t="s">
        <v>315</v>
      </c>
      <c r="E321" s="16" t="s">
        <v>88</v>
      </c>
      <c r="F321" s="15" t="s">
        <v>60</v>
      </c>
      <c r="G321" s="41" t="s">
        <v>423</v>
      </c>
      <c r="H321" s="16">
        <v>8909173473</v>
      </c>
      <c r="J321" s="20" t="s">
        <v>424</v>
      </c>
      <c r="K321" s="25" t="s">
        <v>144</v>
      </c>
      <c r="L321" s="25" t="s">
        <v>84</v>
      </c>
      <c r="M321" s="27" t="s">
        <v>29</v>
      </c>
      <c r="N321" s="23">
        <v>610</v>
      </c>
      <c r="O321" s="49" t="s">
        <v>542</v>
      </c>
      <c r="P321" s="47" t="str">
        <f t="shared" si="29"/>
        <v>25</v>
      </c>
      <c r="Q321" s="19" t="str">
        <f t="shared" si="30"/>
        <v>05</v>
      </c>
      <c r="R321" s="19" t="s">
        <v>27</v>
      </c>
      <c r="S321" s="19" t="s">
        <v>102</v>
      </c>
      <c r="T321" s="22" t="s">
        <v>31</v>
      </c>
      <c r="U321" s="16" t="s">
        <v>314</v>
      </c>
      <c r="V321" s="16" t="s">
        <v>93</v>
      </c>
      <c r="W321" s="14">
        <v>46008</v>
      </c>
      <c r="X321" s="16">
        <f t="shared" si="25"/>
        <v>20</v>
      </c>
      <c r="AB321" s="10" t="str">
        <f t="shared" si="26"/>
        <v>Closed in Dec</v>
      </c>
    </row>
    <row r="322" spans="1:28" x14ac:dyDescent="0.25">
      <c r="A322" s="14">
        <v>45988</v>
      </c>
      <c r="B322" s="15">
        <v>2025</v>
      </c>
      <c r="C322" s="16" t="s">
        <v>88</v>
      </c>
      <c r="D322" s="26" t="s">
        <v>315</v>
      </c>
      <c r="E322" s="16" t="s">
        <v>88</v>
      </c>
      <c r="F322" s="15" t="s">
        <v>60</v>
      </c>
      <c r="G322" s="41" t="s">
        <v>423</v>
      </c>
      <c r="H322" s="16">
        <v>8909173473</v>
      </c>
      <c r="J322" s="20" t="s">
        <v>424</v>
      </c>
      <c r="K322" s="25" t="s">
        <v>144</v>
      </c>
      <c r="L322" s="25" t="s">
        <v>84</v>
      </c>
      <c r="M322" s="27" t="s">
        <v>29</v>
      </c>
      <c r="N322" s="23">
        <v>610</v>
      </c>
      <c r="O322" s="49" t="s">
        <v>543</v>
      </c>
      <c r="P322" s="47" t="str">
        <f t="shared" si="29"/>
        <v>25</v>
      </c>
      <c r="Q322" s="19" t="str">
        <f t="shared" si="30"/>
        <v>06</v>
      </c>
      <c r="R322" s="19" t="s">
        <v>27</v>
      </c>
      <c r="S322" s="19" t="s">
        <v>102</v>
      </c>
      <c r="T322" s="22" t="s">
        <v>31</v>
      </c>
      <c r="U322" s="16" t="s">
        <v>314</v>
      </c>
      <c r="V322" s="16" t="s">
        <v>93</v>
      </c>
      <c r="W322" s="14">
        <v>46008</v>
      </c>
      <c r="X322" s="16">
        <f t="shared" ref="X322:X385" si="31">W322-A322</f>
        <v>20</v>
      </c>
      <c r="AB322" s="10" t="str">
        <f t="shared" ref="AB322:AB385" si="32">IF(AND(F322="Closed",W322&gt;=DATE(2025,12,1),W322&lt;=DATE(2025,12,31)),"Closed in Dec","Other")</f>
        <v>Closed in Dec</v>
      </c>
    </row>
    <row r="323" spans="1:28" x14ac:dyDescent="0.25">
      <c r="A323" s="14">
        <v>45988</v>
      </c>
      <c r="B323" s="15">
        <v>2025</v>
      </c>
      <c r="C323" s="16" t="s">
        <v>88</v>
      </c>
      <c r="D323" s="26" t="s">
        <v>315</v>
      </c>
      <c r="E323" s="16" t="s">
        <v>88</v>
      </c>
      <c r="F323" s="15" t="s">
        <v>60</v>
      </c>
      <c r="G323" s="41" t="s">
        <v>423</v>
      </c>
      <c r="H323" s="16">
        <v>8909173473</v>
      </c>
      <c r="J323" s="20" t="s">
        <v>424</v>
      </c>
      <c r="K323" s="25" t="s">
        <v>144</v>
      </c>
      <c r="L323" s="25" t="s">
        <v>84</v>
      </c>
      <c r="M323" s="27" t="s">
        <v>29</v>
      </c>
      <c r="N323" s="23">
        <v>610</v>
      </c>
      <c r="O323" s="49" t="s">
        <v>544</v>
      </c>
      <c r="P323" s="47" t="str">
        <f t="shared" si="29"/>
        <v>25</v>
      </c>
      <c r="Q323" s="19" t="str">
        <f t="shared" si="30"/>
        <v>06</v>
      </c>
      <c r="R323" s="19" t="s">
        <v>27</v>
      </c>
      <c r="S323" s="19" t="s">
        <v>102</v>
      </c>
      <c r="T323" s="22" t="s">
        <v>31</v>
      </c>
      <c r="U323" s="16" t="s">
        <v>314</v>
      </c>
      <c r="V323" s="16" t="s">
        <v>93</v>
      </c>
      <c r="W323" s="14">
        <v>46008</v>
      </c>
      <c r="X323" s="16">
        <f t="shared" si="31"/>
        <v>20</v>
      </c>
      <c r="AB323" s="10" t="str">
        <f t="shared" si="32"/>
        <v>Closed in Dec</v>
      </c>
    </row>
    <row r="324" spans="1:28" x14ac:dyDescent="0.25">
      <c r="A324" s="14">
        <v>45988</v>
      </c>
      <c r="B324" s="15">
        <v>2025</v>
      </c>
      <c r="C324" s="16" t="s">
        <v>88</v>
      </c>
      <c r="D324" s="26" t="s">
        <v>315</v>
      </c>
      <c r="E324" s="16" t="s">
        <v>88</v>
      </c>
      <c r="F324" s="15" t="s">
        <v>60</v>
      </c>
      <c r="G324" s="41" t="s">
        <v>423</v>
      </c>
      <c r="H324" s="16">
        <v>8909173473</v>
      </c>
      <c r="J324" s="20" t="s">
        <v>424</v>
      </c>
      <c r="K324" s="25" t="s">
        <v>144</v>
      </c>
      <c r="L324" s="25" t="s">
        <v>84</v>
      </c>
      <c r="M324" s="27" t="s">
        <v>29</v>
      </c>
      <c r="N324" s="23">
        <v>610</v>
      </c>
      <c r="O324" s="49" t="s">
        <v>545</v>
      </c>
      <c r="P324" s="47" t="str">
        <f t="shared" si="29"/>
        <v>25</v>
      </c>
      <c r="Q324" s="19" t="str">
        <f t="shared" si="30"/>
        <v>06</v>
      </c>
      <c r="R324" s="19" t="s">
        <v>27</v>
      </c>
      <c r="S324" s="19" t="s">
        <v>102</v>
      </c>
      <c r="T324" s="22" t="s">
        <v>31</v>
      </c>
      <c r="U324" s="16" t="s">
        <v>314</v>
      </c>
      <c r="V324" s="16" t="s">
        <v>93</v>
      </c>
      <c r="W324" s="14">
        <v>46008</v>
      </c>
      <c r="X324" s="16">
        <f t="shared" si="31"/>
        <v>20</v>
      </c>
      <c r="AB324" s="10" t="str">
        <f t="shared" si="32"/>
        <v>Closed in Dec</v>
      </c>
    </row>
    <row r="325" spans="1:28" x14ac:dyDescent="0.25">
      <c r="A325" s="14">
        <v>45988</v>
      </c>
      <c r="B325" s="15">
        <v>2025</v>
      </c>
      <c r="C325" s="16" t="s">
        <v>88</v>
      </c>
      <c r="D325" s="26" t="s">
        <v>315</v>
      </c>
      <c r="E325" s="16" t="s">
        <v>88</v>
      </c>
      <c r="F325" s="15" t="s">
        <v>60</v>
      </c>
      <c r="G325" s="41" t="s">
        <v>423</v>
      </c>
      <c r="H325" s="16">
        <v>8909173473</v>
      </c>
      <c r="J325" s="20" t="s">
        <v>424</v>
      </c>
      <c r="K325" s="25" t="s">
        <v>144</v>
      </c>
      <c r="L325" s="25" t="s">
        <v>84</v>
      </c>
      <c r="M325" s="27" t="s">
        <v>29</v>
      </c>
      <c r="N325" s="23">
        <v>610</v>
      </c>
      <c r="O325" s="49" t="s">
        <v>546</v>
      </c>
      <c r="P325" s="47" t="str">
        <f t="shared" si="29"/>
        <v>25</v>
      </c>
      <c r="Q325" s="19" t="str">
        <f t="shared" si="30"/>
        <v>06</v>
      </c>
      <c r="R325" s="19" t="s">
        <v>27</v>
      </c>
      <c r="S325" s="19" t="s">
        <v>102</v>
      </c>
      <c r="T325" s="22" t="s">
        <v>31</v>
      </c>
      <c r="U325" s="16" t="s">
        <v>314</v>
      </c>
      <c r="V325" s="16" t="s">
        <v>93</v>
      </c>
      <c r="W325" s="14">
        <v>46008</v>
      </c>
      <c r="X325" s="16">
        <f t="shared" si="31"/>
        <v>20</v>
      </c>
      <c r="AB325" s="10" t="str">
        <f t="shared" si="32"/>
        <v>Closed in Dec</v>
      </c>
    </row>
    <row r="326" spans="1:28" x14ac:dyDescent="0.25">
      <c r="A326" s="14">
        <v>45988</v>
      </c>
      <c r="B326" s="15">
        <v>2025</v>
      </c>
      <c r="C326" s="16" t="s">
        <v>88</v>
      </c>
      <c r="D326" s="26" t="s">
        <v>315</v>
      </c>
      <c r="E326" s="16" t="s">
        <v>88</v>
      </c>
      <c r="F326" s="15" t="s">
        <v>60</v>
      </c>
      <c r="G326" s="41" t="s">
        <v>423</v>
      </c>
      <c r="H326" s="16">
        <v>8909173473</v>
      </c>
      <c r="J326" s="20" t="s">
        <v>424</v>
      </c>
      <c r="K326" s="25" t="s">
        <v>144</v>
      </c>
      <c r="L326" s="25" t="s">
        <v>84</v>
      </c>
      <c r="M326" s="27" t="s">
        <v>29</v>
      </c>
      <c r="N326" s="23">
        <v>610</v>
      </c>
      <c r="O326" s="49" t="s">
        <v>547</v>
      </c>
      <c r="P326" s="47" t="str">
        <f t="shared" si="29"/>
        <v>25</v>
      </c>
      <c r="Q326" s="19" t="str">
        <f t="shared" si="30"/>
        <v>06</v>
      </c>
      <c r="R326" s="19" t="s">
        <v>27</v>
      </c>
      <c r="S326" s="19" t="s">
        <v>102</v>
      </c>
      <c r="T326" s="22" t="s">
        <v>31</v>
      </c>
      <c r="U326" s="16" t="s">
        <v>314</v>
      </c>
      <c r="V326" s="16" t="s">
        <v>93</v>
      </c>
      <c r="W326" s="14">
        <v>46008</v>
      </c>
      <c r="X326" s="16">
        <f t="shared" si="31"/>
        <v>20</v>
      </c>
      <c r="AB326" s="10" t="str">
        <f t="shared" si="32"/>
        <v>Closed in Dec</v>
      </c>
    </row>
    <row r="327" spans="1:28" x14ac:dyDescent="0.25">
      <c r="A327" s="14">
        <v>45988</v>
      </c>
      <c r="B327" s="15">
        <v>2025</v>
      </c>
      <c r="C327" s="16" t="s">
        <v>88</v>
      </c>
      <c r="D327" s="26" t="s">
        <v>315</v>
      </c>
      <c r="E327" s="16" t="s">
        <v>88</v>
      </c>
      <c r="F327" s="15" t="s">
        <v>60</v>
      </c>
      <c r="G327" s="41" t="s">
        <v>423</v>
      </c>
      <c r="H327" s="16">
        <v>8909173473</v>
      </c>
      <c r="J327" s="20" t="s">
        <v>424</v>
      </c>
      <c r="K327" s="25" t="s">
        <v>144</v>
      </c>
      <c r="L327" s="25" t="s">
        <v>84</v>
      </c>
      <c r="M327" s="27" t="s">
        <v>29</v>
      </c>
      <c r="N327" s="23">
        <v>610</v>
      </c>
      <c r="O327" s="49" t="s">
        <v>548</v>
      </c>
      <c r="P327" s="47" t="str">
        <f t="shared" si="29"/>
        <v>25</v>
      </c>
      <c r="Q327" s="19" t="str">
        <f t="shared" si="30"/>
        <v>06</v>
      </c>
      <c r="R327" s="19" t="s">
        <v>27</v>
      </c>
      <c r="S327" s="19" t="s">
        <v>102</v>
      </c>
      <c r="T327" s="22" t="s">
        <v>31</v>
      </c>
      <c r="U327" s="16" t="s">
        <v>314</v>
      </c>
      <c r="V327" s="16" t="s">
        <v>93</v>
      </c>
      <c r="W327" s="14">
        <v>46008</v>
      </c>
      <c r="X327" s="16">
        <f t="shared" si="31"/>
        <v>20</v>
      </c>
      <c r="AB327" s="10" t="str">
        <f t="shared" si="32"/>
        <v>Closed in Dec</v>
      </c>
    </row>
    <row r="328" spans="1:28" x14ac:dyDescent="0.25">
      <c r="A328" s="14">
        <v>45988</v>
      </c>
      <c r="B328" s="15">
        <v>2025</v>
      </c>
      <c r="C328" s="16" t="s">
        <v>88</v>
      </c>
      <c r="D328" s="26" t="s">
        <v>315</v>
      </c>
      <c r="E328" s="16" t="s">
        <v>88</v>
      </c>
      <c r="F328" s="15" t="s">
        <v>60</v>
      </c>
      <c r="G328" s="41" t="s">
        <v>423</v>
      </c>
      <c r="H328" s="16">
        <v>8909173473</v>
      </c>
      <c r="J328" s="20" t="s">
        <v>424</v>
      </c>
      <c r="K328" s="25" t="s">
        <v>144</v>
      </c>
      <c r="L328" s="25" t="s">
        <v>84</v>
      </c>
      <c r="M328" s="27" t="s">
        <v>29</v>
      </c>
      <c r="N328" s="23">
        <v>610</v>
      </c>
      <c r="O328" s="49" t="s">
        <v>549</v>
      </c>
      <c r="P328" s="47" t="str">
        <f t="shared" si="29"/>
        <v>25</v>
      </c>
      <c r="Q328" s="19" t="str">
        <f t="shared" si="30"/>
        <v>06</v>
      </c>
      <c r="R328" s="19" t="s">
        <v>27</v>
      </c>
      <c r="S328" s="19" t="s">
        <v>102</v>
      </c>
      <c r="T328" s="22" t="s">
        <v>31</v>
      </c>
      <c r="U328" s="18" t="s">
        <v>338</v>
      </c>
      <c r="V328" s="16" t="s">
        <v>93</v>
      </c>
      <c r="W328" s="14">
        <v>46008</v>
      </c>
      <c r="X328" s="16">
        <f t="shared" si="31"/>
        <v>20</v>
      </c>
      <c r="AB328" s="10" t="str">
        <f t="shared" si="32"/>
        <v>Closed in Dec</v>
      </c>
    </row>
    <row r="329" spans="1:28" x14ac:dyDescent="0.25">
      <c r="A329" s="14">
        <v>45988</v>
      </c>
      <c r="B329" s="15">
        <v>2025</v>
      </c>
      <c r="C329" s="16" t="s">
        <v>88</v>
      </c>
      <c r="D329" s="26" t="s">
        <v>315</v>
      </c>
      <c r="E329" s="16" t="s">
        <v>88</v>
      </c>
      <c r="F329" s="15" t="s">
        <v>60</v>
      </c>
      <c r="G329" s="41" t="s">
        <v>423</v>
      </c>
      <c r="H329" s="16">
        <v>8909173473</v>
      </c>
      <c r="J329" s="20" t="s">
        <v>424</v>
      </c>
      <c r="K329" s="25" t="s">
        <v>144</v>
      </c>
      <c r="L329" s="25" t="s">
        <v>84</v>
      </c>
      <c r="M329" s="27" t="s">
        <v>29</v>
      </c>
      <c r="N329" s="23">
        <v>610</v>
      </c>
      <c r="O329" s="49" t="s">
        <v>550</v>
      </c>
      <c r="P329" s="47" t="str">
        <f t="shared" si="29"/>
        <v>25</v>
      </c>
      <c r="Q329" s="19" t="str">
        <f t="shared" si="30"/>
        <v>06</v>
      </c>
      <c r="R329" s="19" t="s">
        <v>27</v>
      </c>
      <c r="S329" s="19" t="s">
        <v>102</v>
      </c>
      <c r="T329" s="22" t="s">
        <v>31</v>
      </c>
      <c r="U329" s="18" t="s">
        <v>338</v>
      </c>
      <c r="V329" s="16" t="s">
        <v>93</v>
      </c>
      <c r="W329" s="14">
        <v>46008</v>
      </c>
      <c r="X329" s="16">
        <f t="shared" si="31"/>
        <v>20</v>
      </c>
      <c r="AB329" s="10" t="str">
        <f t="shared" si="32"/>
        <v>Closed in Dec</v>
      </c>
    </row>
    <row r="330" spans="1:28" x14ac:dyDescent="0.25">
      <c r="A330" s="14">
        <v>45988</v>
      </c>
      <c r="B330" s="15">
        <v>2025</v>
      </c>
      <c r="C330" s="16" t="s">
        <v>88</v>
      </c>
      <c r="D330" s="26" t="s">
        <v>315</v>
      </c>
      <c r="E330" s="16" t="s">
        <v>88</v>
      </c>
      <c r="F330" s="15" t="s">
        <v>60</v>
      </c>
      <c r="G330" s="41" t="s">
        <v>423</v>
      </c>
      <c r="H330" s="16">
        <v>8909173473</v>
      </c>
      <c r="J330" s="20" t="s">
        <v>424</v>
      </c>
      <c r="K330" s="25" t="s">
        <v>144</v>
      </c>
      <c r="L330" s="25" t="s">
        <v>84</v>
      </c>
      <c r="M330" s="27" t="s">
        <v>115</v>
      </c>
      <c r="N330" s="23">
        <v>610</v>
      </c>
      <c r="O330" s="49" t="s">
        <v>551</v>
      </c>
      <c r="P330" s="47" t="str">
        <f t="shared" si="29"/>
        <v>25</v>
      </c>
      <c r="Q330" s="19" t="str">
        <f t="shared" si="30"/>
        <v>07</v>
      </c>
      <c r="R330" s="19" t="s">
        <v>27</v>
      </c>
      <c r="S330" s="19" t="s">
        <v>102</v>
      </c>
      <c r="T330" s="46" t="s">
        <v>231</v>
      </c>
      <c r="U330" s="48" t="s">
        <v>552</v>
      </c>
      <c r="V330" s="50" t="s">
        <v>94</v>
      </c>
      <c r="W330" s="14">
        <v>46008</v>
      </c>
      <c r="X330" s="16">
        <f t="shared" si="31"/>
        <v>20</v>
      </c>
      <c r="AB330" s="10" t="str">
        <f t="shared" si="32"/>
        <v>Closed in Dec</v>
      </c>
    </row>
    <row r="331" spans="1:28" x14ac:dyDescent="0.25">
      <c r="A331" s="14">
        <v>45988</v>
      </c>
      <c r="B331" s="15">
        <v>2025</v>
      </c>
      <c r="C331" s="16" t="s">
        <v>88</v>
      </c>
      <c r="D331" s="26" t="s">
        <v>315</v>
      </c>
      <c r="E331" s="16" t="s">
        <v>88</v>
      </c>
      <c r="F331" s="15" t="s">
        <v>60</v>
      </c>
      <c r="G331" s="41" t="s">
        <v>423</v>
      </c>
      <c r="H331" s="16">
        <v>8909173473</v>
      </c>
      <c r="J331" s="20" t="s">
        <v>424</v>
      </c>
      <c r="K331" s="25" t="s">
        <v>144</v>
      </c>
      <c r="L331" s="25" t="s">
        <v>84</v>
      </c>
      <c r="M331" s="27" t="s">
        <v>115</v>
      </c>
      <c r="N331" s="23">
        <v>610</v>
      </c>
      <c r="O331" s="49" t="s">
        <v>553</v>
      </c>
      <c r="P331" s="47" t="str">
        <f t="shared" si="29"/>
        <v>25</v>
      </c>
      <c r="Q331" s="19" t="str">
        <f t="shared" si="30"/>
        <v>07</v>
      </c>
      <c r="R331" s="19" t="s">
        <v>27</v>
      </c>
      <c r="S331" s="19" t="s">
        <v>102</v>
      </c>
      <c r="T331" s="46" t="s">
        <v>231</v>
      </c>
      <c r="U331" s="48" t="s">
        <v>552</v>
      </c>
      <c r="V331" s="50" t="s">
        <v>94</v>
      </c>
      <c r="W331" s="14">
        <v>46008</v>
      </c>
      <c r="X331" s="16">
        <f t="shared" si="31"/>
        <v>20</v>
      </c>
      <c r="AB331" s="10" t="str">
        <f t="shared" si="32"/>
        <v>Closed in Dec</v>
      </c>
    </row>
    <row r="332" spans="1:28" x14ac:dyDescent="0.25">
      <c r="A332" s="14">
        <v>45988</v>
      </c>
      <c r="B332" s="15">
        <v>2025</v>
      </c>
      <c r="C332" s="16" t="s">
        <v>88</v>
      </c>
      <c r="D332" s="26" t="s">
        <v>315</v>
      </c>
      <c r="E332" s="16" t="s">
        <v>88</v>
      </c>
      <c r="F332" s="15" t="s">
        <v>60</v>
      </c>
      <c r="G332" s="41" t="s">
        <v>423</v>
      </c>
      <c r="H332" s="16">
        <v>8909173473</v>
      </c>
      <c r="J332" s="20" t="s">
        <v>424</v>
      </c>
      <c r="K332" s="25" t="s">
        <v>144</v>
      </c>
      <c r="L332" s="25" t="s">
        <v>84</v>
      </c>
      <c r="M332" s="27" t="s">
        <v>115</v>
      </c>
      <c r="N332" s="23">
        <v>610</v>
      </c>
      <c r="O332" s="49" t="s">
        <v>554</v>
      </c>
      <c r="P332" s="47" t="str">
        <f t="shared" si="29"/>
        <v>25</v>
      </c>
      <c r="Q332" s="19" t="str">
        <f t="shared" si="30"/>
        <v>07</v>
      </c>
      <c r="R332" s="19" t="s">
        <v>27</v>
      </c>
      <c r="S332" s="19" t="s">
        <v>102</v>
      </c>
      <c r="T332" s="46" t="s">
        <v>231</v>
      </c>
      <c r="U332" s="48" t="s">
        <v>552</v>
      </c>
      <c r="V332" s="50" t="s">
        <v>94</v>
      </c>
      <c r="W332" s="14">
        <v>46008</v>
      </c>
      <c r="X332" s="16">
        <f t="shared" si="31"/>
        <v>20</v>
      </c>
      <c r="AB332" s="10" t="str">
        <f t="shared" si="32"/>
        <v>Closed in Dec</v>
      </c>
    </row>
    <row r="333" spans="1:28" x14ac:dyDescent="0.25">
      <c r="A333" s="14">
        <v>45988</v>
      </c>
      <c r="B333" s="15">
        <v>2025</v>
      </c>
      <c r="C333" s="16" t="s">
        <v>88</v>
      </c>
      <c r="D333" s="26" t="s">
        <v>315</v>
      </c>
      <c r="E333" s="16" t="s">
        <v>88</v>
      </c>
      <c r="F333" s="15" t="s">
        <v>60</v>
      </c>
      <c r="G333" s="41" t="s">
        <v>423</v>
      </c>
      <c r="H333" s="16">
        <v>8909173473</v>
      </c>
      <c r="J333" s="20" t="s">
        <v>424</v>
      </c>
      <c r="K333" s="25" t="s">
        <v>144</v>
      </c>
      <c r="L333" s="25" t="s">
        <v>84</v>
      </c>
      <c r="M333" s="27" t="s">
        <v>115</v>
      </c>
      <c r="N333" s="23">
        <v>610</v>
      </c>
      <c r="O333" s="49" t="s">
        <v>555</v>
      </c>
      <c r="P333" s="47" t="str">
        <f t="shared" si="29"/>
        <v>25</v>
      </c>
      <c r="Q333" s="19" t="str">
        <f t="shared" si="30"/>
        <v>07</v>
      </c>
      <c r="R333" s="19" t="s">
        <v>27</v>
      </c>
      <c r="S333" s="19" t="s">
        <v>102</v>
      </c>
      <c r="T333" s="46" t="s">
        <v>231</v>
      </c>
      <c r="U333" s="48" t="s">
        <v>552</v>
      </c>
      <c r="V333" s="50" t="s">
        <v>94</v>
      </c>
      <c r="W333" s="14">
        <v>46008</v>
      </c>
      <c r="X333" s="16">
        <f t="shared" si="31"/>
        <v>20</v>
      </c>
      <c r="AB333" s="10" t="str">
        <f t="shared" si="32"/>
        <v>Closed in Dec</v>
      </c>
    </row>
    <row r="334" spans="1:28" x14ac:dyDescent="0.25">
      <c r="A334" s="14">
        <v>45988</v>
      </c>
      <c r="B334" s="15">
        <v>2025</v>
      </c>
      <c r="C334" s="16" t="s">
        <v>88</v>
      </c>
      <c r="D334" s="26" t="s">
        <v>315</v>
      </c>
      <c r="E334" s="16" t="s">
        <v>88</v>
      </c>
      <c r="F334" s="15" t="s">
        <v>60</v>
      </c>
      <c r="G334" s="41" t="s">
        <v>423</v>
      </c>
      <c r="H334" s="16">
        <v>8909173473</v>
      </c>
      <c r="J334" s="20" t="s">
        <v>424</v>
      </c>
      <c r="K334" s="25" t="s">
        <v>144</v>
      </c>
      <c r="L334" s="25" t="s">
        <v>84</v>
      </c>
      <c r="M334" s="27" t="s">
        <v>115</v>
      </c>
      <c r="N334" s="23">
        <v>610</v>
      </c>
      <c r="O334" s="49" t="s">
        <v>556</v>
      </c>
      <c r="P334" s="47" t="str">
        <f t="shared" si="29"/>
        <v>25</v>
      </c>
      <c r="Q334" s="19" t="str">
        <f t="shared" si="30"/>
        <v>07</v>
      </c>
      <c r="R334" s="19" t="s">
        <v>27</v>
      </c>
      <c r="S334" s="19" t="s">
        <v>102</v>
      </c>
      <c r="T334" s="46" t="s">
        <v>231</v>
      </c>
      <c r="U334" s="48" t="s">
        <v>552</v>
      </c>
      <c r="V334" s="50" t="s">
        <v>94</v>
      </c>
      <c r="W334" s="14">
        <v>46008</v>
      </c>
      <c r="X334" s="16">
        <f t="shared" si="31"/>
        <v>20</v>
      </c>
      <c r="AB334" s="10" t="str">
        <f t="shared" si="32"/>
        <v>Closed in Dec</v>
      </c>
    </row>
    <row r="335" spans="1:28" x14ac:dyDescent="0.25">
      <c r="A335" s="14">
        <v>45988</v>
      </c>
      <c r="B335" s="15">
        <v>2025</v>
      </c>
      <c r="C335" s="16" t="s">
        <v>88</v>
      </c>
      <c r="D335" s="26" t="s">
        <v>315</v>
      </c>
      <c r="E335" s="16" t="s">
        <v>88</v>
      </c>
      <c r="F335" s="15" t="s">
        <v>60</v>
      </c>
      <c r="G335" s="41" t="s">
        <v>423</v>
      </c>
      <c r="H335" s="16">
        <v>8909173473</v>
      </c>
      <c r="J335" s="20" t="s">
        <v>424</v>
      </c>
      <c r="K335" s="25" t="s">
        <v>144</v>
      </c>
      <c r="L335" s="25" t="s">
        <v>84</v>
      </c>
      <c r="M335" s="27" t="s">
        <v>115</v>
      </c>
      <c r="N335" s="23">
        <v>610</v>
      </c>
      <c r="O335" s="49" t="s">
        <v>557</v>
      </c>
      <c r="P335" s="47" t="str">
        <f t="shared" si="29"/>
        <v>25</v>
      </c>
      <c r="Q335" s="19" t="str">
        <f t="shared" si="30"/>
        <v>05</v>
      </c>
      <c r="R335" s="19" t="s">
        <v>27</v>
      </c>
      <c r="S335" s="19" t="s">
        <v>102</v>
      </c>
      <c r="T335" s="46" t="s">
        <v>231</v>
      </c>
      <c r="U335" s="48" t="s">
        <v>552</v>
      </c>
      <c r="V335" s="50" t="s">
        <v>94</v>
      </c>
      <c r="W335" s="14">
        <v>46008</v>
      </c>
      <c r="X335" s="16">
        <f t="shared" si="31"/>
        <v>20</v>
      </c>
      <c r="AB335" s="10" t="str">
        <f t="shared" si="32"/>
        <v>Closed in Dec</v>
      </c>
    </row>
    <row r="336" spans="1:28" x14ac:dyDescent="0.25">
      <c r="A336" s="14">
        <v>45988</v>
      </c>
      <c r="B336" s="15">
        <v>2025</v>
      </c>
      <c r="C336" s="16" t="s">
        <v>88</v>
      </c>
      <c r="D336" s="26" t="s">
        <v>315</v>
      </c>
      <c r="E336" s="16" t="s">
        <v>88</v>
      </c>
      <c r="F336" s="15" t="s">
        <v>60</v>
      </c>
      <c r="G336" s="41" t="s">
        <v>423</v>
      </c>
      <c r="H336" s="16">
        <v>8909173473</v>
      </c>
      <c r="J336" s="20" t="s">
        <v>424</v>
      </c>
      <c r="K336" s="25" t="s">
        <v>144</v>
      </c>
      <c r="L336" s="25" t="s">
        <v>84</v>
      </c>
      <c r="M336" s="27" t="s">
        <v>115</v>
      </c>
      <c r="N336" s="23">
        <v>610</v>
      </c>
      <c r="O336" s="49" t="s">
        <v>558</v>
      </c>
      <c r="P336" s="47" t="str">
        <f t="shared" si="29"/>
        <v>25</v>
      </c>
      <c r="Q336" s="19" t="str">
        <f t="shared" si="30"/>
        <v>05</v>
      </c>
      <c r="R336" s="19" t="s">
        <v>27</v>
      </c>
      <c r="S336" s="19" t="s">
        <v>102</v>
      </c>
      <c r="T336" s="46" t="s">
        <v>231</v>
      </c>
      <c r="U336" s="48" t="s">
        <v>552</v>
      </c>
      <c r="V336" s="50" t="s">
        <v>94</v>
      </c>
      <c r="W336" s="14">
        <v>46008</v>
      </c>
      <c r="X336" s="16">
        <f t="shared" si="31"/>
        <v>20</v>
      </c>
      <c r="AB336" s="10" t="str">
        <f t="shared" si="32"/>
        <v>Closed in Dec</v>
      </c>
    </row>
    <row r="337" spans="1:28" x14ac:dyDescent="0.25">
      <c r="A337" s="14">
        <v>45988</v>
      </c>
      <c r="B337" s="15">
        <v>2025</v>
      </c>
      <c r="C337" s="16" t="s">
        <v>88</v>
      </c>
      <c r="D337" s="26" t="s">
        <v>315</v>
      </c>
      <c r="E337" s="16" t="s">
        <v>88</v>
      </c>
      <c r="F337" s="15" t="s">
        <v>60</v>
      </c>
      <c r="G337" s="41" t="s">
        <v>423</v>
      </c>
      <c r="H337" s="16">
        <v>8909173473</v>
      </c>
      <c r="J337" s="20" t="s">
        <v>424</v>
      </c>
      <c r="K337" s="25" t="s">
        <v>144</v>
      </c>
      <c r="L337" s="25" t="s">
        <v>84</v>
      </c>
      <c r="M337" s="27" t="s">
        <v>115</v>
      </c>
      <c r="N337" s="23">
        <v>610</v>
      </c>
      <c r="O337" s="49" t="s">
        <v>559</v>
      </c>
      <c r="P337" s="47" t="str">
        <f t="shared" si="29"/>
        <v>25</v>
      </c>
      <c r="Q337" s="19" t="str">
        <f t="shared" si="30"/>
        <v>07</v>
      </c>
      <c r="R337" s="19" t="s">
        <v>27</v>
      </c>
      <c r="S337" s="19" t="s">
        <v>102</v>
      </c>
      <c r="T337" s="46" t="s">
        <v>231</v>
      </c>
      <c r="U337" s="48" t="s">
        <v>552</v>
      </c>
      <c r="V337" s="50" t="s">
        <v>94</v>
      </c>
      <c r="W337" s="14">
        <v>46008</v>
      </c>
      <c r="X337" s="16">
        <f t="shared" si="31"/>
        <v>20</v>
      </c>
      <c r="AB337" s="10" t="str">
        <f t="shared" si="32"/>
        <v>Closed in Dec</v>
      </c>
    </row>
    <row r="338" spans="1:28" x14ac:dyDescent="0.25">
      <c r="A338" s="14">
        <v>45988</v>
      </c>
      <c r="B338" s="15">
        <v>2025</v>
      </c>
      <c r="C338" s="16" t="s">
        <v>88</v>
      </c>
      <c r="D338" s="26" t="s">
        <v>315</v>
      </c>
      <c r="E338" s="16" t="s">
        <v>88</v>
      </c>
      <c r="F338" s="15" t="s">
        <v>60</v>
      </c>
      <c r="G338" s="41" t="s">
        <v>423</v>
      </c>
      <c r="H338" s="16">
        <v>8909173473</v>
      </c>
      <c r="J338" s="20" t="s">
        <v>424</v>
      </c>
      <c r="K338" s="25" t="s">
        <v>144</v>
      </c>
      <c r="L338" s="25" t="s">
        <v>84</v>
      </c>
      <c r="M338" s="27" t="s">
        <v>115</v>
      </c>
      <c r="N338" s="23">
        <v>610</v>
      </c>
      <c r="O338" s="49" t="s">
        <v>560</v>
      </c>
      <c r="P338" s="47" t="str">
        <f t="shared" si="29"/>
        <v>25</v>
      </c>
      <c r="Q338" s="19" t="str">
        <f t="shared" si="30"/>
        <v>06</v>
      </c>
      <c r="R338" s="19" t="s">
        <v>27</v>
      </c>
      <c r="S338" s="19" t="s">
        <v>102</v>
      </c>
      <c r="T338" s="46" t="s">
        <v>231</v>
      </c>
      <c r="U338" s="48" t="s">
        <v>552</v>
      </c>
      <c r="V338" s="50" t="s">
        <v>94</v>
      </c>
      <c r="W338" s="14">
        <v>46008</v>
      </c>
      <c r="X338" s="16">
        <f t="shared" si="31"/>
        <v>20</v>
      </c>
      <c r="AB338" s="10" t="str">
        <f t="shared" si="32"/>
        <v>Closed in Dec</v>
      </c>
    </row>
    <row r="339" spans="1:28" x14ac:dyDescent="0.25">
      <c r="A339" s="14">
        <v>45988</v>
      </c>
      <c r="B339" s="15">
        <v>2025</v>
      </c>
      <c r="C339" s="16" t="s">
        <v>88</v>
      </c>
      <c r="D339" s="26" t="s">
        <v>315</v>
      </c>
      <c r="E339" s="16" t="s">
        <v>88</v>
      </c>
      <c r="F339" s="15" t="s">
        <v>60</v>
      </c>
      <c r="G339" s="41" t="s">
        <v>423</v>
      </c>
      <c r="H339" s="16">
        <v>8909173473</v>
      </c>
      <c r="J339" s="20" t="s">
        <v>424</v>
      </c>
      <c r="K339" s="25" t="s">
        <v>144</v>
      </c>
      <c r="L339" s="25" t="s">
        <v>84</v>
      </c>
      <c r="M339" s="27" t="s">
        <v>115</v>
      </c>
      <c r="N339" s="23">
        <v>610</v>
      </c>
      <c r="O339" s="49" t="s">
        <v>561</v>
      </c>
      <c r="P339" s="47" t="str">
        <f t="shared" si="29"/>
        <v>25</v>
      </c>
      <c r="Q339" s="19" t="str">
        <f t="shared" si="30"/>
        <v>06</v>
      </c>
      <c r="R339" s="19" t="s">
        <v>27</v>
      </c>
      <c r="S339" s="19" t="s">
        <v>102</v>
      </c>
      <c r="T339" s="46" t="s">
        <v>231</v>
      </c>
      <c r="U339" s="48" t="s">
        <v>552</v>
      </c>
      <c r="V339" s="50" t="s">
        <v>94</v>
      </c>
      <c r="W339" s="14">
        <v>46008</v>
      </c>
      <c r="X339" s="16">
        <f t="shared" si="31"/>
        <v>20</v>
      </c>
      <c r="AB339" s="10" t="str">
        <f t="shared" si="32"/>
        <v>Closed in Dec</v>
      </c>
    </row>
    <row r="340" spans="1:28" x14ac:dyDescent="0.25">
      <c r="A340" s="14">
        <v>45988</v>
      </c>
      <c r="B340" s="15">
        <v>2025</v>
      </c>
      <c r="C340" s="16" t="s">
        <v>88</v>
      </c>
      <c r="D340" s="26" t="s">
        <v>315</v>
      </c>
      <c r="E340" s="16" t="s">
        <v>88</v>
      </c>
      <c r="F340" s="15" t="s">
        <v>60</v>
      </c>
      <c r="G340" s="41" t="s">
        <v>423</v>
      </c>
      <c r="H340" s="16">
        <v>8909173473</v>
      </c>
      <c r="J340" s="20" t="s">
        <v>424</v>
      </c>
      <c r="K340" s="25" t="s">
        <v>144</v>
      </c>
      <c r="L340" s="25" t="s">
        <v>84</v>
      </c>
      <c r="M340" s="27" t="s">
        <v>115</v>
      </c>
      <c r="N340" s="23">
        <v>610</v>
      </c>
      <c r="O340" s="49" t="s">
        <v>562</v>
      </c>
      <c r="P340" s="47" t="str">
        <f t="shared" si="29"/>
        <v>25</v>
      </c>
      <c r="Q340" s="19" t="str">
        <f t="shared" si="30"/>
        <v>05</v>
      </c>
      <c r="R340" s="19" t="s">
        <v>27</v>
      </c>
      <c r="S340" s="19" t="s">
        <v>102</v>
      </c>
      <c r="T340" s="46" t="s">
        <v>231</v>
      </c>
      <c r="U340" s="48" t="s">
        <v>552</v>
      </c>
      <c r="V340" s="50" t="s">
        <v>94</v>
      </c>
      <c r="W340" s="14">
        <v>46008</v>
      </c>
      <c r="X340" s="16">
        <f t="shared" si="31"/>
        <v>20</v>
      </c>
      <c r="AB340" s="10" t="str">
        <f t="shared" si="32"/>
        <v>Closed in Dec</v>
      </c>
    </row>
    <row r="341" spans="1:28" x14ac:dyDescent="0.25">
      <c r="A341" s="14">
        <v>45988</v>
      </c>
      <c r="B341" s="15">
        <v>2025</v>
      </c>
      <c r="C341" s="16" t="s">
        <v>88</v>
      </c>
      <c r="D341" s="26" t="s">
        <v>315</v>
      </c>
      <c r="E341" s="16" t="s">
        <v>88</v>
      </c>
      <c r="F341" s="15" t="s">
        <v>60</v>
      </c>
      <c r="G341" s="41" t="s">
        <v>423</v>
      </c>
      <c r="H341" s="16">
        <v>8909173473</v>
      </c>
      <c r="J341" s="20" t="s">
        <v>424</v>
      </c>
      <c r="K341" s="25" t="s">
        <v>144</v>
      </c>
      <c r="L341" s="25" t="s">
        <v>84</v>
      </c>
      <c r="M341" s="27" t="s">
        <v>115</v>
      </c>
      <c r="N341" s="23">
        <v>610</v>
      </c>
      <c r="O341" s="49" t="s">
        <v>563</v>
      </c>
      <c r="P341" s="47" t="str">
        <f t="shared" si="29"/>
        <v>25</v>
      </c>
      <c r="Q341" s="19" t="str">
        <f t="shared" si="30"/>
        <v>07</v>
      </c>
      <c r="R341" s="19" t="s">
        <v>27</v>
      </c>
      <c r="S341" s="19" t="s">
        <v>102</v>
      </c>
      <c r="T341" s="46" t="s">
        <v>231</v>
      </c>
      <c r="U341" s="48" t="s">
        <v>552</v>
      </c>
      <c r="V341" s="50" t="s">
        <v>94</v>
      </c>
      <c r="W341" s="14">
        <v>46008</v>
      </c>
      <c r="X341" s="16">
        <f t="shared" si="31"/>
        <v>20</v>
      </c>
      <c r="AB341" s="10" t="str">
        <f t="shared" si="32"/>
        <v>Closed in Dec</v>
      </c>
    </row>
    <row r="342" spans="1:28" x14ac:dyDescent="0.25">
      <c r="A342" s="14">
        <v>45988</v>
      </c>
      <c r="B342" s="15">
        <v>2025</v>
      </c>
      <c r="C342" s="16" t="s">
        <v>88</v>
      </c>
      <c r="D342" s="26" t="s">
        <v>315</v>
      </c>
      <c r="E342" s="16" t="s">
        <v>88</v>
      </c>
      <c r="F342" s="15" t="s">
        <v>60</v>
      </c>
      <c r="G342" s="41" t="s">
        <v>423</v>
      </c>
      <c r="H342" s="16">
        <v>8909173473</v>
      </c>
      <c r="J342" s="20" t="s">
        <v>424</v>
      </c>
      <c r="K342" s="25" t="s">
        <v>144</v>
      </c>
      <c r="L342" s="25" t="s">
        <v>84</v>
      </c>
      <c r="M342" s="27" t="s">
        <v>115</v>
      </c>
      <c r="N342" s="23">
        <v>610</v>
      </c>
      <c r="O342" s="49" t="s">
        <v>564</v>
      </c>
      <c r="P342" s="47" t="str">
        <f t="shared" si="29"/>
        <v>25</v>
      </c>
      <c r="Q342" s="19" t="str">
        <f t="shared" si="30"/>
        <v>05</v>
      </c>
      <c r="R342" s="19" t="s">
        <v>27</v>
      </c>
      <c r="S342" s="19" t="s">
        <v>102</v>
      </c>
      <c r="T342" s="46" t="s">
        <v>231</v>
      </c>
      <c r="U342" s="48" t="s">
        <v>552</v>
      </c>
      <c r="V342" s="50" t="s">
        <v>94</v>
      </c>
      <c r="W342" s="14">
        <v>46008</v>
      </c>
      <c r="X342" s="16">
        <f t="shared" si="31"/>
        <v>20</v>
      </c>
      <c r="AB342" s="10" t="str">
        <f t="shared" si="32"/>
        <v>Closed in Dec</v>
      </c>
    </row>
    <row r="343" spans="1:28" x14ac:dyDescent="0.25">
      <c r="A343" s="14">
        <v>45988</v>
      </c>
      <c r="B343" s="15">
        <v>2025</v>
      </c>
      <c r="C343" s="16" t="s">
        <v>88</v>
      </c>
      <c r="D343" s="26" t="s">
        <v>315</v>
      </c>
      <c r="E343" s="16" t="s">
        <v>88</v>
      </c>
      <c r="F343" s="15" t="s">
        <v>60</v>
      </c>
      <c r="G343" s="41" t="s">
        <v>423</v>
      </c>
      <c r="H343" s="16">
        <v>8909173473</v>
      </c>
      <c r="J343" s="20" t="s">
        <v>424</v>
      </c>
      <c r="K343" s="25" t="s">
        <v>144</v>
      </c>
      <c r="L343" s="25" t="s">
        <v>84</v>
      </c>
      <c r="M343" s="27" t="s">
        <v>115</v>
      </c>
      <c r="N343" s="23">
        <v>610</v>
      </c>
      <c r="O343" s="49" t="s">
        <v>565</v>
      </c>
      <c r="P343" s="47" t="str">
        <f t="shared" si="29"/>
        <v>25</v>
      </c>
      <c r="Q343" s="19" t="str">
        <f t="shared" si="30"/>
        <v>06</v>
      </c>
      <c r="R343" s="19" t="s">
        <v>27</v>
      </c>
      <c r="S343" s="19" t="s">
        <v>102</v>
      </c>
      <c r="T343" s="46" t="s">
        <v>231</v>
      </c>
      <c r="U343" s="48" t="s">
        <v>552</v>
      </c>
      <c r="V343" s="50" t="s">
        <v>94</v>
      </c>
      <c r="W343" s="14">
        <v>46008</v>
      </c>
      <c r="X343" s="16">
        <f t="shared" si="31"/>
        <v>20</v>
      </c>
      <c r="AB343" s="10" t="str">
        <f t="shared" si="32"/>
        <v>Closed in Dec</v>
      </c>
    </row>
    <row r="344" spans="1:28" x14ac:dyDescent="0.25">
      <c r="A344" s="14">
        <v>45988</v>
      </c>
      <c r="B344" s="15">
        <v>2025</v>
      </c>
      <c r="C344" s="16" t="s">
        <v>88</v>
      </c>
      <c r="D344" s="26" t="s">
        <v>315</v>
      </c>
      <c r="E344" s="16" t="s">
        <v>88</v>
      </c>
      <c r="F344" s="15" t="s">
        <v>60</v>
      </c>
      <c r="G344" s="41" t="s">
        <v>423</v>
      </c>
      <c r="H344" s="16">
        <v>8909173473</v>
      </c>
      <c r="J344" s="20" t="s">
        <v>424</v>
      </c>
      <c r="K344" s="25" t="s">
        <v>144</v>
      </c>
      <c r="L344" s="25" t="s">
        <v>84</v>
      </c>
      <c r="M344" s="27" t="s">
        <v>115</v>
      </c>
      <c r="N344" s="23">
        <v>610</v>
      </c>
      <c r="O344" s="49" t="s">
        <v>566</v>
      </c>
      <c r="P344" s="47" t="str">
        <f t="shared" si="29"/>
        <v>25</v>
      </c>
      <c r="Q344" s="19" t="str">
        <f t="shared" si="30"/>
        <v>05</v>
      </c>
      <c r="R344" s="19" t="s">
        <v>27</v>
      </c>
      <c r="S344" s="19" t="s">
        <v>102</v>
      </c>
      <c r="T344" s="46" t="s">
        <v>231</v>
      </c>
      <c r="U344" s="48" t="s">
        <v>552</v>
      </c>
      <c r="V344" s="50" t="s">
        <v>94</v>
      </c>
      <c r="W344" s="14">
        <v>46008</v>
      </c>
      <c r="X344" s="16">
        <f t="shared" si="31"/>
        <v>20</v>
      </c>
      <c r="AB344" s="10" t="str">
        <f t="shared" si="32"/>
        <v>Closed in Dec</v>
      </c>
    </row>
    <row r="345" spans="1:28" x14ac:dyDescent="0.25">
      <c r="A345" s="14">
        <v>45988</v>
      </c>
      <c r="B345" s="15">
        <v>2025</v>
      </c>
      <c r="C345" s="16" t="s">
        <v>88</v>
      </c>
      <c r="D345" s="26" t="s">
        <v>315</v>
      </c>
      <c r="E345" s="16" t="s">
        <v>88</v>
      </c>
      <c r="F345" s="15" t="s">
        <v>60</v>
      </c>
      <c r="G345" s="41" t="s">
        <v>423</v>
      </c>
      <c r="H345" s="16">
        <v>8909173473</v>
      </c>
      <c r="J345" s="20" t="s">
        <v>424</v>
      </c>
      <c r="K345" s="25" t="s">
        <v>144</v>
      </c>
      <c r="L345" s="25" t="s">
        <v>84</v>
      </c>
      <c r="M345" s="27" t="s">
        <v>115</v>
      </c>
      <c r="N345" s="23">
        <v>610</v>
      </c>
      <c r="O345" s="49" t="s">
        <v>567</v>
      </c>
      <c r="P345" s="47" t="str">
        <f t="shared" si="29"/>
        <v>25</v>
      </c>
      <c r="Q345" s="19" t="str">
        <f t="shared" si="30"/>
        <v>05</v>
      </c>
      <c r="R345" s="19" t="s">
        <v>27</v>
      </c>
      <c r="S345" s="19" t="s">
        <v>102</v>
      </c>
      <c r="T345" s="46" t="s">
        <v>231</v>
      </c>
      <c r="U345" s="48" t="s">
        <v>552</v>
      </c>
      <c r="V345" s="50" t="s">
        <v>94</v>
      </c>
      <c r="W345" s="14">
        <v>46008</v>
      </c>
      <c r="X345" s="16">
        <f t="shared" si="31"/>
        <v>20</v>
      </c>
      <c r="AB345" s="10" t="str">
        <f t="shared" si="32"/>
        <v>Closed in Dec</v>
      </c>
    </row>
    <row r="346" spans="1:28" x14ac:dyDescent="0.25">
      <c r="A346" s="14">
        <v>45988</v>
      </c>
      <c r="B346" s="15">
        <v>2025</v>
      </c>
      <c r="C346" s="16" t="s">
        <v>88</v>
      </c>
      <c r="D346" s="26" t="s">
        <v>315</v>
      </c>
      <c r="E346" s="16" t="s">
        <v>88</v>
      </c>
      <c r="F346" s="15" t="s">
        <v>60</v>
      </c>
      <c r="G346" s="41" t="s">
        <v>423</v>
      </c>
      <c r="H346" s="16">
        <v>8909173473</v>
      </c>
      <c r="J346" s="20" t="s">
        <v>424</v>
      </c>
      <c r="K346" s="25" t="s">
        <v>144</v>
      </c>
      <c r="L346" s="25" t="s">
        <v>84</v>
      </c>
      <c r="M346" s="27" t="s">
        <v>115</v>
      </c>
      <c r="N346" s="23">
        <v>610</v>
      </c>
      <c r="O346" s="49" t="s">
        <v>568</v>
      </c>
      <c r="P346" s="47" t="str">
        <f t="shared" si="29"/>
        <v>25</v>
      </c>
      <c r="Q346" s="19" t="str">
        <f t="shared" si="30"/>
        <v>06</v>
      </c>
      <c r="R346" s="19" t="s">
        <v>27</v>
      </c>
      <c r="S346" s="19" t="s">
        <v>102</v>
      </c>
      <c r="T346" s="46" t="s">
        <v>231</v>
      </c>
      <c r="U346" s="48" t="s">
        <v>552</v>
      </c>
      <c r="V346" s="50" t="s">
        <v>94</v>
      </c>
      <c r="W346" s="14">
        <v>46008</v>
      </c>
      <c r="X346" s="16">
        <f t="shared" si="31"/>
        <v>20</v>
      </c>
      <c r="AB346" s="10" t="str">
        <f t="shared" si="32"/>
        <v>Closed in Dec</v>
      </c>
    </row>
    <row r="347" spans="1:28" x14ac:dyDescent="0.25">
      <c r="A347" s="14">
        <v>45988</v>
      </c>
      <c r="B347" s="15">
        <v>2025</v>
      </c>
      <c r="C347" s="16" t="s">
        <v>88</v>
      </c>
      <c r="D347" s="26" t="s">
        <v>315</v>
      </c>
      <c r="E347" s="16" t="s">
        <v>88</v>
      </c>
      <c r="F347" s="15" t="s">
        <v>60</v>
      </c>
      <c r="G347" s="41" t="s">
        <v>423</v>
      </c>
      <c r="H347" s="16">
        <v>8909173473</v>
      </c>
      <c r="J347" s="20" t="s">
        <v>424</v>
      </c>
      <c r="K347" s="25" t="s">
        <v>144</v>
      </c>
      <c r="L347" s="25" t="s">
        <v>84</v>
      </c>
      <c r="M347" s="27" t="s">
        <v>115</v>
      </c>
      <c r="N347" s="23">
        <v>610</v>
      </c>
      <c r="O347" s="49" t="s">
        <v>569</v>
      </c>
      <c r="P347" s="47" t="str">
        <f t="shared" si="29"/>
        <v>25</v>
      </c>
      <c r="Q347" s="19" t="str">
        <f t="shared" si="30"/>
        <v>06</v>
      </c>
      <c r="R347" s="19" t="s">
        <v>27</v>
      </c>
      <c r="S347" s="19" t="s">
        <v>102</v>
      </c>
      <c r="T347" s="46" t="s">
        <v>231</v>
      </c>
      <c r="U347" s="48" t="s">
        <v>552</v>
      </c>
      <c r="V347" s="50" t="s">
        <v>94</v>
      </c>
      <c r="W347" s="14">
        <v>46008</v>
      </c>
      <c r="X347" s="16">
        <f t="shared" si="31"/>
        <v>20</v>
      </c>
      <c r="AB347" s="10" t="str">
        <f t="shared" si="32"/>
        <v>Closed in Dec</v>
      </c>
    </row>
    <row r="348" spans="1:28" x14ac:dyDescent="0.25">
      <c r="A348" s="14">
        <v>45988</v>
      </c>
      <c r="B348" s="15">
        <v>2025</v>
      </c>
      <c r="C348" s="16" t="s">
        <v>88</v>
      </c>
      <c r="D348" s="26" t="s">
        <v>315</v>
      </c>
      <c r="E348" s="16" t="s">
        <v>88</v>
      </c>
      <c r="F348" s="15" t="s">
        <v>60</v>
      </c>
      <c r="G348" s="41" t="s">
        <v>423</v>
      </c>
      <c r="H348" s="16">
        <v>8909173473</v>
      </c>
      <c r="J348" s="20" t="s">
        <v>424</v>
      </c>
      <c r="K348" s="25" t="s">
        <v>144</v>
      </c>
      <c r="L348" s="25" t="s">
        <v>84</v>
      </c>
      <c r="M348" s="27" t="s">
        <v>115</v>
      </c>
      <c r="N348" s="23">
        <v>610</v>
      </c>
      <c r="O348" s="49" t="s">
        <v>570</v>
      </c>
      <c r="P348" s="47" t="str">
        <f t="shared" si="29"/>
        <v>25</v>
      </c>
      <c r="Q348" s="19" t="str">
        <f t="shared" si="30"/>
        <v>06</v>
      </c>
      <c r="R348" s="19" t="s">
        <v>27</v>
      </c>
      <c r="S348" s="19" t="s">
        <v>102</v>
      </c>
      <c r="T348" s="46" t="s">
        <v>231</v>
      </c>
      <c r="U348" s="48" t="s">
        <v>552</v>
      </c>
      <c r="V348" s="50" t="s">
        <v>94</v>
      </c>
      <c r="W348" s="14">
        <v>46008</v>
      </c>
      <c r="X348" s="16">
        <f t="shared" si="31"/>
        <v>20</v>
      </c>
      <c r="AB348" s="10" t="str">
        <f t="shared" si="32"/>
        <v>Closed in Dec</v>
      </c>
    </row>
    <row r="349" spans="1:28" x14ac:dyDescent="0.25">
      <c r="A349" s="14">
        <v>45988</v>
      </c>
      <c r="B349" s="15">
        <v>2025</v>
      </c>
      <c r="C349" s="16" t="s">
        <v>88</v>
      </c>
      <c r="D349" s="26" t="s">
        <v>315</v>
      </c>
      <c r="E349" s="16" t="s">
        <v>88</v>
      </c>
      <c r="F349" s="15" t="s">
        <v>60</v>
      </c>
      <c r="G349" s="41" t="s">
        <v>423</v>
      </c>
      <c r="H349" s="16">
        <v>8909173473</v>
      </c>
      <c r="J349" s="20" t="s">
        <v>424</v>
      </c>
      <c r="K349" s="25" t="s">
        <v>144</v>
      </c>
      <c r="L349" s="25" t="s">
        <v>84</v>
      </c>
      <c r="M349" s="27" t="s">
        <v>115</v>
      </c>
      <c r="N349" s="23">
        <v>610</v>
      </c>
      <c r="O349" s="49" t="s">
        <v>571</v>
      </c>
      <c r="P349" s="47" t="str">
        <f t="shared" si="29"/>
        <v>25</v>
      </c>
      <c r="Q349" s="19" t="str">
        <f t="shared" si="30"/>
        <v>05</v>
      </c>
      <c r="R349" s="19" t="s">
        <v>27</v>
      </c>
      <c r="S349" s="19" t="s">
        <v>102</v>
      </c>
      <c r="T349" s="46" t="s">
        <v>231</v>
      </c>
      <c r="U349" s="48" t="s">
        <v>552</v>
      </c>
      <c r="V349" s="50" t="s">
        <v>94</v>
      </c>
      <c r="W349" s="14">
        <v>46008</v>
      </c>
      <c r="X349" s="16">
        <f t="shared" si="31"/>
        <v>20</v>
      </c>
      <c r="AB349" s="10" t="str">
        <f t="shared" si="32"/>
        <v>Closed in Dec</v>
      </c>
    </row>
    <row r="350" spans="1:28" x14ac:dyDescent="0.25">
      <c r="A350" s="14">
        <v>45988</v>
      </c>
      <c r="B350" s="15">
        <v>2025</v>
      </c>
      <c r="C350" s="16" t="s">
        <v>88</v>
      </c>
      <c r="D350" s="26" t="s">
        <v>315</v>
      </c>
      <c r="E350" s="16" t="s">
        <v>88</v>
      </c>
      <c r="F350" s="15" t="s">
        <v>60</v>
      </c>
      <c r="G350" s="41" t="s">
        <v>423</v>
      </c>
      <c r="H350" s="16">
        <v>8909173473</v>
      </c>
      <c r="J350" s="20" t="s">
        <v>424</v>
      </c>
      <c r="K350" s="25" t="s">
        <v>144</v>
      </c>
      <c r="L350" s="25" t="s">
        <v>84</v>
      </c>
      <c r="M350" s="27" t="s">
        <v>115</v>
      </c>
      <c r="N350" s="23">
        <v>610</v>
      </c>
      <c r="O350" s="49" t="s">
        <v>572</v>
      </c>
      <c r="P350" s="47" t="str">
        <f t="shared" si="29"/>
        <v>25</v>
      </c>
      <c r="Q350" s="19" t="str">
        <f t="shared" si="30"/>
        <v>07</v>
      </c>
      <c r="R350" s="19" t="s">
        <v>27</v>
      </c>
      <c r="S350" s="19" t="s">
        <v>102</v>
      </c>
      <c r="T350" s="46" t="s">
        <v>231</v>
      </c>
      <c r="U350" s="48" t="s">
        <v>552</v>
      </c>
      <c r="V350" s="50" t="s">
        <v>94</v>
      </c>
      <c r="W350" s="14">
        <v>46008</v>
      </c>
      <c r="X350" s="16">
        <f t="shared" si="31"/>
        <v>20</v>
      </c>
      <c r="AB350" s="10" t="str">
        <f t="shared" si="32"/>
        <v>Closed in Dec</v>
      </c>
    </row>
    <row r="351" spans="1:28" x14ac:dyDescent="0.25">
      <c r="A351" s="14">
        <v>45988</v>
      </c>
      <c r="B351" s="15">
        <v>2025</v>
      </c>
      <c r="C351" s="16" t="s">
        <v>88</v>
      </c>
      <c r="D351" s="26" t="s">
        <v>315</v>
      </c>
      <c r="E351" s="16" t="s">
        <v>88</v>
      </c>
      <c r="F351" s="15" t="s">
        <v>60</v>
      </c>
      <c r="G351" s="41" t="s">
        <v>423</v>
      </c>
      <c r="H351" s="16">
        <v>8909173473</v>
      </c>
      <c r="J351" s="20" t="s">
        <v>424</v>
      </c>
      <c r="K351" s="25" t="s">
        <v>144</v>
      </c>
      <c r="L351" s="25" t="s">
        <v>84</v>
      </c>
      <c r="M351" s="27" t="s">
        <v>115</v>
      </c>
      <c r="N351" s="23">
        <v>610</v>
      </c>
      <c r="O351" s="49" t="s">
        <v>573</v>
      </c>
      <c r="P351" s="47" t="str">
        <f t="shared" si="29"/>
        <v>25</v>
      </c>
      <c r="Q351" s="19" t="str">
        <f t="shared" si="30"/>
        <v>05</v>
      </c>
      <c r="R351" s="19" t="s">
        <v>27</v>
      </c>
      <c r="S351" s="19" t="s">
        <v>102</v>
      </c>
      <c r="T351" s="46" t="s">
        <v>231</v>
      </c>
      <c r="U351" s="48" t="s">
        <v>552</v>
      </c>
      <c r="V351" s="50" t="s">
        <v>94</v>
      </c>
      <c r="W351" s="14">
        <v>46008</v>
      </c>
      <c r="X351" s="16">
        <f t="shared" si="31"/>
        <v>20</v>
      </c>
      <c r="AB351" s="10" t="str">
        <f t="shared" si="32"/>
        <v>Closed in Dec</v>
      </c>
    </row>
    <row r="352" spans="1:28" x14ac:dyDescent="0.25">
      <c r="A352" s="14">
        <v>45988</v>
      </c>
      <c r="B352" s="15">
        <v>2025</v>
      </c>
      <c r="C352" s="16" t="s">
        <v>88</v>
      </c>
      <c r="D352" s="26" t="s">
        <v>315</v>
      </c>
      <c r="E352" s="16" t="s">
        <v>88</v>
      </c>
      <c r="F352" s="15" t="s">
        <v>60</v>
      </c>
      <c r="G352" s="41" t="s">
        <v>423</v>
      </c>
      <c r="H352" s="16">
        <v>8909173473</v>
      </c>
      <c r="J352" s="20" t="s">
        <v>424</v>
      </c>
      <c r="K352" s="25" t="s">
        <v>144</v>
      </c>
      <c r="L352" s="25" t="s">
        <v>84</v>
      </c>
      <c r="M352" s="27" t="s">
        <v>115</v>
      </c>
      <c r="N352" s="23">
        <v>610</v>
      </c>
      <c r="O352" s="49" t="s">
        <v>574</v>
      </c>
      <c r="P352" s="47" t="str">
        <f t="shared" si="29"/>
        <v>25</v>
      </c>
      <c r="Q352" s="19" t="str">
        <f t="shared" si="30"/>
        <v>05</v>
      </c>
      <c r="R352" s="19" t="s">
        <v>27</v>
      </c>
      <c r="S352" s="19" t="s">
        <v>102</v>
      </c>
      <c r="T352" s="46" t="s">
        <v>231</v>
      </c>
      <c r="U352" s="48" t="s">
        <v>552</v>
      </c>
      <c r="V352" s="50" t="s">
        <v>94</v>
      </c>
      <c r="W352" s="14">
        <v>46008</v>
      </c>
      <c r="X352" s="16">
        <f t="shared" si="31"/>
        <v>20</v>
      </c>
      <c r="AB352" s="10" t="str">
        <f t="shared" si="32"/>
        <v>Closed in Dec</v>
      </c>
    </row>
    <row r="353" spans="1:28" x14ac:dyDescent="0.25">
      <c r="A353" s="14">
        <v>45988</v>
      </c>
      <c r="B353" s="15">
        <v>2025</v>
      </c>
      <c r="C353" s="16" t="s">
        <v>88</v>
      </c>
      <c r="D353" s="26" t="s">
        <v>315</v>
      </c>
      <c r="E353" s="16" t="s">
        <v>88</v>
      </c>
      <c r="F353" s="15" t="s">
        <v>60</v>
      </c>
      <c r="G353" s="41" t="s">
        <v>423</v>
      </c>
      <c r="H353" s="16">
        <v>8909173473</v>
      </c>
      <c r="J353" s="20" t="s">
        <v>424</v>
      </c>
      <c r="K353" s="25" t="s">
        <v>144</v>
      </c>
      <c r="L353" s="25" t="s">
        <v>84</v>
      </c>
      <c r="M353" s="27" t="s">
        <v>115</v>
      </c>
      <c r="N353" s="23">
        <v>610</v>
      </c>
      <c r="O353" s="49" t="s">
        <v>575</v>
      </c>
      <c r="P353" s="47" t="str">
        <f t="shared" si="29"/>
        <v>25</v>
      </c>
      <c r="Q353" s="19" t="str">
        <f t="shared" si="30"/>
        <v>05</v>
      </c>
      <c r="R353" s="19" t="s">
        <v>27</v>
      </c>
      <c r="S353" s="19" t="s">
        <v>102</v>
      </c>
      <c r="T353" s="46" t="s">
        <v>231</v>
      </c>
      <c r="U353" s="48" t="s">
        <v>552</v>
      </c>
      <c r="V353" s="50" t="s">
        <v>94</v>
      </c>
      <c r="W353" s="14">
        <v>46008</v>
      </c>
      <c r="X353" s="16">
        <f t="shared" si="31"/>
        <v>20</v>
      </c>
      <c r="AB353" s="10" t="str">
        <f t="shared" si="32"/>
        <v>Closed in Dec</v>
      </c>
    </row>
    <row r="354" spans="1:28" x14ac:dyDescent="0.25">
      <c r="A354" s="14">
        <v>45988</v>
      </c>
      <c r="B354" s="15">
        <v>2025</v>
      </c>
      <c r="C354" s="16" t="s">
        <v>88</v>
      </c>
      <c r="D354" s="26" t="s">
        <v>315</v>
      </c>
      <c r="E354" s="16" t="s">
        <v>88</v>
      </c>
      <c r="F354" s="15" t="s">
        <v>60</v>
      </c>
      <c r="G354" s="41" t="s">
        <v>423</v>
      </c>
      <c r="H354" s="16">
        <v>8909173473</v>
      </c>
      <c r="J354" s="20" t="s">
        <v>424</v>
      </c>
      <c r="K354" s="25" t="s">
        <v>144</v>
      </c>
      <c r="L354" s="25" t="s">
        <v>84</v>
      </c>
      <c r="M354" s="27" t="s">
        <v>115</v>
      </c>
      <c r="N354" s="23">
        <v>610</v>
      </c>
      <c r="O354" s="49" t="s">
        <v>576</v>
      </c>
      <c r="P354" s="47" t="str">
        <f t="shared" si="29"/>
        <v>25</v>
      </c>
      <c r="Q354" s="19" t="str">
        <f t="shared" si="30"/>
        <v>05</v>
      </c>
      <c r="R354" s="19" t="s">
        <v>27</v>
      </c>
      <c r="S354" s="19" t="s">
        <v>102</v>
      </c>
      <c r="T354" s="46" t="s">
        <v>231</v>
      </c>
      <c r="U354" s="48" t="s">
        <v>552</v>
      </c>
      <c r="V354" s="50" t="s">
        <v>94</v>
      </c>
      <c r="W354" s="14">
        <v>46008</v>
      </c>
      <c r="X354" s="16">
        <f t="shared" si="31"/>
        <v>20</v>
      </c>
      <c r="AB354" s="10" t="str">
        <f t="shared" si="32"/>
        <v>Closed in Dec</v>
      </c>
    </row>
    <row r="355" spans="1:28" x14ac:dyDescent="0.25">
      <c r="A355" s="14">
        <v>45988</v>
      </c>
      <c r="B355" s="15">
        <v>2025</v>
      </c>
      <c r="C355" s="16" t="s">
        <v>88</v>
      </c>
      <c r="D355" s="26" t="s">
        <v>315</v>
      </c>
      <c r="E355" s="16" t="s">
        <v>88</v>
      </c>
      <c r="F355" s="15" t="s">
        <v>60</v>
      </c>
      <c r="G355" s="41" t="s">
        <v>423</v>
      </c>
      <c r="H355" s="16">
        <v>8909173473</v>
      </c>
      <c r="J355" s="20" t="s">
        <v>424</v>
      </c>
      <c r="K355" s="25" t="s">
        <v>144</v>
      </c>
      <c r="L355" s="25" t="s">
        <v>84</v>
      </c>
      <c r="M355" s="27" t="s">
        <v>115</v>
      </c>
      <c r="N355" s="23">
        <v>610</v>
      </c>
      <c r="O355" s="49" t="s">
        <v>577</v>
      </c>
      <c r="P355" s="47" t="str">
        <f t="shared" si="29"/>
        <v>25</v>
      </c>
      <c r="Q355" s="19" t="str">
        <f t="shared" si="30"/>
        <v>06</v>
      </c>
      <c r="R355" s="19" t="s">
        <v>27</v>
      </c>
      <c r="S355" s="19" t="s">
        <v>102</v>
      </c>
      <c r="T355" s="46" t="s">
        <v>231</v>
      </c>
      <c r="U355" s="48" t="s">
        <v>552</v>
      </c>
      <c r="V355" s="50" t="s">
        <v>94</v>
      </c>
      <c r="W355" s="14">
        <v>46008</v>
      </c>
      <c r="X355" s="16">
        <f t="shared" si="31"/>
        <v>20</v>
      </c>
      <c r="AB355" s="10" t="str">
        <f t="shared" si="32"/>
        <v>Closed in Dec</v>
      </c>
    </row>
    <row r="356" spans="1:28" x14ac:dyDescent="0.25">
      <c r="A356" s="14">
        <v>45988</v>
      </c>
      <c r="B356" s="15">
        <v>2025</v>
      </c>
      <c r="C356" s="16" t="s">
        <v>88</v>
      </c>
      <c r="D356" s="26" t="s">
        <v>315</v>
      </c>
      <c r="E356" s="16" t="s">
        <v>88</v>
      </c>
      <c r="F356" s="15" t="s">
        <v>60</v>
      </c>
      <c r="G356" s="41" t="s">
        <v>423</v>
      </c>
      <c r="H356" s="16">
        <v>8909173473</v>
      </c>
      <c r="J356" s="20" t="s">
        <v>424</v>
      </c>
      <c r="K356" s="25" t="s">
        <v>144</v>
      </c>
      <c r="L356" s="25" t="s">
        <v>84</v>
      </c>
      <c r="M356" s="27" t="s">
        <v>115</v>
      </c>
      <c r="N356" s="23">
        <v>610</v>
      </c>
      <c r="O356" s="49" t="s">
        <v>578</v>
      </c>
      <c r="P356" s="47" t="str">
        <f t="shared" si="29"/>
        <v>25</v>
      </c>
      <c r="Q356" s="19" t="str">
        <f t="shared" si="30"/>
        <v>06</v>
      </c>
      <c r="R356" s="19" t="s">
        <v>27</v>
      </c>
      <c r="S356" s="19" t="s">
        <v>102</v>
      </c>
      <c r="T356" s="46" t="s">
        <v>231</v>
      </c>
      <c r="U356" s="48" t="s">
        <v>552</v>
      </c>
      <c r="V356" s="50" t="s">
        <v>94</v>
      </c>
      <c r="W356" s="14">
        <v>46008</v>
      </c>
      <c r="X356" s="16">
        <f t="shared" si="31"/>
        <v>20</v>
      </c>
      <c r="AB356" s="10" t="str">
        <f t="shared" si="32"/>
        <v>Closed in Dec</v>
      </c>
    </row>
    <row r="357" spans="1:28" x14ac:dyDescent="0.25">
      <c r="A357" s="14">
        <v>45988</v>
      </c>
      <c r="B357" s="15">
        <v>2025</v>
      </c>
      <c r="C357" s="16" t="s">
        <v>88</v>
      </c>
      <c r="D357" s="26" t="s">
        <v>315</v>
      </c>
      <c r="E357" s="16" t="s">
        <v>88</v>
      </c>
      <c r="F357" s="15" t="s">
        <v>60</v>
      </c>
      <c r="G357" s="41" t="s">
        <v>423</v>
      </c>
      <c r="H357" s="16">
        <v>8909173473</v>
      </c>
      <c r="J357" s="20" t="s">
        <v>424</v>
      </c>
      <c r="K357" s="25" t="s">
        <v>144</v>
      </c>
      <c r="L357" s="25" t="s">
        <v>84</v>
      </c>
      <c r="M357" s="27" t="s">
        <v>115</v>
      </c>
      <c r="N357" s="23">
        <v>610</v>
      </c>
      <c r="O357" s="49" t="s">
        <v>579</v>
      </c>
      <c r="P357" s="47" t="str">
        <f t="shared" si="29"/>
        <v>25</v>
      </c>
      <c r="Q357" s="19" t="str">
        <f t="shared" si="30"/>
        <v>06</v>
      </c>
      <c r="R357" s="19" t="s">
        <v>27</v>
      </c>
      <c r="S357" s="19" t="s">
        <v>102</v>
      </c>
      <c r="T357" s="46" t="s">
        <v>231</v>
      </c>
      <c r="U357" s="48" t="s">
        <v>552</v>
      </c>
      <c r="V357" s="50" t="s">
        <v>94</v>
      </c>
      <c r="W357" s="14">
        <v>46008</v>
      </c>
      <c r="X357" s="16">
        <f t="shared" si="31"/>
        <v>20</v>
      </c>
      <c r="AB357" s="10" t="str">
        <f t="shared" si="32"/>
        <v>Closed in Dec</v>
      </c>
    </row>
    <row r="358" spans="1:28" x14ac:dyDescent="0.25">
      <c r="A358" s="14">
        <v>45988</v>
      </c>
      <c r="B358" s="15">
        <v>2025</v>
      </c>
      <c r="C358" s="16" t="s">
        <v>88</v>
      </c>
      <c r="D358" s="26" t="s">
        <v>315</v>
      </c>
      <c r="E358" s="16" t="s">
        <v>88</v>
      </c>
      <c r="F358" s="15" t="s">
        <v>60</v>
      </c>
      <c r="G358" s="41" t="s">
        <v>423</v>
      </c>
      <c r="H358" s="16">
        <v>8909173473</v>
      </c>
      <c r="J358" s="20" t="s">
        <v>424</v>
      </c>
      <c r="K358" s="25" t="s">
        <v>144</v>
      </c>
      <c r="L358" s="25" t="s">
        <v>84</v>
      </c>
      <c r="M358" s="27" t="s">
        <v>115</v>
      </c>
      <c r="N358" s="23">
        <v>610</v>
      </c>
      <c r="O358" s="49" t="s">
        <v>580</v>
      </c>
      <c r="P358" s="47" t="str">
        <f t="shared" si="29"/>
        <v>25</v>
      </c>
      <c r="Q358" s="19" t="str">
        <f t="shared" si="30"/>
        <v>06</v>
      </c>
      <c r="R358" s="19" t="s">
        <v>27</v>
      </c>
      <c r="S358" s="19" t="s">
        <v>102</v>
      </c>
      <c r="T358" s="46" t="s">
        <v>231</v>
      </c>
      <c r="U358" s="48" t="s">
        <v>552</v>
      </c>
      <c r="V358" s="50" t="s">
        <v>94</v>
      </c>
      <c r="W358" s="14">
        <v>46008</v>
      </c>
      <c r="X358" s="16">
        <f t="shared" si="31"/>
        <v>20</v>
      </c>
      <c r="AB358" s="10" t="str">
        <f t="shared" si="32"/>
        <v>Closed in Dec</v>
      </c>
    </row>
    <row r="359" spans="1:28" x14ac:dyDescent="0.25">
      <c r="A359" s="14">
        <v>45988</v>
      </c>
      <c r="B359" s="15">
        <v>2025</v>
      </c>
      <c r="C359" s="16" t="s">
        <v>88</v>
      </c>
      <c r="D359" s="26" t="s">
        <v>315</v>
      </c>
      <c r="E359" s="16" t="s">
        <v>88</v>
      </c>
      <c r="F359" s="15" t="s">
        <v>60</v>
      </c>
      <c r="G359" s="41" t="s">
        <v>423</v>
      </c>
      <c r="H359" s="16">
        <v>8909173473</v>
      </c>
      <c r="J359" s="20" t="s">
        <v>424</v>
      </c>
      <c r="K359" s="25" t="s">
        <v>144</v>
      </c>
      <c r="L359" s="25" t="s">
        <v>84</v>
      </c>
      <c r="M359" s="27" t="s">
        <v>115</v>
      </c>
      <c r="N359" s="23">
        <v>610</v>
      </c>
      <c r="O359" s="49" t="s">
        <v>581</v>
      </c>
      <c r="P359" s="47" t="str">
        <f t="shared" si="29"/>
        <v>25</v>
      </c>
      <c r="Q359" s="19" t="str">
        <f t="shared" si="30"/>
        <v>06</v>
      </c>
      <c r="R359" s="19" t="s">
        <v>27</v>
      </c>
      <c r="S359" s="19" t="s">
        <v>102</v>
      </c>
      <c r="T359" s="46" t="s">
        <v>231</v>
      </c>
      <c r="U359" s="48" t="s">
        <v>552</v>
      </c>
      <c r="V359" s="50" t="s">
        <v>94</v>
      </c>
      <c r="W359" s="14">
        <v>46008</v>
      </c>
      <c r="X359" s="16">
        <f t="shared" si="31"/>
        <v>20</v>
      </c>
      <c r="AB359" s="10" t="str">
        <f t="shared" si="32"/>
        <v>Closed in Dec</v>
      </c>
    </row>
    <row r="360" spans="1:28" x14ac:dyDescent="0.25">
      <c r="A360" s="14">
        <v>45988</v>
      </c>
      <c r="B360" s="15">
        <v>2025</v>
      </c>
      <c r="C360" s="16" t="s">
        <v>88</v>
      </c>
      <c r="D360" s="26" t="s">
        <v>315</v>
      </c>
      <c r="E360" s="16" t="s">
        <v>88</v>
      </c>
      <c r="F360" s="15" t="s">
        <v>60</v>
      </c>
      <c r="G360" s="41" t="s">
        <v>423</v>
      </c>
      <c r="H360" s="16">
        <v>8909173473</v>
      </c>
      <c r="J360" s="20" t="s">
        <v>424</v>
      </c>
      <c r="K360" s="25" t="s">
        <v>144</v>
      </c>
      <c r="L360" s="25" t="s">
        <v>84</v>
      </c>
      <c r="M360" s="27" t="s">
        <v>115</v>
      </c>
      <c r="N360" s="23">
        <v>610</v>
      </c>
      <c r="O360" s="49" t="s">
        <v>582</v>
      </c>
      <c r="P360" s="47" t="str">
        <f t="shared" si="29"/>
        <v>25</v>
      </c>
      <c r="Q360" s="19" t="str">
        <f t="shared" si="30"/>
        <v>06</v>
      </c>
      <c r="R360" s="19" t="s">
        <v>27</v>
      </c>
      <c r="S360" s="19" t="s">
        <v>102</v>
      </c>
      <c r="T360" s="46" t="s">
        <v>231</v>
      </c>
      <c r="U360" s="48" t="s">
        <v>552</v>
      </c>
      <c r="V360" s="50" t="s">
        <v>94</v>
      </c>
      <c r="W360" s="14">
        <v>46008</v>
      </c>
      <c r="X360" s="16">
        <f t="shared" si="31"/>
        <v>20</v>
      </c>
      <c r="AB360" s="10" t="str">
        <f t="shared" si="32"/>
        <v>Closed in Dec</v>
      </c>
    </row>
    <row r="361" spans="1:28" x14ac:dyDescent="0.25">
      <c r="A361" s="14">
        <v>45988</v>
      </c>
      <c r="B361" s="15">
        <v>2025</v>
      </c>
      <c r="C361" s="16" t="s">
        <v>88</v>
      </c>
      <c r="D361" s="26" t="s">
        <v>315</v>
      </c>
      <c r="E361" s="16" t="s">
        <v>88</v>
      </c>
      <c r="F361" s="15" t="s">
        <v>60</v>
      </c>
      <c r="G361" s="41" t="s">
        <v>423</v>
      </c>
      <c r="H361" s="16">
        <v>8909173473</v>
      </c>
      <c r="J361" s="20" t="s">
        <v>424</v>
      </c>
      <c r="K361" s="25" t="s">
        <v>144</v>
      </c>
      <c r="L361" s="25" t="s">
        <v>84</v>
      </c>
      <c r="M361" s="27" t="s">
        <v>115</v>
      </c>
      <c r="N361" s="23">
        <v>610</v>
      </c>
      <c r="O361" s="49" t="s">
        <v>583</v>
      </c>
      <c r="P361" s="47" t="str">
        <f t="shared" si="29"/>
        <v>25</v>
      </c>
      <c r="Q361" s="19" t="str">
        <f t="shared" si="30"/>
        <v>06</v>
      </c>
      <c r="R361" s="19" t="s">
        <v>27</v>
      </c>
      <c r="S361" s="19" t="s">
        <v>102</v>
      </c>
      <c r="T361" s="46" t="s">
        <v>231</v>
      </c>
      <c r="U361" s="48" t="s">
        <v>552</v>
      </c>
      <c r="V361" s="50" t="s">
        <v>94</v>
      </c>
      <c r="W361" s="14">
        <v>46008</v>
      </c>
      <c r="X361" s="16">
        <f t="shared" si="31"/>
        <v>20</v>
      </c>
      <c r="AB361" s="10" t="str">
        <f t="shared" si="32"/>
        <v>Closed in Dec</v>
      </c>
    </row>
    <row r="362" spans="1:28" x14ac:dyDescent="0.25">
      <c r="A362" s="14">
        <v>45988</v>
      </c>
      <c r="B362" s="15">
        <v>2025</v>
      </c>
      <c r="C362" s="16" t="s">
        <v>88</v>
      </c>
      <c r="D362" s="26" t="s">
        <v>315</v>
      </c>
      <c r="E362" s="16" t="s">
        <v>88</v>
      </c>
      <c r="F362" s="15" t="s">
        <v>60</v>
      </c>
      <c r="G362" s="41" t="s">
        <v>423</v>
      </c>
      <c r="H362" s="16">
        <v>8909173473</v>
      </c>
      <c r="J362" s="20" t="s">
        <v>424</v>
      </c>
      <c r="K362" s="25" t="s">
        <v>144</v>
      </c>
      <c r="L362" s="25" t="s">
        <v>84</v>
      </c>
      <c r="M362" s="27" t="s">
        <v>115</v>
      </c>
      <c r="N362" s="23">
        <v>610</v>
      </c>
      <c r="O362" s="49" t="s">
        <v>584</v>
      </c>
      <c r="P362" s="47" t="str">
        <f t="shared" si="29"/>
        <v>25</v>
      </c>
      <c r="Q362" s="19" t="str">
        <f t="shared" si="30"/>
        <v>06</v>
      </c>
      <c r="R362" s="19" t="s">
        <v>27</v>
      </c>
      <c r="S362" s="19" t="s">
        <v>102</v>
      </c>
      <c r="T362" s="46" t="s">
        <v>231</v>
      </c>
      <c r="U362" s="48" t="s">
        <v>552</v>
      </c>
      <c r="V362" s="50" t="s">
        <v>94</v>
      </c>
      <c r="W362" s="14">
        <v>46008</v>
      </c>
      <c r="X362" s="16">
        <f t="shared" si="31"/>
        <v>20</v>
      </c>
      <c r="AB362" s="10" t="str">
        <f t="shared" si="32"/>
        <v>Closed in Dec</v>
      </c>
    </row>
    <row r="363" spans="1:28" x14ac:dyDescent="0.25">
      <c r="A363" s="14">
        <v>45988</v>
      </c>
      <c r="B363" s="15">
        <v>2025</v>
      </c>
      <c r="C363" s="16" t="s">
        <v>88</v>
      </c>
      <c r="D363" s="26" t="s">
        <v>315</v>
      </c>
      <c r="E363" s="16" t="s">
        <v>88</v>
      </c>
      <c r="F363" s="15" t="s">
        <v>60</v>
      </c>
      <c r="G363" s="41" t="s">
        <v>423</v>
      </c>
      <c r="H363" s="16">
        <v>8909173473</v>
      </c>
      <c r="J363" s="20" t="s">
        <v>424</v>
      </c>
      <c r="K363" s="25" t="s">
        <v>144</v>
      </c>
      <c r="L363" s="25" t="s">
        <v>84</v>
      </c>
      <c r="M363" s="27" t="s">
        <v>115</v>
      </c>
      <c r="N363" s="23">
        <v>610</v>
      </c>
      <c r="O363" s="49" t="s">
        <v>585</v>
      </c>
      <c r="P363" s="47" t="str">
        <f t="shared" si="29"/>
        <v>25</v>
      </c>
      <c r="Q363" s="19" t="str">
        <f t="shared" si="30"/>
        <v>07</v>
      </c>
      <c r="R363" s="19" t="s">
        <v>27</v>
      </c>
      <c r="S363" s="19" t="s">
        <v>102</v>
      </c>
      <c r="T363" s="46" t="s">
        <v>231</v>
      </c>
      <c r="U363" s="48" t="s">
        <v>552</v>
      </c>
      <c r="V363" s="50" t="s">
        <v>94</v>
      </c>
      <c r="W363" s="14">
        <v>46008</v>
      </c>
      <c r="X363" s="16">
        <f t="shared" si="31"/>
        <v>20</v>
      </c>
      <c r="AB363" s="10" t="str">
        <f t="shared" si="32"/>
        <v>Closed in Dec</v>
      </c>
    </row>
    <row r="364" spans="1:28" x14ac:dyDescent="0.25">
      <c r="A364" s="14">
        <v>45988</v>
      </c>
      <c r="B364" s="15">
        <v>2025</v>
      </c>
      <c r="C364" s="16" t="s">
        <v>88</v>
      </c>
      <c r="D364" s="26" t="s">
        <v>315</v>
      </c>
      <c r="E364" s="16" t="s">
        <v>88</v>
      </c>
      <c r="F364" s="15" t="s">
        <v>60</v>
      </c>
      <c r="G364" s="41" t="s">
        <v>423</v>
      </c>
      <c r="H364" s="16">
        <v>8909173473</v>
      </c>
      <c r="J364" s="20" t="s">
        <v>424</v>
      </c>
      <c r="K364" s="25" t="s">
        <v>144</v>
      </c>
      <c r="L364" s="25" t="s">
        <v>84</v>
      </c>
      <c r="M364" s="27" t="s">
        <v>115</v>
      </c>
      <c r="N364" s="23">
        <v>610</v>
      </c>
      <c r="O364" s="49" t="s">
        <v>586</v>
      </c>
      <c r="P364" s="47" t="str">
        <f t="shared" si="29"/>
        <v>25</v>
      </c>
      <c r="Q364" s="19" t="str">
        <f t="shared" si="30"/>
        <v>07</v>
      </c>
      <c r="R364" s="19" t="s">
        <v>27</v>
      </c>
      <c r="S364" s="19" t="s">
        <v>102</v>
      </c>
      <c r="T364" s="46" t="s">
        <v>231</v>
      </c>
      <c r="U364" s="48" t="s">
        <v>552</v>
      </c>
      <c r="V364" s="50" t="s">
        <v>94</v>
      </c>
      <c r="W364" s="14">
        <v>46008</v>
      </c>
      <c r="X364" s="16">
        <f t="shared" si="31"/>
        <v>20</v>
      </c>
      <c r="AB364" s="10" t="str">
        <f t="shared" si="32"/>
        <v>Closed in Dec</v>
      </c>
    </row>
    <row r="365" spans="1:28" x14ac:dyDescent="0.25">
      <c r="A365" s="14">
        <v>45988</v>
      </c>
      <c r="B365" s="15">
        <v>2025</v>
      </c>
      <c r="C365" s="16" t="s">
        <v>88</v>
      </c>
      <c r="D365" s="26" t="s">
        <v>315</v>
      </c>
      <c r="E365" s="16" t="s">
        <v>88</v>
      </c>
      <c r="F365" s="15" t="s">
        <v>60</v>
      </c>
      <c r="G365" s="41" t="s">
        <v>423</v>
      </c>
      <c r="H365" s="16">
        <v>8909173473</v>
      </c>
      <c r="J365" s="20" t="s">
        <v>424</v>
      </c>
      <c r="K365" s="25" t="s">
        <v>144</v>
      </c>
      <c r="L365" s="25" t="s">
        <v>84</v>
      </c>
      <c r="M365" s="27" t="s">
        <v>115</v>
      </c>
      <c r="N365" s="23">
        <v>610</v>
      </c>
      <c r="O365" s="49" t="s">
        <v>587</v>
      </c>
      <c r="P365" s="47" t="str">
        <f t="shared" ref="P365:P417" si="33">MID(O365,5,2)</f>
        <v>25</v>
      </c>
      <c r="Q365" s="19" t="str">
        <f t="shared" ref="Q365:Q417" si="34">MID(O365,7,2)</f>
        <v>07</v>
      </c>
      <c r="R365" s="19" t="s">
        <v>27</v>
      </c>
      <c r="S365" s="19" t="s">
        <v>102</v>
      </c>
      <c r="T365" s="46" t="s">
        <v>231</v>
      </c>
      <c r="U365" s="48" t="s">
        <v>552</v>
      </c>
      <c r="V365" s="50" t="s">
        <v>94</v>
      </c>
      <c r="W365" s="14">
        <v>46008</v>
      </c>
      <c r="X365" s="16">
        <f t="shared" si="31"/>
        <v>20</v>
      </c>
      <c r="AB365" s="10" t="str">
        <f t="shared" si="32"/>
        <v>Closed in Dec</v>
      </c>
    </row>
    <row r="366" spans="1:28" x14ac:dyDescent="0.25">
      <c r="A366" s="14">
        <v>45988</v>
      </c>
      <c r="B366" s="15">
        <v>2025</v>
      </c>
      <c r="C366" s="16" t="s">
        <v>88</v>
      </c>
      <c r="D366" s="26" t="s">
        <v>315</v>
      </c>
      <c r="E366" s="16" t="s">
        <v>88</v>
      </c>
      <c r="F366" s="15" t="s">
        <v>60</v>
      </c>
      <c r="G366" s="41" t="s">
        <v>423</v>
      </c>
      <c r="H366" s="16">
        <v>8909173473</v>
      </c>
      <c r="J366" s="20" t="s">
        <v>424</v>
      </c>
      <c r="K366" s="25" t="s">
        <v>144</v>
      </c>
      <c r="L366" s="25" t="s">
        <v>84</v>
      </c>
      <c r="M366" s="27" t="s">
        <v>115</v>
      </c>
      <c r="N366" s="23">
        <v>610</v>
      </c>
      <c r="O366" s="49" t="s">
        <v>588</v>
      </c>
      <c r="P366" s="47" t="str">
        <f t="shared" si="33"/>
        <v>25</v>
      </c>
      <c r="Q366" s="19" t="str">
        <f t="shared" si="34"/>
        <v>07</v>
      </c>
      <c r="R366" s="19" t="s">
        <v>27</v>
      </c>
      <c r="S366" s="19" t="s">
        <v>102</v>
      </c>
      <c r="T366" s="46" t="s">
        <v>231</v>
      </c>
      <c r="U366" s="48" t="s">
        <v>552</v>
      </c>
      <c r="V366" s="50" t="s">
        <v>94</v>
      </c>
      <c r="W366" s="14">
        <v>46008</v>
      </c>
      <c r="X366" s="16">
        <f t="shared" si="31"/>
        <v>20</v>
      </c>
      <c r="AB366" s="10" t="str">
        <f t="shared" si="32"/>
        <v>Closed in Dec</v>
      </c>
    </row>
    <row r="367" spans="1:28" x14ac:dyDescent="0.25">
      <c r="A367" s="14">
        <v>45988</v>
      </c>
      <c r="B367" s="15">
        <v>2025</v>
      </c>
      <c r="C367" s="16" t="s">
        <v>88</v>
      </c>
      <c r="D367" s="26" t="s">
        <v>315</v>
      </c>
      <c r="E367" s="16" t="s">
        <v>88</v>
      </c>
      <c r="F367" s="15" t="s">
        <v>60</v>
      </c>
      <c r="G367" s="41" t="s">
        <v>423</v>
      </c>
      <c r="H367" s="16">
        <v>8909173473</v>
      </c>
      <c r="J367" s="20" t="s">
        <v>424</v>
      </c>
      <c r="K367" s="25" t="s">
        <v>144</v>
      </c>
      <c r="L367" s="25" t="s">
        <v>84</v>
      </c>
      <c r="M367" s="27" t="s">
        <v>115</v>
      </c>
      <c r="N367" s="23">
        <v>610</v>
      </c>
      <c r="O367" s="49" t="s">
        <v>589</v>
      </c>
      <c r="P367" s="47" t="str">
        <f t="shared" si="33"/>
        <v>25</v>
      </c>
      <c r="Q367" s="19" t="str">
        <f t="shared" si="34"/>
        <v>07</v>
      </c>
      <c r="R367" s="19" t="s">
        <v>27</v>
      </c>
      <c r="S367" s="19" t="s">
        <v>102</v>
      </c>
      <c r="T367" s="46" t="s">
        <v>231</v>
      </c>
      <c r="U367" s="48" t="s">
        <v>552</v>
      </c>
      <c r="V367" s="50" t="s">
        <v>94</v>
      </c>
      <c r="W367" s="14">
        <v>46008</v>
      </c>
      <c r="X367" s="16">
        <f t="shared" si="31"/>
        <v>20</v>
      </c>
      <c r="AB367" s="10" t="str">
        <f t="shared" si="32"/>
        <v>Closed in Dec</v>
      </c>
    </row>
    <row r="368" spans="1:28" x14ac:dyDescent="0.25">
      <c r="A368" s="14">
        <v>45988</v>
      </c>
      <c r="B368" s="15">
        <v>2025</v>
      </c>
      <c r="C368" s="16" t="s">
        <v>88</v>
      </c>
      <c r="D368" s="26" t="s">
        <v>315</v>
      </c>
      <c r="E368" s="16" t="s">
        <v>88</v>
      </c>
      <c r="F368" s="15" t="s">
        <v>60</v>
      </c>
      <c r="G368" s="41" t="s">
        <v>423</v>
      </c>
      <c r="H368" s="16">
        <v>8909173473</v>
      </c>
      <c r="J368" s="20" t="s">
        <v>424</v>
      </c>
      <c r="K368" s="25" t="s">
        <v>144</v>
      </c>
      <c r="L368" s="25" t="s">
        <v>84</v>
      </c>
      <c r="M368" s="27" t="s">
        <v>115</v>
      </c>
      <c r="N368" s="23">
        <v>610</v>
      </c>
      <c r="O368" s="49" t="s">
        <v>590</v>
      </c>
      <c r="P368" s="47" t="str">
        <f t="shared" si="33"/>
        <v>25</v>
      </c>
      <c r="Q368" s="19" t="str">
        <f t="shared" si="34"/>
        <v>07</v>
      </c>
      <c r="R368" s="19" t="s">
        <v>27</v>
      </c>
      <c r="S368" s="19" t="s">
        <v>102</v>
      </c>
      <c r="T368" s="46" t="s">
        <v>231</v>
      </c>
      <c r="U368" s="48" t="s">
        <v>552</v>
      </c>
      <c r="V368" s="50" t="s">
        <v>94</v>
      </c>
      <c r="W368" s="14">
        <v>46008</v>
      </c>
      <c r="X368" s="16">
        <f t="shared" si="31"/>
        <v>20</v>
      </c>
      <c r="AB368" s="10" t="str">
        <f t="shared" si="32"/>
        <v>Closed in Dec</v>
      </c>
    </row>
    <row r="369" spans="1:28" x14ac:dyDescent="0.25">
      <c r="A369" s="14">
        <v>45988</v>
      </c>
      <c r="B369" s="15">
        <v>2025</v>
      </c>
      <c r="C369" s="16" t="s">
        <v>88</v>
      </c>
      <c r="D369" s="26" t="s">
        <v>315</v>
      </c>
      <c r="E369" s="16" t="s">
        <v>88</v>
      </c>
      <c r="F369" s="15" t="s">
        <v>60</v>
      </c>
      <c r="G369" s="41" t="s">
        <v>423</v>
      </c>
      <c r="H369" s="16">
        <v>8909173473</v>
      </c>
      <c r="J369" s="20" t="s">
        <v>424</v>
      </c>
      <c r="K369" s="25" t="s">
        <v>144</v>
      </c>
      <c r="L369" s="25" t="s">
        <v>84</v>
      </c>
      <c r="M369" s="27" t="s">
        <v>115</v>
      </c>
      <c r="N369" s="23">
        <v>610</v>
      </c>
      <c r="O369" s="49" t="s">
        <v>591</v>
      </c>
      <c r="P369" s="47" t="str">
        <f t="shared" si="33"/>
        <v>25</v>
      </c>
      <c r="Q369" s="19" t="str">
        <f t="shared" si="34"/>
        <v>07</v>
      </c>
      <c r="R369" s="19" t="s">
        <v>27</v>
      </c>
      <c r="S369" s="19" t="s">
        <v>102</v>
      </c>
      <c r="T369" s="46" t="s">
        <v>231</v>
      </c>
      <c r="U369" s="48" t="s">
        <v>552</v>
      </c>
      <c r="V369" s="50" t="s">
        <v>94</v>
      </c>
      <c r="W369" s="14">
        <v>46008</v>
      </c>
      <c r="X369" s="16">
        <f t="shared" si="31"/>
        <v>20</v>
      </c>
      <c r="AB369" s="10" t="str">
        <f t="shared" si="32"/>
        <v>Closed in Dec</v>
      </c>
    </row>
    <row r="370" spans="1:28" x14ac:dyDescent="0.25">
      <c r="A370" s="14">
        <v>45988</v>
      </c>
      <c r="B370" s="15">
        <v>2025</v>
      </c>
      <c r="C370" s="16" t="s">
        <v>88</v>
      </c>
      <c r="D370" s="26" t="s">
        <v>315</v>
      </c>
      <c r="E370" s="16" t="s">
        <v>88</v>
      </c>
      <c r="F370" s="15" t="s">
        <v>60</v>
      </c>
      <c r="G370" s="41" t="s">
        <v>423</v>
      </c>
      <c r="H370" s="16">
        <v>8909173473</v>
      </c>
      <c r="J370" s="20" t="s">
        <v>424</v>
      </c>
      <c r="K370" s="25" t="s">
        <v>144</v>
      </c>
      <c r="L370" s="25" t="s">
        <v>84</v>
      </c>
      <c r="M370" s="27" t="s">
        <v>115</v>
      </c>
      <c r="N370" s="23">
        <v>610</v>
      </c>
      <c r="O370" s="49" t="s">
        <v>592</v>
      </c>
      <c r="P370" s="47" t="str">
        <f t="shared" si="33"/>
        <v>25</v>
      </c>
      <c r="Q370" s="19" t="str">
        <f t="shared" si="34"/>
        <v>07</v>
      </c>
      <c r="R370" s="19" t="s">
        <v>27</v>
      </c>
      <c r="S370" s="19" t="s">
        <v>102</v>
      </c>
      <c r="T370" s="46" t="s">
        <v>231</v>
      </c>
      <c r="U370" s="48" t="s">
        <v>552</v>
      </c>
      <c r="V370" s="50" t="s">
        <v>94</v>
      </c>
      <c r="W370" s="14">
        <v>46008</v>
      </c>
      <c r="X370" s="16">
        <f t="shared" si="31"/>
        <v>20</v>
      </c>
      <c r="AB370" s="10" t="str">
        <f t="shared" si="32"/>
        <v>Closed in Dec</v>
      </c>
    </row>
    <row r="371" spans="1:28" x14ac:dyDescent="0.25">
      <c r="A371" s="14">
        <v>45988</v>
      </c>
      <c r="B371" s="15">
        <v>2025</v>
      </c>
      <c r="C371" s="16" t="s">
        <v>88</v>
      </c>
      <c r="D371" s="26" t="s">
        <v>315</v>
      </c>
      <c r="E371" s="16" t="s">
        <v>88</v>
      </c>
      <c r="F371" s="15" t="s">
        <v>60</v>
      </c>
      <c r="G371" s="41" t="s">
        <v>423</v>
      </c>
      <c r="H371" s="16">
        <v>8909173473</v>
      </c>
      <c r="J371" s="20" t="s">
        <v>424</v>
      </c>
      <c r="K371" s="25" t="s">
        <v>144</v>
      </c>
      <c r="L371" s="25" t="s">
        <v>84</v>
      </c>
      <c r="M371" s="27" t="s">
        <v>115</v>
      </c>
      <c r="N371" s="23">
        <v>610</v>
      </c>
      <c r="O371" s="49" t="s">
        <v>593</v>
      </c>
      <c r="P371" s="47" t="str">
        <f t="shared" si="33"/>
        <v>25</v>
      </c>
      <c r="Q371" s="19" t="str">
        <f t="shared" si="34"/>
        <v>07</v>
      </c>
      <c r="R371" s="19" t="s">
        <v>27</v>
      </c>
      <c r="S371" s="19" t="s">
        <v>102</v>
      </c>
      <c r="T371" s="46" t="s">
        <v>231</v>
      </c>
      <c r="U371" s="48" t="s">
        <v>552</v>
      </c>
      <c r="V371" s="50" t="s">
        <v>94</v>
      </c>
      <c r="W371" s="14">
        <v>46008</v>
      </c>
      <c r="X371" s="16">
        <f t="shared" si="31"/>
        <v>20</v>
      </c>
      <c r="AB371" s="10" t="str">
        <f t="shared" si="32"/>
        <v>Closed in Dec</v>
      </c>
    </row>
    <row r="372" spans="1:28" x14ac:dyDescent="0.25">
      <c r="A372" s="14">
        <v>45988</v>
      </c>
      <c r="B372" s="15">
        <v>2025</v>
      </c>
      <c r="C372" s="16" t="s">
        <v>88</v>
      </c>
      <c r="D372" s="26" t="s">
        <v>315</v>
      </c>
      <c r="E372" s="16" t="s">
        <v>88</v>
      </c>
      <c r="F372" s="15" t="s">
        <v>60</v>
      </c>
      <c r="G372" s="41" t="s">
        <v>423</v>
      </c>
      <c r="H372" s="16">
        <v>8909173473</v>
      </c>
      <c r="J372" s="20" t="s">
        <v>424</v>
      </c>
      <c r="K372" s="25" t="s">
        <v>144</v>
      </c>
      <c r="L372" s="25" t="s">
        <v>84</v>
      </c>
      <c r="M372" s="27" t="s">
        <v>115</v>
      </c>
      <c r="N372" s="23">
        <v>610</v>
      </c>
      <c r="O372" s="49" t="s">
        <v>594</v>
      </c>
      <c r="P372" s="47" t="str">
        <f t="shared" si="33"/>
        <v>25</v>
      </c>
      <c r="Q372" s="19" t="str">
        <f t="shared" si="34"/>
        <v>07</v>
      </c>
      <c r="R372" s="19" t="s">
        <v>27</v>
      </c>
      <c r="S372" s="19" t="s">
        <v>102</v>
      </c>
      <c r="T372" s="46" t="s">
        <v>231</v>
      </c>
      <c r="U372" s="48" t="s">
        <v>552</v>
      </c>
      <c r="V372" s="50" t="s">
        <v>94</v>
      </c>
      <c r="W372" s="14">
        <v>46008</v>
      </c>
      <c r="X372" s="16">
        <f t="shared" si="31"/>
        <v>20</v>
      </c>
      <c r="AB372" s="10" t="str">
        <f t="shared" si="32"/>
        <v>Closed in Dec</v>
      </c>
    </row>
    <row r="373" spans="1:28" x14ac:dyDescent="0.25">
      <c r="A373" s="14">
        <v>45988</v>
      </c>
      <c r="B373" s="15">
        <v>2025</v>
      </c>
      <c r="C373" s="16" t="s">
        <v>88</v>
      </c>
      <c r="D373" s="26" t="s">
        <v>315</v>
      </c>
      <c r="E373" s="16" t="s">
        <v>88</v>
      </c>
      <c r="F373" s="15" t="s">
        <v>60</v>
      </c>
      <c r="G373" s="41" t="s">
        <v>423</v>
      </c>
      <c r="H373" s="16">
        <v>8909173473</v>
      </c>
      <c r="J373" s="20" t="s">
        <v>424</v>
      </c>
      <c r="K373" s="25" t="s">
        <v>144</v>
      </c>
      <c r="L373" s="25" t="s">
        <v>84</v>
      </c>
      <c r="M373" s="27" t="s">
        <v>115</v>
      </c>
      <c r="N373" s="23">
        <v>610</v>
      </c>
      <c r="O373" s="49" t="s">
        <v>595</v>
      </c>
      <c r="P373" s="47" t="str">
        <f t="shared" si="33"/>
        <v>25</v>
      </c>
      <c r="Q373" s="19" t="str">
        <f t="shared" si="34"/>
        <v>08</v>
      </c>
      <c r="R373" s="19" t="s">
        <v>27</v>
      </c>
      <c r="S373" s="19" t="s">
        <v>102</v>
      </c>
      <c r="T373" s="46" t="s">
        <v>231</v>
      </c>
      <c r="U373" s="48" t="s">
        <v>552</v>
      </c>
      <c r="V373" s="50" t="s">
        <v>94</v>
      </c>
      <c r="W373" s="14">
        <v>46008</v>
      </c>
      <c r="X373" s="16">
        <f t="shared" si="31"/>
        <v>20</v>
      </c>
      <c r="AB373" s="10" t="str">
        <f t="shared" si="32"/>
        <v>Closed in Dec</v>
      </c>
    </row>
    <row r="374" spans="1:28" x14ac:dyDescent="0.25">
      <c r="A374" s="14">
        <v>45988</v>
      </c>
      <c r="B374" s="15">
        <v>2025</v>
      </c>
      <c r="C374" s="16" t="s">
        <v>88</v>
      </c>
      <c r="D374" s="26" t="s">
        <v>315</v>
      </c>
      <c r="E374" s="16" t="s">
        <v>88</v>
      </c>
      <c r="F374" s="15" t="s">
        <v>60</v>
      </c>
      <c r="G374" s="41" t="s">
        <v>423</v>
      </c>
      <c r="H374" s="16">
        <v>8909173473</v>
      </c>
      <c r="J374" s="20" t="s">
        <v>424</v>
      </c>
      <c r="K374" s="25" t="s">
        <v>144</v>
      </c>
      <c r="L374" s="25" t="s">
        <v>84</v>
      </c>
      <c r="M374" s="27" t="s">
        <v>115</v>
      </c>
      <c r="N374" s="23">
        <v>610</v>
      </c>
      <c r="O374" s="49" t="s">
        <v>596</v>
      </c>
      <c r="P374" s="47" t="str">
        <f t="shared" si="33"/>
        <v>25</v>
      </c>
      <c r="Q374" s="19" t="str">
        <f t="shared" si="34"/>
        <v>08</v>
      </c>
      <c r="R374" s="19" t="s">
        <v>27</v>
      </c>
      <c r="S374" s="19" t="s">
        <v>102</v>
      </c>
      <c r="T374" s="46" t="s">
        <v>231</v>
      </c>
      <c r="U374" s="48" t="s">
        <v>552</v>
      </c>
      <c r="V374" s="50" t="s">
        <v>94</v>
      </c>
      <c r="W374" s="14">
        <v>46008</v>
      </c>
      <c r="X374" s="16">
        <f t="shared" si="31"/>
        <v>20</v>
      </c>
      <c r="AB374" s="10" t="str">
        <f t="shared" si="32"/>
        <v>Closed in Dec</v>
      </c>
    </row>
    <row r="375" spans="1:28" x14ac:dyDescent="0.25">
      <c r="A375" s="14">
        <v>45988</v>
      </c>
      <c r="B375" s="15">
        <v>2025</v>
      </c>
      <c r="C375" s="16" t="s">
        <v>88</v>
      </c>
      <c r="D375" s="26" t="s">
        <v>315</v>
      </c>
      <c r="E375" s="16" t="s">
        <v>88</v>
      </c>
      <c r="F375" s="15" t="s">
        <v>60</v>
      </c>
      <c r="G375" s="41" t="s">
        <v>423</v>
      </c>
      <c r="H375" s="16">
        <v>8909173473</v>
      </c>
      <c r="J375" s="20" t="s">
        <v>424</v>
      </c>
      <c r="K375" s="25" t="s">
        <v>144</v>
      </c>
      <c r="L375" s="25" t="s">
        <v>84</v>
      </c>
      <c r="M375" s="27" t="s">
        <v>115</v>
      </c>
      <c r="N375" s="23">
        <v>610</v>
      </c>
      <c r="O375" s="49" t="s">
        <v>597</v>
      </c>
      <c r="P375" s="47" t="str">
        <f t="shared" si="33"/>
        <v>25</v>
      </c>
      <c r="Q375" s="19" t="str">
        <f t="shared" si="34"/>
        <v>08</v>
      </c>
      <c r="R375" s="19" t="s">
        <v>27</v>
      </c>
      <c r="S375" s="19" t="s">
        <v>102</v>
      </c>
      <c r="T375" s="46" t="s">
        <v>231</v>
      </c>
      <c r="U375" s="48" t="s">
        <v>552</v>
      </c>
      <c r="V375" s="50" t="s">
        <v>94</v>
      </c>
      <c r="W375" s="14">
        <v>46008</v>
      </c>
      <c r="X375" s="16">
        <f t="shared" si="31"/>
        <v>20</v>
      </c>
      <c r="AB375" s="10" t="str">
        <f t="shared" si="32"/>
        <v>Closed in Dec</v>
      </c>
    </row>
    <row r="376" spans="1:28" x14ac:dyDescent="0.25">
      <c r="A376" s="14">
        <v>45988</v>
      </c>
      <c r="B376" s="15">
        <v>2025</v>
      </c>
      <c r="C376" s="16" t="s">
        <v>88</v>
      </c>
      <c r="D376" s="26" t="s">
        <v>315</v>
      </c>
      <c r="E376" s="16" t="s">
        <v>88</v>
      </c>
      <c r="F376" s="15" t="s">
        <v>60</v>
      </c>
      <c r="G376" s="41" t="s">
        <v>423</v>
      </c>
      <c r="H376" s="16">
        <v>8909173473</v>
      </c>
      <c r="J376" s="20" t="s">
        <v>424</v>
      </c>
      <c r="K376" s="25" t="s">
        <v>144</v>
      </c>
      <c r="L376" s="25" t="s">
        <v>84</v>
      </c>
      <c r="M376" s="27" t="s">
        <v>115</v>
      </c>
      <c r="N376" s="23">
        <v>610</v>
      </c>
      <c r="O376" s="48" t="s">
        <v>598</v>
      </c>
      <c r="P376" s="47" t="str">
        <f t="shared" si="33"/>
        <v>25</v>
      </c>
      <c r="Q376" s="19" t="str">
        <f t="shared" si="34"/>
        <v>06</v>
      </c>
      <c r="R376" s="19" t="s">
        <v>27</v>
      </c>
      <c r="S376" s="19" t="s">
        <v>102</v>
      </c>
      <c r="T376" s="46" t="s">
        <v>231</v>
      </c>
      <c r="U376" s="48" t="s">
        <v>552</v>
      </c>
      <c r="V376" s="50" t="s">
        <v>94</v>
      </c>
      <c r="W376" s="14">
        <v>46008</v>
      </c>
      <c r="X376" s="16">
        <f t="shared" si="31"/>
        <v>20</v>
      </c>
      <c r="AB376" s="10" t="str">
        <f t="shared" si="32"/>
        <v>Closed in Dec</v>
      </c>
    </row>
    <row r="377" spans="1:28" x14ac:dyDescent="0.25">
      <c r="A377" s="14">
        <v>45988</v>
      </c>
      <c r="B377" s="15">
        <v>2025</v>
      </c>
      <c r="C377" s="16" t="s">
        <v>88</v>
      </c>
      <c r="D377" s="26" t="s">
        <v>315</v>
      </c>
      <c r="E377" s="16" t="s">
        <v>88</v>
      </c>
      <c r="F377" s="15" t="s">
        <v>60</v>
      </c>
      <c r="G377" s="41" t="s">
        <v>423</v>
      </c>
      <c r="H377" s="16">
        <v>8909173473</v>
      </c>
      <c r="J377" s="20" t="s">
        <v>424</v>
      </c>
      <c r="K377" s="25" t="s">
        <v>144</v>
      </c>
      <c r="L377" s="25" t="s">
        <v>84</v>
      </c>
      <c r="M377" s="27" t="s">
        <v>115</v>
      </c>
      <c r="N377" s="23">
        <v>610</v>
      </c>
      <c r="O377" s="48" t="s">
        <v>599</v>
      </c>
      <c r="P377" s="47" t="str">
        <f t="shared" si="33"/>
        <v>25</v>
      </c>
      <c r="Q377" s="19" t="str">
        <f t="shared" si="34"/>
        <v>06</v>
      </c>
      <c r="R377" s="19" t="s">
        <v>27</v>
      </c>
      <c r="S377" s="19" t="s">
        <v>102</v>
      </c>
      <c r="T377" s="46" t="s">
        <v>231</v>
      </c>
      <c r="U377" s="48" t="s">
        <v>552</v>
      </c>
      <c r="V377" s="50" t="s">
        <v>94</v>
      </c>
      <c r="W377" s="14">
        <v>46008</v>
      </c>
      <c r="X377" s="16">
        <f t="shared" si="31"/>
        <v>20</v>
      </c>
      <c r="AB377" s="10" t="str">
        <f t="shared" si="32"/>
        <v>Closed in Dec</v>
      </c>
    </row>
    <row r="378" spans="1:28" x14ac:dyDescent="0.25">
      <c r="A378" s="14">
        <v>45988</v>
      </c>
      <c r="B378" s="15">
        <v>2025</v>
      </c>
      <c r="C378" s="16" t="s">
        <v>88</v>
      </c>
      <c r="D378" s="26" t="s">
        <v>315</v>
      </c>
      <c r="E378" s="16" t="s">
        <v>88</v>
      </c>
      <c r="F378" s="15" t="s">
        <v>60</v>
      </c>
      <c r="G378" s="41" t="s">
        <v>423</v>
      </c>
      <c r="H378" s="16">
        <v>8909173473</v>
      </c>
      <c r="J378" s="20" t="s">
        <v>424</v>
      </c>
      <c r="K378" s="25" t="s">
        <v>144</v>
      </c>
      <c r="L378" s="25" t="s">
        <v>84</v>
      </c>
      <c r="M378" s="27" t="s">
        <v>115</v>
      </c>
      <c r="N378" s="23">
        <v>610</v>
      </c>
      <c r="O378" s="48" t="s">
        <v>600</v>
      </c>
      <c r="P378" s="47" t="str">
        <f t="shared" si="33"/>
        <v>25</v>
      </c>
      <c r="Q378" s="19" t="str">
        <f t="shared" si="34"/>
        <v>06</v>
      </c>
      <c r="R378" s="19" t="s">
        <v>27</v>
      </c>
      <c r="S378" s="19" t="s">
        <v>102</v>
      </c>
      <c r="T378" s="46" t="s">
        <v>231</v>
      </c>
      <c r="U378" s="48" t="s">
        <v>552</v>
      </c>
      <c r="V378" s="50" t="s">
        <v>94</v>
      </c>
      <c r="W378" s="14">
        <v>46008</v>
      </c>
      <c r="X378" s="16">
        <f t="shared" si="31"/>
        <v>20</v>
      </c>
      <c r="AB378" s="10" t="str">
        <f t="shared" si="32"/>
        <v>Closed in Dec</v>
      </c>
    </row>
    <row r="379" spans="1:28" x14ac:dyDescent="0.25">
      <c r="A379" s="14">
        <v>45988</v>
      </c>
      <c r="B379" s="15">
        <v>2025</v>
      </c>
      <c r="C379" s="16" t="s">
        <v>88</v>
      </c>
      <c r="D379" s="26" t="s">
        <v>315</v>
      </c>
      <c r="E379" s="16" t="s">
        <v>88</v>
      </c>
      <c r="F379" s="15" t="s">
        <v>60</v>
      </c>
      <c r="G379" s="41" t="s">
        <v>423</v>
      </c>
      <c r="H379" s="16">
        <v>8909173473</v>
      </c>
      <c r="J379" s="20" t="s">
        <v>424</v>
      </c>
      <c r="K379" s="25" t="s">
        <v>144</v>
      </c>
      <c r="L379" s="66" t="s">
        <v>84</v>
      </c>
      <c r="M379" s="16" t="s">
        <v>31</v>
      </c>
      <c r="N379" s="67">
        <v>610</v>
      </c>
      <c r="O379" s="62" t="s">
        <v>601</v>
      </c>
      <c r="P379" s="47" t="str">
        <f t="shared" si="33"/>
        <v>25</v>
      </c>
      <c r="Q379" s="19" t="str">
        <f t="shared" si="34"/>
        <v>06</v>
      </c>
      <c r="R379" s="19" t="s">
        <v>27</v>
      </c>
      <c r="S379" s="19" t="s">
        <v>102</v>
      </c>
      <c r="T379" s="22" t="s">
        <v>31</v>
      </c>
      <c r="U379" s="22" t="s">
        <v>200</v>
      </c>
      <c r="V379" s="16" t="s">
        <v>93</v>
      </c>
      <c r="W379" s="42">
        <v>46009</v>
      </c>
      <c r="X379" s="16">
        <f t="shared" si="31"/>
        <v>21</v>
      </c>
      <c r="AB379" s="10" t="str">
        <f t="shared" si="32"/>
        <v>Closed in Dec</v>
      </c>
    </row>
    <row r="380" spans="1:28" x14ac:dyDescent="0.25">
      <c r="A380" s="14">
        <v>45988</v>
      </c>
      <c r="B380" s="15">
        <v>2025</v>
      </c>
      <c r="C380" s="16" t="s">
        <v>88</v>
      </c>
      <c r="D380" s="26" t="s">
        <v>315</v>
      </c>
      <c r="E380" s="16" t="s">
        <v>88</v>
      </c>
      <c r="F380" s="15" t="s">
        <v>60</v>
      </c>
      <c r="G380" s="41" t="s">
        <v>423</v>
      </c>
      <c r="H380" s="16">
        <v>8909173473</v>
      </c>
      <c r="J380" s="20" t="s">
        <v>424</v>
      </c>
      <c r="K380" s="25" t="s">
        <v>144</v>
      </c>
      <c r="L380" s="66" t="s">
        <v>84</v>
      </c>
      <c r="M380" s="48" t="s">
        <v>29</v>
      </c>
      <c r="N380" s="67">
        <v>610</v>
      </c>
      <c r="O380" s="62" t="s">
        <v>602</v>
      </c>
      <c r="P380" s="47" t="str">
        <f t="shared" si="33"/>
        <v>25</v>
      </c>
      <c r="Q380" s="19" t="str">
        <f t="shared" si="34"/>
        <v>06</v>
      </c>
      <c r="R380" s="19" t="s">
        <v>27</v>
      </c>
      <c r="S380" s="19" t="s">
        <v>102</v>
      </c>
      <c r="T380" s="22" t="s">
        <v>31</v>
      </c>
      <c r="U380" s="16" t="s">
        <v>314</v>
      </c>
      <c r="V380" s="16" t="s">
        <v>93</v>
      </c>
      <c r="W380" s="14">
        <v>46009</v>
      </c>
      <c r="X380" s="16">
        <f t="shared" si="31"/>
        <v>21</v>
      </c>
      <c r="AB380" s="10" t="str">
        <f t="shared" si="32"/>
        <v>Closed in Dec</v>
      </c>
    </row>
    <row r="381" spans="1:28" x14ac:dyDescent="0.25">
      <c r="A381" s="14">
        <v>45988</v>
      </c>
      <c r="B381" s="15">
        <v>2025</v>
      </c>
      <c r="C381" s="16" t="s">
        <v>88</v>
      </c>
      <c r="D381" s="26" t="s">
        <v>315</v>
      </c>
      <c r="E381" s="16" t="s">
        <v>88</v>
      </c>
      <c r="F381" s="15" t="s">
        <v>60</v>
      </c>
      <c r="G381" s="41" t="s">
        <v>423</v>
      </c>
      <c r="H381" s="16">
        <v>8909173473</v>
      </c>
      <c r="J381" s="20" t="s">
        <v>424</v>
      </c>
      <c r="K381" s="25" t="s">
        <v>144</v>
      </c>
      <c r="L381" s="66" t="s">
        <v>84</v>
      </c>
      <c r="M381" s="27" t="s">
        <v>29</v>
      </c>
      <c r="N381" s="67">
        <v>610</v>
      </c>
      <c r="O381" s="62" t="s">
        <v>603</v>
      </c>
      <c r="P381" s="47" t="str">
        <f t="shared" si="33"/>
        <v>25</v>
      </c>
      <c r="Q381" s="19" t="str">
        <f t="shared" si="34"/>
        <v>06</v>
      </c>
      <c r="R381" s="19" t="s">
        <v>27</v>
      </c>
      <c r="S381" s="19" t="s">
        <v>102</v>
      </c>
      <c r="T381" s="22" t="s">
        <v>31</v>
      </c>
      <c r="U381" s="18" t="s">
        <v>338</v>
      </c>
      <c r="V381" s="16" t="s">
        <v>93</v>
      </c>
      <c r="W381" s="14">
        <v>46009</v>
      </c>
      <c r="X381" s="16">
        <f t="shared" si="31"/>
        <v>21</v>
      </c>
      <c r="AB381" s="10" t="str">
        <f t="shared" si="32"/>
        <v>Closed in Dec</v>
      </c>
    </row>
    <row r="382" spans="1:28" x14ac:dyDescent="0.25">
      <c r="A382" s="14">
        <v>45988</v>
      </c>
      <c r="B382" s="15">
        <v>2025</v>
      </c>
      <c r="C382" s="16" t="s">
        <v>88</v>
      </c>
      <c r="D382" s="26" t="s">
        <v>315</v>
      </c>
      <c r="E382" s="16" t="s">
        <v>88</v>
      </c>
      <c r="F382" s="15" t="s">
        <v>60</v>
      </c>
      <c r="G382" s="41" t="s">
        <v>423</v>
      </c>
      <c r="H382" s="16">
        <v>8909173473</v>
      </c>
      <c r="J382" s="20" t="s">
        <v>424</v>
      </c>
      <c r="K382" s="25" t="s">
        <v>144</v>
      </c>
      <c r="L382" s="66" t="s">
        <v>84</v>
      </c>
      <c r="M382" s="27" t="s">
        <v>29</v>
      </c>
      <c r="N382" s="67">
        <v>610</v>
      </c>
      <c r="O382" s="62" t="s">
        <v>604</v>
      </c>
      <c r="P382" s="47" t="str">
        <f t="shared" si="33"/>
        <v>25</v>
      </c>
      <c r="Q382" s="19" t="str">
        <f t="shared" si="34"/>
        <v>06</v>
      </c>
      <c r="R382" s="19" t="s">
        <v>27</v>
      </c>
      <c r="S382" s="19" t="s">
        <v>102</v>
      </c>
      <c r="T382" s="22" t="s">
        <v>31</v>
      </c>
      <c r="U382" s="18" t="s">
        <v>338</v>
      </c>
      <c r="V382" s="16" t="s">
        <v>93</v>
      </c>
      <c r="W382" s="14">
        <v>46009</v>
      </c>
      <c r="X382" s="16">
        <f t="shared" si="31"/>
        <v>21</v>
      </c>
      <c r="AB382" s="10" t="str">
        <f t="shared" si="32"/>
        <v>Closed in Dec</v>
      </c>
    </row>
    <row r="383" spans="1:28" x14ac:dyDescent="0.25">
      <c r="A383" s="14">
        <v>45988</v>
      </c>
      <c r="B383" s="15">
        <v>2025</v>
      </c>
      <c r="C383" s="16" t="s">
        <v>88</v>
      </c>
      <c r="D383" s="26" t="s">
        <v>315</v>
      </c>
      <c r="E383" s="16" t="s">
        <v>88</v>
      </c>
      <c r="F383" s="15" t="s">
        <v>60</v>
      </c>
      <c r="G383" s="41" t="s">
        <v>423</v>
      </c>
      <c r="H383" s="16">
        <v>8909173473</v>
      </c>
      <c r="J383" s="20" t="s">
        <v>424</v>
      </c>
      <c r="K383" s="25" t="s">
        <v>144</v>
      </c>
      <c r="L383" s="66" t="s">
        <v>84</v>
      </c>
      <c r="M383" s="48" t="s">
        <v>29</v>
      </c>
      <c r="N383" s="67">
        <v>610</v>
      </c>
      <c r="O383" s="62" t="s">
        <v>605</v>
      </c>
      <c r="P383" s="47" t="str">
        <f t="shared" si="33"/>
        <v>25</v>
      </c>
      <c r="Q383" s="19" t="str">
        <f t="shared" si="34"/>
        <v>06</v>
      </c>
      <c r="R383" s="19" t="s">
        <v>27</v>
      </c>
      <c r="S383" s="19" t="s">
        <v>102</v>
      </c>
      <c r="T383" s="22" t="s">
        <v>31</v>
      </c>
      <c r="U383" s="16" t="s">
        <v>314</v>
      </c>
      <c r="V383" s="16" t="s">
        <v>93</v>
      </c>
      <c r="W383" s="14">
        <v>46009</v>
      </c>
      <c r="X383" s="16">
        <f t="shared" si="31"/>
        <v>21</v>
      </c>
      <c r="AB383" s="10" t="str">
        <f t="shared" si="32"/>
        <v>Closed in Dec</v>
      </c>
    </row>
    <row r="384" spans="1:28" x14ac:dyDescent="0.25">
      <c r="A384" s="14">
        <v>45988</v>
      </c>
      <c r="B384" s="15">
        <v>2025</v>
      </c>
      <c r="C384" s="16" t="s">
        <v>88</v>
      </c>
      <c r="D384" s="26" t="s">
        <v>315</v>
      </c>
      <c r="E384" s="16" t="s">
        <v>88</v>
      </c>
      <c r="F384" s="15" t="s">
        <v>60</v>
      </c>
      <c r="G384" s="41" t="s">
        <v>423</v>
      </c>
      <c r="H384" s="16">
        <v>8909173473</v>
      </c>
      <c r="J384" s="20" t="s">
        <v>424</v>
      </c>
      <c r="K384" s="25" t="s">
        <v>144</v>
      </c>
      <c r="L384" s="66" t="s">
        <v>84</v>
      </c>
      <c r="M384" s="27" t="s">
        <v>29</v>
      </c>
      <c r="N384" s="67">
        <v>610</v>
      </c>
      <c r="O384" s="62" t="s">
        <v>606</v>
      </c>
      <c r="P384" s="47" t="str">
        <f t="shared" si="33"/>
        <v>25</v>
      </c>
      <c r="Q384" s="19" t="str">
        <f t="shared" si="34"/>
        <v>06</v>
      </c>
      <c r="R384" s="19" t="s">
        <v>27</v>
      </c>
      <c r="S384" s="19" t="s">
        <v>102</v>
      </c>
      <c r="T384" s="22" t="s">
        <v>31</v>
      </c>
      <c r="U384" s="18" t="s">
        <v>338</v>
      </c>
      <c r="V384" s="16" t="s">
        <v>93</v>
      </c>
      <c r="W384" s="14">
        <v>46009</v>
      </c>
      <c r="X384" s="16">
        <f t="shared" si="31"/>
        <v>21</v>
      </c>
      <c r="AB384" s="10" t="str">
        <f t="shared" si="32"/>
        <v>Closed in Dec</v>
      </c>
    </row>
    <row r="385" spans="1:28" x14ac:dyDescent="0.25">
      <c r="A385" s="14">
        <v>45988</v>
      </c>
      <c r="B385" s="15">
        <v>2025</v>
      </c>
      <c r="C385" s="16" t="s">
        <v>88</v>
      </c>
      <c r="D385" s="26" t="s">
        <v>315</v>
      </c>
      <c r="E385" s="16" t="s">
        <v>88</v>
      </c>
      <c r="F385" s="15" t="s">
        <v>60</v>
      </c>
      <c r="G385" s="41" t="s">
        <v>423</v>
      </c>
      <c r="H385" s="16">
        <v>8909173473</v>
      </c>
      <c r="J385" s="20" t="s">
        <v>424</v>
      </c>
      <c r="K385" s="25" t="s">
        <v>144</v>
      </c>
      <c r="L385" s="66" t="s">
        <v>84</v>
      </c>
      <c r="M385" s="22" t="s">
        <v>31</v>
      </c>
      <c r="N385" s="67">
        <v>610</v>
      </c>
      <c r="O385" s="62" t="s">
        <v>607</v>
      </c>
      <c r="P385" s="47" t="str">
        <f t="shared" si="33"/>
        <v>25</v>
      </c>
      <c r="Q385" s="19" t="str">
        <f t="shared" si="34"/>
        <v>07</v>
      </c>
      <c r="R385" s="19" t="s">
        <v>27</v>
      </c>
      <c r="S385" s="19" t="s">
        <v>102</v>
      </c>
      <c r="T385" s="22" t="s">
        <v>31</v>
      </c>
      <c r="U385" s="26" t="s">
        <v>328</v>
      </c>
      <c r="V385" s="16" t="s">
        <v>93</v>
      </c>
      <c r="W385" s="14">
        <v>46009</v>
      </c>
      <c r="X385" s="16">
        <f t="shared" si="31"/>
        <v>21</v>
      </c>
      <c r="AB385" s="10" t="str">
        <f t="shared" si="32"/>
        <v>Closed in Dec</v>
      </c>
    </row>
    <row r="386" spans="1:28" x14ac:dyDescent="0.25">
      <c r="A386" s="14">
        <v>45988</v>
      </c>
      <c r="B386" s="15">
        <v>2025</v>
      </c>
      <c r="C386" s="16" t="s">
        <v>88</v>
      </c>
      <c r="D386" s="26" t="s">
        <v>315</v>
      </c>
      <c r="E386" s="16" t="s">
        <v>88</v>
      </c>
      <c r="F386" s="15" t="s">
        <v>60</v>
      </c>
      <c r="G386" s="41" t="s">
        <v>423</v>
      </c>
      <c r="H386" s="16">
        <v>8909173473</v>
      </c>
      <c r="J386" s="20" t="s">
        <v>424</v>
      </c>
      <c r="K386" s="25" t="s">
        <v>144</v>
      </c>
      <c r="L386" s="66" t="s">
        <v>84</v>
      </c>
      <c r="M386" s="48" t="s">
        <v>29</v>
      </c>
      <c r="N386" s="67">
        <v>610</v>
      </c>
      <c r="O386" s="62" t="s">
        <v>608</v>
      </c>
      <c r="P386" s="47" t="str">
        <f t="shared" si="33"/>
        <v>25</v>
      </c>
      <c r="Q386" s="19" t="str">
        <f t="shared" si="34"/>
        <v>07</v>
      </c>
      <c r="R386" s="19" t="s">
        <v>27</v>
      </c>
      <c r="S386" s="19" t="s">
        <v>102</v>
      </c>
      <c r="T386" s="22" t="s">
        <v>31</v>
      </c>
      <c r="U386" s="16" t="s">
        <v>314</v>
      </c>
      <c r="V386" s="16" t="s">
        <v>93</v>
      </c>
      <c r="W386" s="14">
        <v>46009</v>
      </c>
      <c r="X386" s="16">
        <f t="shared" ref="X386:X417" si="35">W386-A386</f>
        <v>21</v>
      </c>
      <c r="AB386" s="10" t="str">
        <f t="shared" ref="AB386:AB417" si="36">IF(AND(F386="Closed",W386&gt;=DATE(2025,12,1),W386&lt;=DATE(2025,12,31)),"Closed in Dec","Other")</f>
        <v>Closed in Dec</v>
      </c>
    </row>
    <row r="387" spans="1:28" x14ac:dyDescent="0.25">
      <c r="A387" s="14">
        <v>45988</v>
      </c>
      <c r="B387" s="15">
        <v>2025</v>
      </c>
      <c r="C387" s="16" t="s">
        <v>88</v>
      </c>
      <c r="D387" s="26" t="s">
        <v>315</v>
      </c>
      <c r="E387" s="16" t="s">
        <v>88</v>
      </c>
      <c r="F387" s="15" t="s">
        <v>60</v>
      </c>
      <c r="G387" s="41" t="s">
        <v>423</v>
      </c>
      <c r="H387" s="16">
        <v>8909173473</v>
      </c>
      <c r="J387" s="20" t="s">
        <v>424</v>
      </c>
      <c r="K387" s="25" t="s">
        <v>144</v>
      </c>
      <c r="L387" s="66" t="s">
        <v>84</v>
      </c>
      <c r="M387" s="16" t="s">
        <v>31</v>
      </c>
      <c r="N387" s="67">
        <v>610</v>
      </c>
      <c r="O387" s="62" t="s">
        <v>609</v>
      </c>
      <c r="P387" s="47" t="str">
        <f t="shared" si="33"/>
        <v>25</v>
      </c>
      <c r="Q387" s="19" t="str">
        <f t="shared" si="34"/>
        <v>06</v>
      </c>
      <c r="R387" s="19" t="s">
        <v>27</v>
      </c>
      <c r="S387" s="19" t="s">
        <v>102</v>
      </c>
      <c r="T387" s="22" t="s">
        <v>31</v>
      </c>
      <c r="U387" s="22" t="s">
        <v>200</v>
      </c>
      <c r="V387" s="16" t="s">
        <v>93</v>
      </c>
      <c r="W387" s="42">
        <v>46009</v>
      </c>
      <c r="X387" s="16">
        <f t="shared" si="35"/>
        <v>21</v>
      </c>
      <c r="AB387" s="10" t="str">
        <f t="shared" si="36"/>
        <v>Closed in Dec</v>
      </c>
    </row>
    <row r="388" spans="1:28" x14ac:dyDescent="0.25">
      <c r="A388" s="14">
        <v>45988</v>
      </c>
      <c r="B388" s="15">
        <v>2025</v>
      </c>
      <c r="C388" s="16" t="s">
        <v>88</v>
      </c>
      <c r="D388" s="26" t="s">
        <v>315</v>
      </c>
      <c r="E388" s="16" t="s">
        <v>88</v>
      </c>
      <c r="F388" s="15" t="s">
        <v>60</v>
      </c>
      <c r="G388" s="41" t="s">
        <v>423</v>
      </c>
      <c r="H388" s="16">
        <v>8909173473</v>
      </c>
      <c r="J388" s="20" t="s">
        <v>424</v>
      </c>
      <c r="K388" s="25" t="s">
        <v>144</v>
      </c>
      <c r="L388" s="66" t="s">
        <v>84</v>
      </c>
      <c r="M388" s="48" t="s">
        <v>29</v>
      </c>
      <c r="N388" s="67">
        <v>610</v>
      </c>
      <c r="O388" s="62" t="s">
        <v>610</v>
      </c>
      <c r="P388" s="47" t="str">
        <f t="shared" si="33"/>
        <v>25</v>
      </c>
      <c r="Q388" s="19" t="str">
        <f t="shared" si="34"/>
        <v>07</v>
      </c>
      <c r="R388" s="19" t="s">
        <v>27</v>
      </c>
      <c r="S388" s="19" t="s">
        <v>102</v>
      </c>
      <c r="T388" s="22" t="s">
        <v>31</v>
      </c>
      <c r="U388" s="16" t="s">
        <v>314</v>
      </c>
      <c r="V388" s="16" t="s">
        <v>93</v>
      </c>
      <c r="W388" s="14">
        <v>46009</v>
      </c>
      <c r="X388" s="16">
        <f t="shared" si="35"/>
        <v>21</v>
      </c>
      <c r="AB388" s="10" t="str">
        <f t="shared" si="36"/>
        <v>Closed in Dec</v>
      </c>
    </row>
    <row r="389" spans="1:28" x14ac:dyDescent="0.25">
      <c r="A389" s="14">
        <v>45988</v>
      </c>
      <c r="B389" s="15">
        <v>2025</v>
      </c>
      <c r="C389" s="16" t="s">
        <v>88</v>
      </c>
      <c r="D389" s="26" t="s">
        <v>315</v>
      </c>
      <c r="E389" s="16" t="s">
        <v>88</v>
      </c>
      <c r="F389" s="15" t="s">
        <v>60</v>
      </c>
      <c r="G389" s="41" t="s">
        <v>423</v>
      </c>
      <c r="H389" s="16">
        <v>8909173473</v>
      </c>
      <c r="J389" s="20" t="s">
        <v>424</v>
      </c>
      <c r="K389" s="25" t="s">
        <v>144</v>
      </c>
      <c r="L389" s="66" t="s">
        <v>84</v>
      </c>
      <c r="M389" s="27" t="s">
        <v>29</v>
      </c>
      <c r="N389" s="67">
        <v>610</v>
      </c>
      <c r="O389" s="62" t="s">
        <v>611</v>
      </c>
      <c r="P389" s="47" t="str">
        <f t="shared" si="33"/>
        <v>25</v>
      </c>
      <c r="Q389" s="19" t="str">
        <f t="shared" si="34"/>
        <v>06</v>
      </c>
      <c r="R389" s="19" t="s">
        <v>27</v>
      </c>
      <c r="S389" s="19" t="s">
        <v>102</v>
      </c>
      <c r="T389" s="22" t="s">
        <v>31</v>
      </c>
      <c r="U389" s="18" t="s">
        <v>338</v>
      </c>
      <c r="V389" s="16" t="s">
        <v>93</v>
      </c>
      <c r="W389" s="14">
        <v>46009</v>
      </c>
      <c r="X389" s="16">
        <f t="shared" si="35"/>
        <v>21</v>
      </c>
      <c r="AB389" s="10" t="str">
        <f t="shared" si="36"/>
        <v>Closed in Dec</v>
      </c>
    </row>
    <row r="390" spans="1:28" x14ac:dyDescent="0.25">
      <c r="A390" s="14">
        <v>45988</v>
      </c>
      <c r="B390" s="15">
        <v>2025</v>
      </c>
      <c r="C390" s="16" t="s">
        <v>88</v>
      </c>
      <c r="D390" s="26" t="s">
        <v>315</v>
      </c>
      <c r="E390" s="16" t="s">
        <v>88</v>
      </c>
      <c r="F390" s="15" t="s">
        <v>60</v>
      </c>
      <c r="G390" s="41" t="s">
        <v>423</v>
      </c>
      <c r="H390" s="16">
        <v>8909173473</v>
      </c>
      <c r="J390" s="20" t="s">
        <v>424</v>
      </c>
      <c r="K390" s="25" t="s">
        <v>144</v>
      </c>
      <c r="L390" s="66" t="s">
        <v>84</v>
      </c>
      <c r="M390" s="48" t="s">
        <v>29</v>
      </c>
      <c r="N390" s="67">
        <v>610</v>
      </c>
      <c r="O390" s="62" t="s">
        <v>612</v>
      </c>
      <c r="P390" s="47" t="str">
        <f t="shared" si="33"/>
        <v>25</v>
      </c>
      <c r="Q390" s="19" t="str">
        <f t="shared" si="34"/>
        <v>05</v>
      </c>
      <c r="R390" s="19" t="s">
        <v>27</v>
      </c>
      <c r="S390" s="19" t="s">
        <v>102</v>
      </c>
      <c r="T390" s="22" t="s">
        <v>31</v>
      </c>
      <c r="U390" s="16" t="s">
        <v>314</v>
      </c>
      <c r="V390" s="16" t="s">
        <v>93</v>
      </c>
      <c r="W390" s="14">
        <v>46009</v>
      </c>
      <c r="X390" s="16">
        <f t="shared" si="35"/>
        <v>21</v>
      </c>
      <c r="AB390" s="10" t="str">
        <f t="shared" si="36"/>
        <v>Closed in Dec</v>
      </c>
    </row>
    <row r="391" spans="1:28" x14ac:dyDescent="0.25">
      <c r="A391" s="14">
        <v>45988</v>
      </c>
      <c r="B391" s="15">
        <v>2025</v>
      </c>
      <c r="C391" s="16" t="s">
        <v>88</v>
      </c>
      <c r="D391" s="26" t="s">
        <v>315</v>
      </c>
      <c r="E391" s="16" t="s">
        <v>88</v>
      </c>
      <c r="F391" s="15" t="s">
        <v>60</v>
      </c>
      <c r="G391" s="41" t="s">
        <v>423</v>
      </c>
      <c r="H391" s="16">
        <v>8909173473</v>
      </c>
      <c r="J391" s="20" t="s">
        <v>424</v>
      </c>
      <c r="K391" s="25" t="s">
        <v>144</v>
      </c>
      <c r="L391" s="66" t="s">
        <v>84</v>
      </c>
      <c r="M391" s="48" t="s">
        <v>29</v>
      </c>
      <c r="N391" s="67">
        <v>610</v>
      </c>
      <c r="O391" s="62" t="s">
        <v>613</v>
      </c>
      <c r="P391" s="47" t="str">
        <f t="shared" si="33"/>
        <v>25</v>
      </c>
      <c r="Q391" s="19" t="str">
        <f t="shared" si="34"/>
        <v>06</v>
      </c>
      <c r="R391" s="19" t="s">
        <v>27</v>
      </c>
      <c r="S391" s="19" t="s">
        <v>102</v>
      </c>
      <c r="T391" s="22" t="s">
        <v>31</v>
      </c>
      <c r="U391" s="16" t="s">
        <v>314</v>
      </c>
      <c r="V391" s="16" t="s">
        <v>93</v>
      </c>
      <c r="W391" s="14">
        <v>46009</v>
      </c>
      <c r="X391" s="16">
        <f t="shared" si="35"/>
        <v>21</v>
      </c>
      <c r="AB391" s="10" t="str">
        <f t="shared" si="36"/>
        <v>Closed in Dec</v>
      </c>
    </row>
    <row r="392" spans="1:28" x14ac:dyDescent="0.25">
      <c r="A392" s="14">
        <v>45988</v>
      </c>
      <c r="B392" s="15">
        <v>2025</v>
      </c>
      <c r="C392" s="16" t="s">
        <v>88</v>
      </c>
      <c r="D392" s="26" t="s">
        <v>315</v>
      </c>
      <c r="E392" s="16" t="s">
        <v>88</v>
      </c>
      <c r="F392" s="15" t="s">
        <v>60</v>
      </c>
      <c r="G392" s="41" t="s">
        <v>423</v>
      </c>
      <c r="H392" s="16">
        <v>8909173473</v>
      </c>
      <c r="J392" s="20" t="s">
        <v>424</v>
      </c>
      <c r="K392" s="25" t="s">
        <v>144</v>
      </c>
      <c r="L392" s="66" t="s">
        <v>84</v>
      </c>
      <c r="M392" s="48" t="s">
        <v>29</v>
      </c>
      <c r="N392" s="67">
        <v>610</v>
      </c>
      <c r="O392" s="62" t="s">
        <v>614</v>
      </c>
      <c r="P392" s="47" t="str">
        <f t="shared" si="33"/>
        <v>25</v>
      </c>
      <c r="Q392" s="19" t="str">
        <f t="shared" si="34"/>
        <v>06</v>
      </c>
      <c r="R392" s="19" t="s">
        <v>27</v>
      </c>
      <c r="S392" s="19" t="s">
        <v>102</v>
      </c>
      <c r="T392" s="22" t="s">
        <v>31</v>
      </c>
      <c r="U392" s="16" t="s">
        <v>314</v>
      </c>
      <c r="V392" s="16" t="s">
        <v>93</v>
      </c>
      <c r="W392" s="14">
        <v>46009</v>
      </c>
      <c r="X392" s="16">
        <f t="shared" si="35"/>
        <v>21</v>
      </c>
      <c r="AB392" s="10" t="str">
        <f t="shared" si="36"/>
        <v>Closed in Dec</v>
      </c>
    </row>
    <row r="393" spans="1:28" x14ac:dyDescent="0.25">
      <c r="A393" s="14">
        <v>45988</v>
      </c>
      <c r="B393" s="15">
        <v>2025</v>
      </c>
      <c r="C393" s="16" t="s">
        <v>88</v>
      </c>
      <c r="D393" s="26" t="s">
        <v>315</v>
      </c>
      <c r="E393" s="16" t="s">
        <v>88</v>
      </c>
      <c r="F393" s="15" t="s">
        <v>60</v>
      </c>
      <c r="G393" s="41" t="s">
        <v>423</v>
      </c>
      <c r="H393" s="16">
        <v>8909173473</v>
      </c>
      <c r="J393" s="20" t="s">
        <v>424</v>
      </c>
      <c r="K393" s="25" t="s">
        <v>144</v>
      </c>
      <c r="L393" s="66" t="s">
        <v>84</v>
      </c>
      <c r="M393" s="16" t="s">
        <v>31</v>
      </c>
      <c r="N393" s="67">
        <v>610</v>
      </c>
      <c r="O393" s="62" t="s">
        <v>615</v>
      </c>
      <c r="P393" s="47" t="str">
        <f t="shared" si="33"/>
        <v>25</v>
      </c>
      <c r="Q393" s="19" t="str">
        <f t="shared" si="34"/>
        <v>06</v>
      </c>
      <c r="R393" s="19" t="s">
        <v>27</v>
      </c>
      <c r="S393" s="19" t="s">
        <v>102</v>
      </c>
      <c r="T393" s="22" t="s">
        <v>31</v>
      </c>
      <c r="U393" s="22" t="s">
        <v>200</v>
      </c>
      <c r="V393" s="16" t="s">
        <v>93</v>
      </c>
      <c r="W393" s="42">
        <v>46009</v>
      </c>
      <c r="X393" s="16">
        <f t="shared" si="35"/>
        <v>21</v>
      </c>
      <c r="AB393" s="10" t="str">
        <f t="shared" si="36"/>
        <v>Closed in Dec</v>
      </c>
    </row>
    <row r="394" spans="1:28" x14ac:dyDescent="0.25">
      <c r="A394" s="14">
        <v>45988</v>
      </c>
      <c r="B394" s="15">
        <v>2025</v>
      </c>
      <c r="C394" s="16" t="s">
        <v>88</v>
      </c>
      <c r="D394" s="26" t="s">
        <v>315</v>
      </c>
      <c r="E394" s="16" t="s">
        <v>88</v>
      </c>
      <c r="F394" s="15" t="s">
        <v>60</v>
      </c>
      <c r="G394" s="41" t="s">
        <v>423</v>
      </c>
      <c r="H394" s="16">
        <v>8909173473</v>
      </c>
      <c r="J394" s="20" t="s">
        <v>424</v>
      </c>
      <c r="K394" s="25" t="s">
        <v>144</v>
      </c>
      <c r="L394" s="66" t="s">
        <v>84</v>
      </c>
      <c r="M394" s="48" t="s">
        <v>29</v>
      </c>
      <c r="N394" s="67">
        <v>610</v>
      </c>
      <c r="O394" s="62" t="s">
        <v>616</v>
      </c>
      <c r="P394" s="47" t="str">
        <f t="shared" si="33"/>
        <v>25</v>
      </c>
      <c r="Q394" s="19" t="str">
        <f t="shared" si="34"/>
        <v>06</v>
      </c>
      <c r="R394" s="19" t="s">
        <v>27</v>
      </c>
      <c r="S394" s="19" t="s">
        <v>102</v>
      </c>
      <c r="T394" s="22" t="s">
        <v>31</v>
      </c>
      <c r="U394" s="16" t="s">
        <v>314</v>
      </c>
      <c r="V394" s="16" t="s">
        <v>93</v>
      </c>
      <c r="W394" s="14">
        <v>46009</v>
      </c>
      <c r="X394" s="16">
        <f t="shared" si="35"/>
        <v>21</v>
      </c>
      <c r="AB394" s="10" t="str">
        <f t="shared" si="36"/>
        <v>Closed in Dec</v>
      </c>
    </row>
    <row r="395" spans="1:28" x14ac:dyDescent="0.25">
      <c r="A395" s="14">
        <v>45984</v>
      </c>
      <c r="B395" s="15">
        <v>2025</v>
      </c>
      <c r="C395" s="9" t="s">
        <v>15</v>
      </c>
      <c r="D395" s="25" t="s">
        <v>315</v>
      </c>
      <c r="E395" s="16"/>
      <c r="F395" s="16" t="s">
        <v>60</v>
      </c>
      <c r="G395" s="9" t="s">
        <v>316</v>
      </c>
      <c r="H395" s="9">
        <v>9972197300</v>
      </c>
      <c r="I395" s="16"/>
      <c r="J395" s="25" t="s">
        <v>617</v>
      </c>
      <c r="K395" s="9" t="s">
        <v>166</v>
      </c>
      <c r="L395" s="9" t="s">
        <v>28</v>
      </c>
      <c r="M395" s="27" t="s">
        <v>115</v>
      </c>
      <c r="N395" s="23">
        <v>580</v>
      </c>
      <c r="O395" s="48" t="s">
        <v>618</v>
      </c>
      <c r="P395" s="47" t="str">
        <f t="shared" si="33"/>
        <v>25</v>
      </c>
      <c r="Q395" s="19" t="str">
        <f t="shared" si="34"/>
        <v>01</v>
      </c>
      <c r="R395" s="19" t="s">
        <v>27</v>
      </c>
      <c r="S395" s="19" t="s">
        <v>100</v>
      </c>
      <c r="T395" s="48" t="s">
        <v>619</v>
      </c>
      <c r="U395" s="48" t="s">
        <v>552</v>
      </c>
      <c r="V395" s="50" t="s">
        <v>94</v>
      </c>
      <c r="W395" s="14">
        <v>46020</v>
      </c>
      <c r="X395" s="16">
        <f t="shared" si="35"/>
        <v>36</v>
      </c>
      <c r="Y395" s="16"/>
      <c r="Z395" s="16"/>
      <c r="AA395" s="23"/>
      <c r="AB395" s="10" t="str">
        <f t="shared" si="36"/>
        <v>Closed in Dec</v>
      </c>
    </row>
    <row r="396" spans="1:28" x14ac:dyDescent="0.25">
      <c r="A396" s="14">
        <v>45984</v>
      </c>
      <c r="B396" s="15">
        <v>2025</v>
      </c>
      <c r="C396" s="9" t="s">
        <v>15</v>
      </c>
      <c r="D396" s="25" t="s">
        <v>315</v>
      </c>
      <c r="E396" s="16"/>
      <c r="F396" s="16" t="s">
        <v>60</v>
      </c>
      <c r="G396" s="9" t="s">
        <v>316</v>
      </c>
      <c r="H396" s="9">
        <v>9972197300</v>
      </c>
      <c r="I396" s="16"/>
      <c r="J396" s="25" t="s">
        <v>617</v>
      </c>
      <c r="K396" s="9" t="s">
        <v>166</v>
      </c>
      <c r="L396" s="9" t="s">
        <v>28</v>
      </c>
      <c r="M396" s="27" t="s">
        <v>115</v>
      </c>
      <c r="N396" s="23">
        <v>580</v>
      </c>
      <c r="O396" s="48" t="s">
        <v>620</v>
      </c>
      <c r="P396" s="47" t="str">
        <f t="shared" si="33"/>
        <v>25</v>
      </c>
      <c r="Q396" s="19" t="str">
        <f t="shared" si="34"/>
        <v>01</v>
      </c>
      <c r="R396" s="19" t="s">
        <v>27</v>
      </c>
      <c r="S396" s="19" t="s">
        <v>100</v>
      </c>
      <c r="T396" s="48" t="s">
        <v>619</v>
      </c>
      <c r="U396" s="48" t="s">
        <v>552</v>
      </c>
      <c r="V396" s="50" t="s">
        <v>94</v>
      </c>
      <c r="W396" s="14">
        <v>46020</v>
      </c>
      <c r="X396" s="16">
        <f t="shared" si="35"/>
        <v>36</v>
      </c>
      <c r="Y396" s="16"/>
      <c r="Z396" s="16"/>
      <c r="AA396" s="23"/>
      <c r="AB396" s="10" t="str">
        <f t="shared" si="36"/>
        <v>Closed in Dec</v>
      </c>
    </row>
    <row r="397" spans="1:28" x14ac:dyDescent="0.25">
      <c r="A397" s="14">
        <v>45984</v>
      </c>
      <c r="B397" s="15">
        <v>2025</v>
      </c>
      <c r="C397" s="9" t="s">
        <v>15</v>
      </c>
      <c r="D397" s="25" t="s">
        <v>315</v>
      </c>
      <c r="E397" s="16"/>
      <c r="F397" s="16" t="s">
        <v>60</v>
      </c>
      <c r="G397" s="9" t="s">
        <v>316</v>
      </c>
      <c r="H397" s="9">
        <v>9972197300</v>
      </c>
      <c r="I397" s="16"/>
      <c r="J397" s="25" t="s">
        <v>617</v>
      </c>
      <c r="K397" s="9" t="s">
        <v>166</v>
      </c>
      <c r="L397" s="9" t="s">
        <v>28</v>
      </c>
      <c r="M397" s="27" t="s">
        <v>115</v>
      </c>
      <c r="N397" s="23">
        <v>580</v>
      </c>
      <c r="O397" s="48" t="s">
        <v>621</v>
      </c>
      <c r="P397" s="47" t="str">
        <f t="shared" si="33"/>
        <v>25</v>
      </c>
      <c r="Q397" s="19" t="str">
        <f t="shared" si="34"/>
        <v>01</v>
      </c>
      <c r="R397" s="19" t="s">
        <v>27</v>
      </c>
      <c r="S397" s="19" t="s">
        <v>100</v>
      </c>
      <c r="T397" s="48" t="s">
        <v>622</v>
      </c>
      <c r="U397" s="48" t="s">
        <v>552</v>
      </c>
      <c r="V397" s="50" t="s">
        <v>94</v>
      </c>
      <c r="W397" s="14">
        <v>46020</v>
      </c>
      <c r="X397" s="16">
        <f t="shared" si="35"/>
        <v>36</v>
      </c>
      <c r="Y397" s="16"/>
      <c r="Z397" s="16"/>
      <c r="AA397" s="23"/>
      <c r="AB397" s="10" t="str">
        <f t="shared" si="36"/>
        <v>Closed in Dec</v>
      </c>
    </row>
    <row r="398" spans="1:28" x14ac:dyDescent="0.25">
      <c r="A398" s="14">
        <v>45984</v>
      </c>
      <c r="B398" s="15">
        <v>2025</v>
      </c>
      <c r="C398" s="9" t="s">
        <v>15</v>
      </c>
      <c r="D398" s="25" t="s">
        <v>315</v>
      </c>
      <c r="E398" s="16"/>
      <c r="F398" s="16" t="s">
        <v>60</v>
      </c>
      <c r="G398" s="9" t="s">
        <v>316</v>
      </c>
      <c r="H398" s="9">
        <v>9972197300</v>
      </c>
      <c r="I398" s="16"/>
      <c r="J398" s="25" t="s">
        <v>617</v>
      </c>
      <c r="K398" s="9" t="s">
        <v>166</v>
      </c>
      <c r="L398" s="9" t="s">
        <v>28</v>
      </c>
      <c r="M398" s="27" t="s">
        <v>115</v>
      </c>
      <c r="N398" s="23">
        <v>580</v>
      </c>
      <c r="O398" s="48" t="s">
        <v>623</v>
      </c>
      <c r="P398" s="47" t="str">
        <f t="shared" si="33"/>
        <v>25</v>
      </c>
      <c r="Q398" s="19" t="str">
        <f t="shared" si="34"/>
        <v>01</v>
      </c>
      <c r="R398" s="19" t="s">
        <v>27</v>
      </c>
      <c r="S398" s="19" t="s">
        <v>100</v>
      </c>
      <c r="T398" s="48" t="s">
        <v>619</v>
      </c>
      <c r="U398" s="48" t="s">
        <v>552</v>
      </c>
      <c r="V398" s="50" t="s">
        <v>94</v>
      </c>
      <c r="W398" s="14">
        <v>46020</v>
      </c>
      <c r="X398" s="16">
        <f t="shared" si="35"/>
        <v>36</v>
      </c>
      <c r="Y398" s="16"/>
      <c r="Z398" s="16"/>
      <c r="AA398" s="23"/>
      <c r="AB398" s="10" t="str">
        <f t="shared" si="36"/>
        <v>Closed in Dec</v>
      </c>
    </row>
    <row r="399" spans="1:28" x14ac:dyDescent="0.25">
      <c r="A399" s="14">
        <v>45984</v>
      </c>
      <c r="B399" s="15">
        <v>2025</v>
      </c>
      <c r="C399" s="9" t="s">
        <v>15</v>
      </c>
      <c r="D399" s="25" t="s">
        <v>315</v>
      </c>
      <c r="E399" s="16"/>
      <c r="F399" s="16" t="s">
        <v>60</v>
      </c>
      <c r="G399" s="9" t="s">
        <v>316</v>
      </c>
      <c r="H399" s="9">
        <v>9972197300</v>
      </c>
      <c r="I399" s="16"/>
      <c r="J399" s="25" t="s">
        <v>617</v>
      </c>
      <c r="K399" s="9" t="s">
        <v>166</v>
      </c>
      <c r="L399" s="9" t="s">
        <v>28</v>
      </c>
      <c r="M399" s="27" t="s">
        <v>115</v>
      </c>
      <c r="N399" s="23">
        <v>580</v>
      </c>
      <c r="O399" s="48" t="s">
        <v>624</v>
      </c>
      <c r="P399" s="47" t="str">
        <f t="shared" si="33"/>
        <v>25</v>
      </c>
      <c r="Q399" s="19" t="str">
        <f t="shared" si="34"/>
        <v>01</v>
      </c>
      <c r="R399" s="19" t="s">
        <v>27</v>
      </c>
      <c r="S399" s="19" t="s">
        <v>100</v>
      </c>
      <c r="T399" s="48" t="s">
        <v>622</v>
      </c>
      <c r="U399" s="48" t="s">
        <v>552</v>
      </c>
      <c r="V399" s="50" t="s">
        <v>94</v>
      </c>
      <c r="W399" s="14">
        <v>46020</v>
      </c>
      <c r="X399" s="16">
        <f t="shared" si="35"/>
        <v>36</v>
      </c>
      <c r="Y399" s="16"/>
      <c r="Z399" s="16"/>
      <c r="AA399" s="23"/>
      <c r="AB399" s="10" t="str">
        <f t="shared" si="36"/>
        <v>Closed in Dec</v>
      </c>
    </row>
    <row r="400" spans="1:28" x14ac:dyDescent="0.25">
      <c r="A400" s="14">
        <v>45984</v>
      </c>
      <c r="B400" s="15">
        <v>2025</v>
      </c>
      <c r="C400" s="9" t="s">
        <v>15</v>
      </c>
      <c r="D400" s="25" t="s">
        <v>315</v>
      </c>
      <c r="E400" s="16"/>
      <c r="F400" s="16" t="s">
        <v>60</v>
      </c>
      <c r="G400" s="9" t="s">
        <v>316</v>
      </c>
      <c r="H400" s="9">
        <v>9972197300</v>
      </c>
      <c r="I400" s="16"/>
      <c r="J400" s="25" t="s">
        <v>617</v>
      </c>
      <c r="K400" s="9" t="s">
        <v>166</v>
      </c>
      <c r="L400" s="9" t="s">
        <v>28</v>
      </c>
      <c r="M400" s="27" t="s">
        <v>115</v>
      </c>
      <c r="N400" s="23">
        <v>580</v>
      </c>
      <c r="O400" s="48" t="s">
        <v>625</v>
      </c>
      <c r="P400" s="47" t="str">
        <f t="shared" si="33"/>
        <v>25</v>
      </c>
      <c r="Q400" s="19" t="str">
        <f t="shared" si="34"/>
        <v>04</v>
      </c>
      <c r="R400" s="19" t="s">
        <v>27</v>
      </c>
      <c r="S400" s="19" t="s">
        <v>100</v>
      </c>
      <c r="T400" s="48" t="s">
        <v>622</v>
      </c>
      <c r="U400" s="48" t="s">
        <v>552</v>
      </c>
      <c r="V400" s="50" t="s">
        <v>94</v>
      </c>
      <c r="W400" s="14">
        <v>46020</v>
      </c>
      <c r="X400" s="16">
        <f t="shared" si="35"/>
        <v>36</v>
      </c>
      <c r="Y400" s="16"/>
      <c r="Z400" s="16"/>
      <c r="AA400" s="23"/>
      <c r="AB400" s="10" t="str">
        <f t="shared" si="36"/>
        <v>Closed in Dec</v>
      </c>
    </row>
    <row r="401" spans="1:28" x14ac:dyDescent="0.25">
      <c r="A401" s="14">
        <v>45984</v>
      </c>
      <c r="B401" s="15">
        <v>2025</v>
      </c>
      <c r="C401" s="9" t="s">
        <v>15</v>
      </c>
      <c r="D401" s="25" t="s">
        <v>315</v>
      </c>
      <c r="E401" s="16"/>
      <c r="F401" s="16" t="s">
        <v>60</v>
      </c>
      <c r="G401" s="9" t="s">
        <v>316</v>
      </c>
      <c r="H401" s="9">
        <v>9972197300</v>
      </c>
      <c r="I401" s="16"/>
      <c r="J401" s="25" t="s">
        <v>617</v>
      </c>
      <c r="K401" s="9" t="s">
        <v>166</v>
      </c>
      <c r="L401" s="9" t="s">
        <v>28</v>
      </c>
      <c r="M401" s="25"/>
      <c r="N401" s="23">
        <v>580</v>
      </c>
      <c r="O401" s="69"/>
      <c r="P401" s="47" t="str">
        <f t="shared" si="33"/>
        <v/>
      </c>
      <c r="Q401" s="19" t="str">
        <f t="shared" si="34"/>
        <v/>
      </c>
      <c r="R401" s="19" t="s">
        <v>27</v>
      </c>
      <c r="S401" s="19" t="s">
        <v>100</v>
      </c>
      <c r="T401" s="69"/>
      <c r="U401" s="48"/>
      <c r="V401" s="50"/>
      <c r="W401" s="14">
        <v>46021</v>
      </c>
      <c r="X401" s="16">
        <f t="shared" si="35"/>
        <v>37</v>
      </c>
      <c r="AB401" s="10" t="str">
        <f t="shared" si="36"/>
        <v>Closed in Dec</v>
      </c>
    </row>
    <row r="402" spans="1:28" x14ac:dyDescent="0.25">
      <c r="A402" s="14">
        <v>45984</v>
      </c>
      <c r="B402" s="15">
        <v>2025</v>
      </c>
      <c r="C402" s="9" t="s">
        <v>15</v>
      </c>
      <c r="D402" s="25" t="s">
        <v>315</v>
      </c>
      <c r="E402" s="16"/>
      <c r="F402" s="16" t="s">
        <v>60</v>
      </c>
      <c r="G402" s="9" t="s">
        <v>316</v>
      </c>
      <c r="H402" s="9">
        <v>9972197300</v>
      </c>
      <c r="I402" s="16"/>
      <c r="J402" s="25" t="s">
        <v>617</v>
      </c>
      <c r="K402" s="9" t="s">
        <v>166</v>
      </c>
      <c r="L402" s="9" t="s">
        <v>28</v>
      </c>
      <c r="M402" s="25"/>
      <c r="N402" s="23">
        <v>580</v>
      </c>
      <c r="O402" s="69"/>
      <c r="P402" s="47" t="str">
        <f t="shared" si="33"/>
        <v/>
      </c>
      <c r="Q402" s="19" t="str">
        <f t="shared" si="34"/>
        <v/>
      </c>
      <c r="R402" s="19" t="s">
        <v>27</v>
      </c>
      <c r="S402" s="19" t="s">
        <v>100</v>
      </c>
      <c r="T402" s="69"/>
      <c r="U402" s="48"/>
      <c r="V402" s="50"/>
      <c r="W402" s="14">
        <v>46021</v>
      </c>
      <c r="X402" s="16">
        <f t="shared" si="35"/>
        <v>37</v>
      </c>
      <c r="AB402" s="10" t="str">
        <f t="shared" si="36"/>
        <v>Closed in Dec</v>
      </c>
    </row>
    <row r="403" spans="1:28" x14ac:dyDescent="0.25">
      <c r="A403" s="14">
        <v>45984</v>
      </c>
      <c r="B403" s="15">
        <v>2025</v>
      </c>
      <c r="C403" s="9" t="s">
        <v>15</v>
      </c>
      <c r="D403" s="25" t="s">
        <v>315</v>
      </c>
      <c r="E403" s="16"/>
      <c r="F403" s="16" t="s">
        <v>60</v>
      </c>
      <c r="G403" s="9" t="s">
        <v>316</v>
      </c>
      <c r="H403" s="9">
        <v>9972197300</v>
      </c>
      <c r="I403" s="16"/>
      <c r="J403" s="25" t="s">
        <v>617</v>
      </c>
      <c r="K403" s="9" t="s">
        <v>166</v>
      </c>
      <c r="L403" s="9" t="s">
        <v>28</v>
      </c>
      <c r="M403" s="25"/>
      <c r="N403" s="23">
        <v>580</v>
      </c>
      <c r="O403" s="69"/>
      <c r="P403" s="47" t="str">
        <f t="shared" si="33"/>
        <v/>
      </c>
      <c r="Q403" s="19" t="str">
        <f t="shared" si="34"/>
        <v/>
      </c>
      <c r="R403" s="19" t="s">
        <v>27</v>
      </c>
      <c r="S403" s="19" t="s">
        <v>100</v>
      </c>
      <c r="T403" s="69"/>
      <c r="U403" s="48"/>
      <c r="V403" s="50"/>
      <c r="W403" s="14">
        <v>46021</v>
      </c>
      <c r="X403" s="16">
        <f t="shared" si="35"/>
        <v>37</v>
      </c>
      <c r="AB403" s="10" t="str">
        <f t="shared" si="36"/>
        <v>Closed in Dec</v>
      </c>
    </row>
    <row r="404" spans="1:28" x14ac:dyDescent="0.25">
      <c r="A404" s="14">
        <v>45984</v>
      </c>
      <c r="B404" s="15">
        <v>2025</v>
      </c>
      <c r="C404" s="9" t="s">
        <v>15</v>
      </c>
      <c r="D404" s="25" t="s">
        <v>315</v>
      </c>
      <c r="E404" s="16"/>
      <c r="F404" s="16" t="s">
        <v>60</v>
      </c>
      <c r="G404" s="9" t="s">
        <v>316</v>
      </c>
      <c r="H404" s="9">
        <v>9972197300</v>
      </c>
      <c r="I404" s="16"/>
      <c r="J404" s="25" t="s">
        <v>617</v>
      </c>
      <c r="K404" s="9" t="s">
        <v>166</v>
      </c>
      <c r="L404" s="9" t="s">
        <v>28</v>
      </c>
      <c r="M404" s="27" t="s">
        <v>115</v>
      </c>
      <c r="N404" s="23">
        <v>580</v>
      </c>
      <c r="O404" s="69" t="s">
        <v>626</v>
      </c>
      <c r="P404" s="47" t="str">
        <f t="shared" si="33"/>
        <v>25</v>
      </c>
      <c r="Q404" s="19" t="str">
        <f t="shared" si="34"/>
        <v>01</v>
      </c>
      <c r="R404" s="19" t="s">
        <v>27</v>
      </c>
      <c r="S404" s="19" t="s">
        <v>100</v>
      </c>
      <c r="T404" s="8" t="s">
        <v>617</v>
      </c>
      <c r="U404" s="16" t="s">
        <v>627</v>
      </c>
      <c r="V404" s="50" t="s">
        <v>94</v>
      </c>
      <c r="W404" s="14">
        <v>46021</v>
      </c>
      <c r="X404" s="16">
        <f t="shared" si="35"/>
        <v>37</v>
      </c>
      <c r="AB404" s="10" t="str">
        <f t="shared" si="36"/>
        <v>Closed in Dec</v>
      </c>
    </row>
    <row r="405" spans="1:28" x14ac:dyDescent="0.25">
      <c r="A405" s="14">
        <v>45984</v>
      </c>
      <c r="B405" s="15">
        <v>2025</v>
      </c>
      <c r="C405" s="9" t="s">
        <v>15</v>
      </c>
      <c r="D405" s="25" t="s">
        <v>315</v>
      </c>
      <c r="E405" s="16"/>
      <c r="F405" s="16" t="s">
        <v>60</v>
      </c>
      <c r="G405" s="9" t="s">
        <v>316</v>
      </c>
      <c r="H405" s="9">
        <v>9972197300</v>
      </c>
      <c r="I405" s="16"/>
      <c r="J405" s="25" t="s">
        <v>617</v>
      </c>
      <c r="K405" s="9" t="s">
        <v>166</v>
      </c>
      <c r="L405" s="9" t="s">
        <v>28</v>
      </c>
      <c r="M405" s="27" t="s">
        <v>115</v>
      </c>
      <c r="N405" s="23">
        <v>580</v>
      </c>
      <c r="O405" s="69" t="s">
        <v>628</v>
      </c>
      <c r="P405" s="47" t="str">
        <f t="shared" si="33"/>
        <v>25</v>
      </c>
      <c r="Q405" s="19" t="str">
        <f t="shared" si="34"/>
        <v>01</v>
      </c>
      <c r="R405" s="19" t="s">
        <v>27</v>
      </c>
      <c r="S405" s="19" t="s">
        <v>100</v>
      </c>
      <c r="T405" s="8" t="s">
        <v>617</v>
      </c>
      <c r="U405" s="16" t="s">
        <v>627</v>
      </c>
      <c r="V405" s="50" t="s">
        <v>94</v>
      </c>
      <c r="W405" s="14">
        <v>46021</v>
      </c>
      <c r="X405" s="16">
        <f t="shared" si="35"/>
        <v>37</v>
      </c>
      <c r="AB405" s="10" t="str">
        <f t="shared" si="36"/>
        <v>Closed in Dec</v>
      </c>
    </row>
    <row r="406" spans="1:28" x14ac:dyDescent="0.25">
      <c r="A406" s="14">
        <v>45984</v>
      </c>
      <c r="B406" s="15">
        <v>2025</v>
      </c>
      <c r="C406" s="9" t="s">
        <v>15</v>
      </c>
      <c r="D406" s="25" t="s">
        <v>315</v>
      </c>
      <c r="E406" s="16"/>
      <c r="F406" s="16" t="s">
        <v>60</v>
      </c>
      <c r="G406" s="9" t="s">
        <v>316</v>
      </c>
      <c r="H406" s="9">
        <v>9972197300</v>
      </c>
      <c r="I406" s="16"/>
      <c r="J406" s="25" t="s">
        <v>617</v>
      </c>
      <c r="K406" s="9" t="s">
        <v>166</v>
      </c>
      <c r="L406" s="9" t="s">
        <v>28</v>
      </c>
      <c r="M406" s="25"/>
      <c r="N406" s="23">
        <v>580</v>
      </c>
      <c r="O406" s="69"/>
      <c r="P406" s="47" t="str">
        <f t="shared" si="33"/>
        <v/>
      </c>
      <c r="Q406" s="19" t="str">
        <f t="shared" si="34"/>
        <v/>
      </c>
      <c r="R406" s="19" t="s">
        <v>27</v>
      </c>
      <c r="S406" s="19" t="s">
        <v>100</v>
      </c>
      <c r="T406" s="69"/>
      <c r="U406" s="48"/>
      <c r="V406" s="50"/>
      <c r="W406" s="14">
        <v>46021</v>
      </c>
      <c r="X406" s="16">
        <f t="shared" si="35"/>
        <v>37</v>
      </c>
      <c r="AB406" s="10" t="str">
        <f t="shared" si="36"/>
        <v>Closed in Dec</v>
      </c>
    </row>
    <row r="407" spans="1:28" x14ac:dyDescent="0.25">
      <c r="A407" s="14">
        <v>45984</v>
      </c>
      <c r="B407" s="15">
        <v>2025</v>
      </c>
      <c r="C407" s="9" t="s">
        <v>15</v>
      </c>
      <c r="D407" s="25" t="s">
        <v>315</v>
      </c>
      <c r="E407" s="16"/>
      <c r="F407" s="16" t="s">
        <v>60</v>
      </c>
      <c r="G407" s="9" t="s">
        <v>316</v>
      </c>
      <c r="H407" s="9">
        <v>9972197300</v>
      </c>
      <c r="I407" s="16"/>
      <c r="J407" s="25" t="s">
        <v>617</v>
      </c>
      <c r="K407" s="9" t="s">
        <v>166</v>
      </c>
      <c r="L407" s="9" t="s">
        <v>28</v>
      </c>
      <c r="M407" s="25"/>
      <c r="N407" s="23">
        <v>580</v>
      </c>
      <c r="O407" s="69"/>
      <c r="P407" s="47" t="str">
        <f t="shared" si="33"/>
        <v/>
      </c>
      <c r="Q407" s="19" t="str">
        <f t="shared" si="34"/>
        <v/>
      </c>
      <c r="R407" s="19" t="s">
        <v>27</v>
      </c>
      <c r="S407" s="19" t="s">
        <v>100</v>
      </c>
      <c r="T407" s="69"/>
      <c r="U407" s="48"/>
      <c r="V407" s="50"/>
      <c r="W407" s="14">
        <v>46021</v>
      </c>
      <c r="X407" s="16">
        <f t="shared" si="35"/>
        <v>37</v>
      </c>
      <c r="AB407" s="10" t="str">
        <f t="shared" si="36"/>
        <v>Closed in Dec</v>
      </c>
    </row>
    <row r="408" spans="1:28" x14ac:dyDescent="0.25">
      <c r="A408" s="14">
        <v>45984</v>
      </c>
      <c r="B408" s="15">
        <v>2025</v>
      </c>
      <c r="C408" s="9" t="s">
        <v>15</v>
      </c>
      <c r="D408" s="25" t="s">
        <v>315</v>
      </c>
      <c r="E408" s="16"/>
      <c r="F408" s="16" t="s">
        <v>60</v>
      </c>
      <c r="G408" s="9" t="s">
        <v>316</v>
      </c>
      <c r="H408" s="9">
        <v>9972197300</v>
      </c>
      <c r="I408" s="16"/>
      <c r="J408" s="25" t="s">
        <v>617</v>
      </c>
      <c r="K408" s="9" t="s">
        <v>166</v>
      </c>
      <c r="L408" s="9" t="s">
        <v>28</v>
      </c>
      <c r="M408" s="25"/>
      <c r="N408" s="23">
        <v>580</v>
      </c>
      <c r="O408" s="69"/>
      <c r="P408" s="47" t="str">
        <f t="shared" si="33"/>
        <v/>
      </c>
      <c r="Q408" s="19" t="str">
        <f t="shared" si="34"/>
        <v/>
      </c>
      <c r="R408" s="19" t="s">
        <v>27</v>
      </c>
      <c r="S408" s="19" t="s">
        <v>100</v>
      </c>
      <c r="T408" s="69"/>
      <c r="U408" s="48"/>
      <c r="V408" s="50"/>
      <c r="W408" s="14">
        <v>46021</v>
      </c>
      <c r="X408" s="16">
        <f t="shared" si="35"/>
        <v>37</v>
      </c>
      <c r="AB408" s="10" t="str">
        <f t="shared" si="36"/>
        <v>Closed in Dec</v>
      </c>
    </row>
    <row r="409" spans="1:28" x14ac:dyDescent="0.25">
      <c r="A409" s="14">
        <v>45984</v>
      </c>
      <c r="B409" s="15">
        <v>2025</v>
      </c>
      <c r="C409" s="9" t="s">
        <v>15</v>
      </c>
      <c r="D409" s="25" t="s">
        <v>315</v>
      </c>
      <c r="E409" s="16"/>
      <c r="F409" s="16" t="s">
        <v>60</v>
      </c>
      <c r="G409" s="9" t="s">
        <v>316</v>
      </c>
      <c r="H409" s="9">
        <v>9972197300</v>
      </c>
      <c r="I409" s="16"/>
      <c r="J409" s="25" t="s">
        <v>617</v>
      </c>
      <c r="K409" s="9" t="s">
        <v>166</v>
      </c>
      <c r="L409" s="9" t="s">
        <v>28</v>
      </c>
      <c r="M409" s="27" t="s">
        <v>115</v>
      </c>
      <c r="N409" s="23">
        <v>580</v>
      </c>
      <c r="O409" s="69" t="s">
        <v>629</v>
      </c>
      <c r="P409" s="47" t="str">
        <f t="shared" si="33"/>
        <v>25</v>
      </c>
      <c r="Q409" s="19" t="str">
        <f t="shared" si="34"/>
        <v>01</v>
      </c>
      <c r="R409" s="19" t="s">
        <v>27</v>
      </c>
      <c r="S409" s="19" t="s">
        <v>100</v>
      </c>
      <c r="T409" s="8" t="s">
        <v>617</v>
      </c>
      <c r="U409" s="16" t="s">
        <v>627</v>
      </c>
      <c r="V409" s="50" t="s">
        <v>94</v>
      </c>
      <c r="W409" s="14">
        <v>46021</v>
      </c>
      <c r="X409" s="16">
        <f t="shared" si="35"/>
        <v>37</v>
      </c>
      <c r="AB409" s="10" t="str">
        <f t="shared" si="36"/>
        <v>Closed in Dec</v>
      </c>
    </row>
    <row r="410" spans="1:28" x14ac:dyDescent="0.25">
      <c r="A410" s="14">
        <v>45984</v>
      </c>
      <c r="B410" s="15">
        <v>2025</v>
      </c>
      <c r="C410" s="9" t="s">
        <v>15</v>
      </c>
      <c r="D410" s="25" t="s">
        <v>315</v>
      </c>
      <c r="E410" s="16"/>
      <c r="F410" s="16" t="s">
        <v>60</v>
      </c>
      <c r="G410" s="9" t="s">
        <v>316</v>
      </c>
      <c r="H410" s="9">
        <v>9972197300</v>
      </c>
      <c r="I410" s="16"/>
      <c r="J410" s="25" t="s">
        <v>617</v>
      </c>
      <c r="K410" s="9" t="s">
        <v>166</v>
      </c>
      <c r="L410" s="9" t="s">
        <v>28</v>
      </c>
      <c r="M410" s="27" t="s">
        <v>115</v>
      </c>
      <c r="N410" s="23">
        <v>580</v>
      </c>
      <c r="O410" s="69" t="s">
        <v>630</v>
      </c>
      <c r="P410" s="47" t="str">
        <f t="shared" si="33"/>
        <v>25</v>
      </c>
      <c r="Q410" s="19" t="str">
        <f t="shared" si="34"/>
        <v>01</v>
      </c>
      <c r="R410" s="19" t="s">
        <v>27</v>
      </c>
      <c r="S410" s="19" t="s">
        <v>100</v>
      </c>
      <c r="T410" s="8" t="s">
        <v>617</v>
      </c>
      <c r="U410" s="16" t="s">
        <v>627</v>
      </c>
      <c r="V410" s="50" t="s">
        <v>94</v>
      </c>
      <c r="W410" s="14">
        <v>46021</v>
      </c>
      <c r="X410" s="16">
        <f t="shared" si="35"/>
        <v>37</v>
      </c>
      <c r="AB410" s="10" t="str">
        <f t="shared" si="36"/>
        <v>Closed in Dec</v>
      </c>
    </row>
    <row r="411" spans="1:28" x14ac:dyDescent="0.25">
      <c r="A411" s="14">
        <v>45984</v>
      </c>
      <c r="B411" s="15">
        <v>2025</v>
      </c>
      <c r="C411" s="9" t="s">
        <v>15</v>
      </c>
      <c r="D411" s="25" t="s">
        <v>315</v>
      </c>
      <c r="E411" s="16"/>
      <c r="F411" s="16" t="s">
        <v>60</v>
      </c>
      <c r="G411" s="9" t="s">
        <v>316</v>
      </c>
      <c r="H411" s="9">
        <v>9972197300</v>
      </c>
      <c r="I411" s="16"/>
      <c r="J411" s="25" t="s">
        <v>617</v>
      </c>
      <c r="K411" s="9" t="s">
        <v>166</v>
      </c>
      <c r="L411" s="9" t="s">
        <v>28</v>
      </c>
      <c r="M411" s="27" t="s">
        <v>115</v>
      </c>
      <c r="N411" s="23">
        <v>580</v>
      </c>
      <c r="O411" s="68" t="s">
        <v>631</v>
      </c>
      <c r="P411" s="47" t="str">
        <f t="shared" si="33"/>
        <v>25</v>
      </c>
      <c r="Q411" s="19" t="str">
        <f t="shared" si="34"/>
        <v>01</v>
      </c>
      <c r="R411" s="19" t="s">
        <v>27</v>
      </c>
      <c r="S411" s="19" t="s">
        <v>100</v>
      </c>
      <c r="T411" s="48" t="s">
        <v>619</v>
      </c>
      <c r="U411" s="48" t="s">
        <v>552</v>
      </c>
      <c r="V411" s="50" t="s">
        <v>94</v>
      </c>
      <c r="W411" s="14">
        <v>46022</v>
      </c>
      <c r="X411" s="16">
        <f t="shared" si="35"/>
        <v>38</v>
      </c>
      <c r="AB411" s="10" t="str">
        <f t="shared" si="36"/>
        <v>Closed in Dec</v>
      </c>
    </row>
    <row r="412" spans="1:28" x14ac:dyDescent="0.25">
      <c r="A412" s="14">
        <v>45984</v>
      </c>
      <c r="B412" s="15">
        <v>2025</v>
      </c>
      <c r="C412" s="9" t="s">
        <v>15</v>
      </c>
      <c r="D412" s="25" t="s">
        <v>315</v>
      </c>
      <c r="E412" s="16"/>
      <c r="F412" s="16" t="s">
        <v>60</v>
      </c>
      <c r="G412" s="9" t="s">
        <v>316</v>
      </c>
      <c r="H412" s="9">
        <v>9972197300</v>
      </c>
      <c r="I412" s="16"/>
      <c r="J412" s="25" t="s">
        <v>617</v>
      </c>
      <c r="K412" s="9" t="s">
        <v>166</v>
      </c>
      <c r="L412" s="9" t="s">
        <v>28</v>
      </c>
      <c r="M412" s="27" t="s">
        <v>115</v>
      </c>
      <c r="N412" s="23">
        <v>580</v>
      </c>
      <c r="O412" s="68" t="s">
        <v>632</v>
      </c>
      <c r="P412" s="47" t="str">
        <f t="shared" si="33"/>
        <v>25</v>
      </c>
      <c r="Q412" s="19" t="str">
        <f t="shared" si="34"/>
        <v>01</v>
      </c>
      <c r="R412" s="19" t="s">
        <v>27</v>
      </c>
      <c r="S412" s="19" t="s">
        <v>100</v>
      </c>
      <c r="T412" s="68" t="s">
        <v>633</v>
      </c>
      <c r="U412" s="48" t="s">
        <v>552</v>
      </c>
      <c r="V412" s="50" t="s">
        <v>94</v>
      </c>
      <c r="W412" s="14">
        <v>46022</v>
      </c>
      <c r="X412" s="16">
        <f t="shared" si="35"/>
        <v>38</v>
      </c>
      <c r="AB412" s="10" t="str">
        <f t="shared" si="36"/>
        <v>Closed in Dec</v>
      </c>
    </row>
    <row r="413" spans="1:28" x14ac:dyDescent="0.25">
      <c r="A413" s="14">
        <v>45984</v>
      </c>
      <c r="B413" s="15">
        <v>2025</v>
      </c>
      <c r="C413" s="9" t="s">
        <v>15</v>
      </c>
      <c r="D413" s="25" t="s">
        <v>315</v>
      </c>
      <c r="E413" s="16"/>
      <c r="F413" s="16" t="s">
        <v>60</v>
      </c>
      <c r="G413" s="9" t="s">
        <v>316</v>
      </c>
      <c r="H413" s="9">
        <v>9972197300</v>
      </c>
      <c r="I413" s="16"/>
      <c r="J413" s="25" t="s">
        <v>617</v>
      </c>
      <c r="K413" s="9" t="s">
        <v>166</v>
      </c>
      <c r="L413" s="9" t="s">
        <v>28</v>
      </c>
      <c r="M413" s="27" t="s">
        <v>115</v>
      </c>
      <c r="N413" s="23">
        <v>580</v>
      </c>
      <c r="O413" s="68" t="s">
        <v>634</v>
      </c>
      <c r="P413" s="47" t="str">
        <f t="shared" si="33"/>
        <v>25</v>
      </c>
      <c r="Q413" s="19" t="str">
        <f t="shared" si="34"/>
        <v>01</v>
      </c>
      <c r="R413" s="19" t="s">
        <v>27</v>
      </c>
      <c r="S413" s="19" t="s">
        <v>100</v>
      </c>
      <c r="T413" s="68" t="s">
        <v>633</v>
      </c>
      <c r="U413" s="48" t="s">
        <v>552</v>
      </c>
      <c r="V413" s="50" t="s">
        <v>94</v>
      </c>
      <c r="W413" s="14">
        <v>46022</v>
      </c>
      <c r="X413" s="16">
        <f t="shared" si="35"/>
        <v>38</v>
      </c>
      <c r="AB413" s="10" t="str">
        <f t="shared" si="36"/>
        <v>Closed in Dec</v>
      </c>
    </row>
    <row r="414" spans="1:28" x14ac:dyDescent="0.25">
      <c r="A414" s="14">
        <v>45984</v>
      </c>
      <c r="B414" s="15">
        <v>2025</v>
      </c>
      <c r="C414" s="9" t="s">
        <v>15</v>
      </c>
      <c r="D414" s="25" t="s">
        <v>315</v>
      </c>
      <c r="E414" s="16"/>
      <c r="F414" s="16" t="s">
        <v>60</v>
      </c>
      <c r="G414" s="9" t="s">
        <v>316</v>
      </c>
      <c r="H414" s="9">
        <v>9972197300</v>
      </c>
      <c r="I414" s="16"/>
      <c r="J414" s="25" t="s">
        <v>617</v>
      </c>
      <c r="K414" s="9" t="s">
        <v>166</v>
      </c>
      <c r="L414" s="9" t="s">
        <v>28</v>
      </c>
      <c r="M414" s="27" t="s">
        <v>115</v>
      </c>
      <c r="N414" s="23">
        <v>580</v>
      </c>
      <c r="O414" s="68" t="s">
        <v>635</v>
      </c>
      <c r="P414" s="47" t="str">
        <f t="shared" si="33"/>
        <v>25</v>
      </c>
      <c r="Q414" s="19" t="str">
        <f t="shared" si="34"/>
        <v>04</v>
      </c>
      <c r="R414" s="19" t="s">
        <v>27</v>
      </c>
      <c r="S414" s="19" t="s">
        <v>100</v>
      </c>
      <c r="T414" s="48" t="s">
        <v>619</v>
      </c>
      <c r="U414" s="48" t="s">
        <v>552</v>
      </c>
      <c r="V414" s="50" t="s">
        <v>94</v>
      </c>
      <c r="W414" s="14">
        <v>46022</v>
      </c>
      <c r="X414" s="16">
        <f t="shared" si="35"/>
        <v>38</v>
      </c>
      <c r="AB414" s="10" t="str">
        <f t="shared" si="36"/>
        <v>Closed in Dec</v>
      </c>
    </row>
    <row r="415" spans="1:28" x14ac:dyDescent="0.25">
      <c r="A415" s="14">
        <v>45984</v>
      </c>
      <c r="B415" s="15">
        <v>2025</v>
      </c>
      <c r="C415" s="9" t="s">
        <v>15</v>
      </c>
      <c r="D415" s="25" t="s">
        <v>315</v>
      </c>
      <c r="E415" s="16"/>
      <c r="F415" s="16" t="s">
        <v>60</v>
      </c>
      <c r="G415" s="9" t="s">
        <v>316</v>
      </c>
      <c r="H415" s="9">
        <v>9972197300</v>
      </c>
      <c r="I415" s="16"/>
      <c r="J415" s="25" t="s">
        <v>617</v>
      </c>
      <c r="K415" s="9" t="s">
        <v>166</v>
      </c>
      <c r="L415" s="9" t="s">
        <v>28</v>
      </c>
      <c r="M415" s="27" t="s">
        <v>115</v>
      </c>
      <c r="N415" s="23">
        <v>580</v>
      </c>
      <c r="O415" s="68" t="s">
        <v>636</v>
      </c>
      <c r="P415" s="47" t="str">
        <f t="shared" si="33"/>
        <v>25</v>
      </c>
      <c r="Q415" s="19" t="str">
        <f t="shared" si="34"/>
        <v>04</v>
      </c>
      <c r="R415" s="19" t="s">
        <v>27</v>
      </c>
      <c r="S415" s="19" t="s">
        <v>100</v>
      </c>
      <c r="T415" s="48" t="s">
        <v>619</v>
      </c>
      <c r="U415" s="48" t="s">
        <v>552</v>
      </c>
      <c r="V415" s="50" t="s">
        <v>94</v>
      </c>
      <c r="W415" s="14">
        <v>46022</v>
      </c>
      <c r="X415" s="16">
        <f t="shared" si="35"/>
        <v>38</v>
      </c>
      <c r="AB415" s="10" t="str">
        <f t="shared" si="36"/>
        <v>Closed in Dec</v>
      </c>
    </row>
    <row r="416" spans="1:28" x14ac:dyDescent="0.25">
      <c r="A416" s="14">
        <v>45984</v>
      </c>
      <c r="B416" s="15">
        <v>2025</v>
      </c>
      <c r="C416" s="9" t="s">
        <v>15</v>
      </c>
      <c r="D416" s="25" t="s">
        <v>315</v>
      </c>
      <c r="E416" s="16"/>
      <c r="F416" s="16" t="s">
        <v>60</v>
      </c>
      <c r="G416" s="9" t="s">
        <v>316</v>
      </c>
      <c r="H416" s="9">
        <v>9972197300</v>
      </c>
      <c r="I416" s="16"/>
      <c r="J416" s="25" t="s">
        <v>617</v>
      </c>
      <c r="K416" s="9" t="s">
        <v>166</v>
      </c>
      <c r="L416" s="9" t="s">
        <v>28</v>
      </c>
      <c r="M416" s="27" t="s">
        <v>115</v>
      </c>
      <c r="N416" s="23">
        <v>580</v>
      </c>
      <c r="O416" s="68" t="s">
        <v>637</v>
      </c>
      <c r="P416" s="47" t="str">
        <f t="shared" si="33"/>
        <v>25</v>
      </c>
      <c r="Q416" s="19" t="str">
        <f t="shared" si="34"/>
        <v>04</v>
      </c>
      <c r="R416" s="19" t="s">
        <v>27</v>
      </c>
      <c r="S416" s="19" t="s">
        <v>100</v>
      </c>
      <c r="T416" s="68" t="s">
        <v>633</v>
      </c>
      <c r="U416" s="48" t="s">
        <v>552</v>
      </c>
      <c r="V416" s="50" t="s">
        <v>94</v>
      </c>
      <c r="W416" s="14">
        <v>46022</v>
      </c>
      <c r="X416" s="16">
        <f t="shared" si="35"/>
        <v>38</v>
      </c>
      <c r="AB416" s="10" t="str">
        <f t="shared" si="36"/>
        <v>Closed in Dec</v>
      </c>
    </row>
    <row r="417" spans="1:28" x14ac:dyDescent="0.25">
      <c r="A417" s="14">
        <v>45984</v>
      </c>
      <c r="B417" s="15">
        <v>2025</v>
      </c>
      <c r="C417" s="9" t="s">
        <v>15</v>
      </c>
      <c r="D417" s="25" t="s">
        <v>315</v>
      </c>
      <c r="E417" s="16"/>
      <c r="F417" s="16" t="s">
        <v>60</v>
      </c>
      <c r="G417" s="9" t="s">
        <v>316</v>
      </c>
      <c r="H417" s="9">
        <v>9972197300</v>
      </c>
      <c r="I417" s="16"/>
      <c r="J417" s="25" t="s">
        <v>617</v>
      </c>
      <c r="K417" s="9" t="s">
        <v>166</v>
      </c>
      <c r="L417" s="9" t="s">
        <v>28</v>
      </c>
      <c r="M417" s="27" t="s">
        <v>115</v>
      </c>
      <c r="N417" s="23">
        <v>580</v>
      </c>
      <c r="O417" s="68" t="s">
        <v>638</v>
      </c>
      <c r="P417" s="47" t="str">
        <f t="shared" si="33"/>
        <v>25</v>
      </c>
      <c r="Q417" s="19" t="str">
        <f t="shared" si="34"/>
        <v>04</v>
      </c>
      <c r="R417" s="19" t="s">
        <v>27</v>
      </c>
      <c r="S417" s="19" t="s">
        <v>100</v>
      </c>
      <c r="T417" s="48" t="s">
        <v>619</v>
      </c>
      <c r="U417" s="48" t="s">
        <v>552</v>
      </c>
      <c r="V417" s="50" t="s">
        <v>94</v>
      </c>
      <c r="W417" s="14">
        <v>46022</v>
      </c>
      <c r="X417" s="16">
        <f t="shared" si="35"/>
        <v>38</v>
      </c>
      <c r="AB417" s="10" t="str">
        <f t="shared" si="36"/>
        <v>Closed in Dec</v>
      </c>
    </row>
  </sheetData>
  <autoFilter ref="A1:AB417" xr:uid="{00000000-0001-0000-0300-000000000000}"/>
  <conditionalFormatting sqref="I191">
    <cfRule type="duplicateValues" dxfId="82" priority="71"/>
  </conditionalFormatting>
  <conditionalFormatting sqref="O1">
    <cfRule type="duplicateValues" dxfId="81" priority="439"/>
    <cfRule type="duplicateValues" dxfId="80" priority="438"/>
    <cfRule type="duplicateValues" dxfId="79" priority="676"/>
    <cfRule type="duplicateValues" dxfId="78" priority="454"/>
    <cfRule type="duplicateValues" dxfId="77" priority="453"/>
    <cfRule type="duplicateValues" dxfId="76" priority="445"/>
    <cfRule type="duplicateValues" dxfId="75" priority="452"/>
    <cfRule type="duplicateValues" dxfId="74" priority="451"/>
    <cfRule type="duplicateValues" dxfId="73" priority="450"/>
    <cfRule type="duplicateValues" dxfId="72" priority="449"/>
    <cfRule type="duplicateValues" dxfId="71" priority="448"/>
    <cfRule type="duplicateValues" dxfId="70" priority="447"/>
    <cfRule type="duplicateValues" dxfId="69" priority="446"/>
    <cfRule type="duplicateValues" dxfId="68" priority="444"/>
    <cfRule type="duplicateValues" dxfId="67" priority="443"/>
    <cfRule type="duplicateValues" dxfId="66" priority="442"/>
    <cfRule type="duplicateValues" dxfId="65" priority="441"/>
    <cfRule type="duplicateValues" dxfId="64" priority="440"/>
    <cfRule type="duplicateValues" dxfId="63" priority="436"/>
    <cfRule type="duplicateValues" dxfId="62" priority="437"/>
    <cfRule type="duplicateValues" dxfId="61" priority="455"/>
    <cfRule type="duplicateValues" priority="456"/>
  </conditionalFormatting>
  <conditionalFormatting sqref="O1:O281 O301:O318">
    <cfRule type="duplicateValues" dxfId="60" priority="678"/>
    <cfRule type="duplicateValues" dxfId="59" priority="677"/>
    <cfRule type="duplicateValues" dxfId="58" priority="680"/>
    <cfRule type="duplicateValues" dxfId="57" priority="679"/>
  </conditionalFormatting>
  <conditionalFormatting sqref="O1:O281 O301:O378">
    <cfRule type="duplicateValues" dxfId="56" priority="688"/>
    <cfRule type="duplicateValues" dxfId="55" priority="685"/>
    <cfRule type="duplicateValues" dxfId="54" priority="687"/>
  </conditionalFormatting>
  <conditionalFormatting sqref="O1:O281 O301:O394">
    <cfRule type="duplicateValues" dxfId="53" priority="691"/>
    <cfRule type="duplicateValues" dxfId="52" priority="694"/>
    <cfRule type="duplicateValues" dxfId="51" priority="693"/>
    <cfRule type="duplicateValues" dxfId="50" priority="695"/>
    <cfRule type="duplicateValues" dxfId="49" priority="696"/>
    <cfRule type="duplicateValues" dxfId="48" priority="692"/>
  </conditionalFormatting>
  <conditionalFormatting sqref="O1:O281 O301:O1048576">
    <cfRule type="duplicateValues" priority="16"/>
    <cfRule type="duplicateValues" dxfId="47" priority="15"/>
  </conditionalFormatting>
  <conditionalFormatting sqref="O1:O281">
    <cfRule type="duplicateValues" dxfId="46" priority="708"/>
    <cfRule type="duplicateValues" dxfId="45" priority="707"/>
    <cfRule type="duplicateValues" dxfId="44" priority="709"/>
    <cfRule type="duplicateValues" dxfId="43" priority="710"/>
    <cfRule type="duplicateValues" dxfId="42" priority="711"/>
    <cfRule type="duplicateValues" dxfId="41" priority="712"/>
    <cfRule type="duplicateValues" dxfId="40" priority="713"/>
    <cfRule type="duplicateValues" priority="714"/>
    <cfRule type="duplicateValues" dxfId="39" priority="715"/>
  </conditionalFormatting>
  <conditionalFormatting sqref="O1:O1048576">
    <cfRule type="duplicateValues" dxfId="38" priority="1"/>
    <cfRule type="duplicateValues" dxfId="37" priority="2"/>
    <cfRule type="duplicateValues" dxfId="36" priority="3"/>
  </conditionalFormatting>
  <conditionalFormatting sqref="O2:O279">
    <cfRule type="duplicateValues" dxfId="35" priority="665"/>
    <cfRule type="duplicateValues" dxfId="34" priority="666"/>
    <cfRule type="duplicateValues" dxfId="33" priority="667"/>
  </conditionalFormatting>
  <conditionalFormatting sqref="O2:O281">
    <cfRule type="duplicateValues" dxfId="32" priority="674"/>
    <cfRule type="duplicateValues" dxfId="31" priority="675"/>
  </conditionalFormatting>
  <conditionalFormatting sqref="O100:O105 O117 O192:O279">
    <cfRule type="duplicateValues" dxfId="30" priority="478"/>
    <cfRule type="duplicateValues" dxfId="29" priority="479"/>
    <cfRule type="duplicateValues" dxfId="28" priority="480"/>
    <cfRule type="duplicateValues" dxfId="27" priority="481"/>
    <cfRule type="duplicateValues" dxfId="26" priority="482"/>
    <cfRule type="duplicateValues" dxfId="25" priority="483"/>
    <cfRule type="duplicateValues" dxfId="24" priority="484"/>
    <cfRule type="duplicateValues" dxfId="23" priority="485"/>
    <cfRule type="duplicateValues" priority="486"/>
    <cfRule type="duplicateValues" dxfId="22" priority="476"/>
    <cfRule type="duplicateValues" dxfId="21" priority="471"/>
    <cfRule type="duplicateValues" dxfId="20" priority="470"/>
    <cfRule type="duplicateValues" dxfId="19" priority="469"/>
    <cfRule type="duplicateValues" dxfId="18" priority="468"/>
    <cfRule type="duplicateValues" dxfId="17" priority="477"/>
    <cfRule type="duplicateValues" dxfId="16" priority="472"/>
    <cfRule type="duplicateValues" dxfId="15" priority="473"/>
    <cfRule type="duplicateValues" dxfId="14" priority="474"/>
    <cfRule type="duplicateValues" dxfId="13" priority="475"/>
  </conditionalFormatting>
  <conditionalFormatting sqref="O282:O300">
    <cfRule type="duplicateValues" dxfId="12" priority="10"/>
    <cfRule type="duplicateValues" dxfId="11" priority="9"/>
    <cfRule type="duplicateValues" dxfId="10" priority="8"/>
    <cfRule type="duplicateValues" dxfId="9" priority="7"/>
    <cfRule type="duplicateValues" dxfId="8" priority="6"/>
    <cfRule type="duplicateValues" dxfId="7" priority="5"/>
    <cfRule type="duplicateValues" dxfId="6" priority="4"/>
    <cfRule type="duplicateValues" priority="14"/>
    <cfRule type="duplicateValues" dxfId="5" priority="13"/>
    <cfRule type="duplicateValues" dxfId="4" priority="11"/>
    <cfRule type="duplicateValues" dxfId="3" priority="12"/>
  </conditionalFormatting>
  <conditionalFormatting sqref="O301:O318">
    <cfRule type="duplicateValues" dxfId="2" priority="525"/>
  </conditionalFormatting>
  <conditionalFormatting sqref="AC272:XFD272">
    <cfRule type="duplicateValues" dxfId="1" priority="98"/>
    <cfRule type="duplicateValues" dxfId="0" priority="97"/>
  </conditionalFormatting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C1:G67"/>
  <sheetViews>
    <sheetView zoomScaleNormal="100" workbookViewId="0">
      <selection activeCell="E12" sqref="E12"/>
    </sheetView>
  </sheetViews>
  <sheetFormatPr defaultRowHeight="14.5" x14ac:dyDescent="0.35"/>
  <cols>
    <col min="3" max="3" width="14.1796875" bestFit="1" customWidth="1"/>
    <col min="4" max="4" width="16.36328125" bestFit="1" customWidth="1"/>
    <col min="6" max="6" width="22.6328125" customWidth="1"/>
    <col min="7" max="7" width="16.36328125" bestFit="1" customWidth="1"/>
  </cols>
  <sheetData>
    <row r="1" spans="3:7" x14ac:dyDescent="0.35">
      <c r="D1" t="s">
        <v>639</v>
      </c>
    </row>
    <row r="2" spans="3:7" x14ac:dyDescent="0.35">
      <c r="C2" s="71" t="s">
        <v>640</v>
      </c>
      <c r="D2" t="e">
        <f>VLOOKUP(C2,'Monthly Report Dec-25'!O:O,1,0)</f>
        <v>#N/A</v>
      </c>
      <c r="F2" s="74" t="s">
        <v>640</v>
      </c>
      <c r="G2" t="e">
        <f>VLOOKUP(F2,'Monthly Report Dec-25'!#REF!,1,0)</f>
        <v>#REF!</v>
      </c>
    </row>
    <row r="3" spans="3:7" x14ac:dyDescent="0.35">
      <c r="C3" s="72" t="s">
        <v>641</v>
      </c>
      <c r="D3" t="e">
        <f>VLOOKUP(C3,'Monthly Report Dec-25'!O:O,1,0)</f>
        <v>#N/A</v>
      </c>
      <c r="F3" s="75" t="s">
        <v>641</v>
      </c>
      <c r="G3" t="e">
        <f>VLOOKUP(F3,'Monthly Report Dec-25'!O118:O118,1,0)</f>
        <v>#N/A</v>
      </c>
    </row>
    <row r="4" spans="3:7" x14ac:dyDescent="0.35">
      <c r="C4" s="72" t="s">
        <v>642</v>
      </c>
      <c r="D4" t="e">
        <f>VLOOKUP(C4,'Monthly Report Dec-25'!O:O,1,0)</f>
        <v>#N/A</v>
      </c>
      <c r="F4" s="75" t="s">
        <v>642</v>
      </c>
      <c r="G4" t="e">
        <f>VLOOKUP(F4,'Monthly Report Dec-25'!O118:O119,1,0)</f>
        <v>#N/A</v>
      </c>
    </row>
    <row r="5" spans="3:7" x14ac:dyDescent="0.35">
      <c r="C5" s="72" t="s">
        <v>643</v>
      </c>
      <c r="D5" t="e">
        <f>VLOOKUP(C5,'Monthly Report Dec-25'!O:O,1,0)</f>
        <v>#N/A</v>
      </c>
      <c r="F5" s="75" t="s">
        <v>643</v>
      </c>
      <c r="G5" t="e">
        <f>VLOOKUP(F5,'Monthly Report Dec-25'!O118:O120,1,0)</f>
        <v>#N/A</v>
      </c>
    </row>
    <row r="6" spans="3:7" x14ac:dyDescent="0.35">
      <c r="C6" s="72" t="s">
        <v>644</v>
      </c>
      <c r="D6" t="e">
        <f>VLOOKUP(C6,'Monthly Report Dec-25'!O:O,1,0)</f>
        <v>#N/A</v>
      </c>
      <c r="F6" s="75" t="s">
        <v>644</v>
      </c>
      <c r="G6" t="e">
        <f>VLOOKUP(F6,'Monthly Report Dec-25'!O118:O121,1,0)</f>
        <v>#N/A</v>
      </c>
    </row>
    <row r="7" spans="3:7" x14ac:dyDescent="0.35">
      <c r="C7" s="72" t="s">
        <v>645</v>
      </c>
      <c r="D7" t="e">
        <f>VLOOKUP(C7,'Monthly Report Dec-25'!O:O,1,0)</f>
        <v>#N/A</v>
      </c>
      <c r="F7" s="75" t="s">
        <v>645</v>
      </c>
      <c r="G7" t="e">
        <f>VLOOKUP(F7,'Monthly Report Dec-25'!O118:O122,1,0)</f>
        <v>#N/A</v>
      </c>
    </row>
    <row r="8" spans="3:7" x14ac:dyDescent="0.35">
      <c r="C8" s="72" t="s">
        <v>646</v>
      </c>
      <c r="D8" t="e">
        <f>VLOOKUP(C8,'Monthly Report Dec-25'!O:O,1,0)</f>
        <v>#N/A</v>
      </c>
      <c r="F8" s="75" t="s">
        <v>646</v>
      </c>
      <c r="G8" t="e">
        <f>VLOOKUP(F8,'Monthly Report Dec-25'!O118:O123,1,0)</f>
        <v>#N/A</v>
      </c>
    </row>
    <row r="9" spans="3:7" x14ac:dyDescent="0.35">
      <c r="C9" s="72" t="s">
        <v>647</v>
      </c>
      <c r="D9" t="e">
        <f>VLOOKUP(C9,'Monthly Report Dec-25'!O:O,1,FALSE)</f>
        <v>#N/A</v>
      </c>
      <c r="F9" s="75" t="s">
        <v>647</v>
      </c>
      <c r="G9" t="e">
        <f>VLOOKUP(F9,'Monthly Report Dec-25'!O118:O124,1,0)</f>
        <v>#N/A</v>
      </c>
    </row>
    <row r="10" spans="3:7" x14ac:dyDescent="0.35">
      <c r="C10" s="72" t="s">
        <v>648</v>
      </c>
      <c r="D10" t="e">
        <f>VLOOKUP(C10,'Monthly Report Dec-25'!O:O,2,0)</f>
        <v>#N/A</v>
      </c>
      <c r="F10" s="75" t="s">
        <v>648</v>
      </c>
      <c r="G10" t="e">
        <f>VLOOKUP(F10,'Monthly Report Dec-25'!O118:O125,1,0)</f>
        <v>#N/A</v>
      </c>
    </row>
    <row r="11" spans="3:7" x14ac:dyDescent="0.35">
      <c r="C11" s="72" t="s">
        <v>649</v>
      </c>
      <c r="D11" t="e">
        <f>VLOOKUP(C11,'Monthly Report Dec-25'!O:O,1,0)</f>
        <v>#N/A</v>
      </c>
      <c r="F11" s="75" t="s">
        <v>649</v>
      </c>
      <c r="G11" t="e">
        <f>VLOOKUP(F11,'Monthly Report Dec-25'!O118:O126,1,0)</f>
        <v>#N/A</v>
      </c>
    </row>
    <row r="12" spans="3:7" x14ac:dyDescent="0.35">
      <c r="C12" s="72" t="s">
        <v>650</v>
      </c>
      <c r="D12" t="e">
        <f>VLOOKUP(C12,'Monthly Report Dec-25'!O:O,1,0)</f>
        <v>#N/A</v>
      </c>
      <c r="F12" s="75" t="s">
        <v>650</v>
      </c>
      <c r="G12" t="e">
        <f>VLOOKUP(F12,'Monthly Report Dec-25'!O118:O127,1,0)</f>
        <v>#N/A</v>
      </c>
    </row>
    <row r="13" spans="3:7" x14ac:dyDescent="0.35">
      <c r="C13" s="72" t="s">
        <v>651</v>
      </c>
      <c r="D13" t="e">
        <f>VLOOKUP(C13,'Monthly Report Dec-25'!O:O,1,0)</f>
        <v>#N/A</v>
      </c>
      <c r="F13" s="75" t="s">
        <v>651</v>
      </c>
      <c r="G13" t="e">
        <f>VLOOKUP(F13,'Monthly Report Dec-25'!O118:O128,1,0)</f>
        <v>#N/A</v>
      </c>
    </row>
    <row r="14" spans="3:7" x14ac:dyDescent="0.35">
      <c r="C14" s="72" t="s">
        <v>652</v>
      </c>
      <c r="D14" t="e">
        <f>VLOOKUP(C14,'Monthly Report Dec-25'!O:O,1,0)</f>
        <v>#N/A</v>
      </c>
      <c r="F14" s="75" t="s">
        <v>652</v>
      </c>
      <c r="G14" t="e">
        <f>VLOOKUP(F14,'Monthly Report Dec-25'!O118:O129,1,0)</f>
        <v>#N/A</v>
      </c>
    </row>
    <row r="15" spans="3:7" x14ac:dyDescent="0.35">
      <c r="C15" s="72" t="s">
        <v>653</v>
      </c>
      <c r="D15" t="e">
        <f>VLOOKUP(C15,'Monthly Report Dec-25'!O:O,1,0)</f>
        <v>#N/A</v>
      </c>
      <c r="F15" s="75" t="s">
        <v>653</v>
      </c>
      <c r="G15" t="e">
        <f>VLOOKUP(F15,'Monthly Report Dec-25'!O118:O130,1,0)</f>
        <v>#N/A</v>
      </c>
    </row>
    <row r="16" spans="3:7" x14ac:dyDescent="0.35">
      <c r="C16" s="72" t="s">
        <v>654</v>
      </c>
      <c r="D16" t="e">
        <f>VLOOKUP(C16,'Monthly Report Dec-25'!O:O,1,0)</f>
        <v>#N/A</v>
      </c>
      <c r="F16" s="75" t="s">
        <v>654</v>
      </c>
      <c r="G16" t="e">
        <f>VLOOKUP(F16,'Monthly Report Dec-25'!O118:O131,1,0)</f>
        <v>#N/A</v>
      </c>
    </row>
    <row r="17" spans="3:7" x14ac:dyDescent="0.35">
      <c r="C17" s="72" t="s">
        <v>655</v>
      </c>
      <c r="D17" t="e">
        <f>VLOOKUP(C17,'Monthly Report Dec-25'!O:O,1,0)</f>
        <v>#N/A</v>
      </c>
      <c r="F17" s="75" t="s">
        <v>655</v>
      </c>
      <c r="G17" t="e">
        <f>VLOOKUP(F17,'Monthly Report Dec-25'!O118:O132,1,0)</f>
        <v>#N/A</v>
      </c>
    </row>
    <row r="18" spans="3:7" x14ac:dyDescent="0.35">
      <c r="C18" s="72" t="s">
        <v>656</v>
      </c>
      <c r="D18" t="e">
        <f>VLOOKUP(C18,'Monthly Report Dec-25'!O:O,1,0)</f>
        <v>#N/A</v>
      </c>
      <c r="F18" s="75" t="s">
        <v>656</v>
      </c>
      <c r="G18" t="e">
        <f>VLOOKUP(F18,'Monthly Report Dec-25'!O118:O133,1,0)</f>
        <v>#N/A</v>
      </c>
    </row>
    <row r="19" spans="3:7" x14ac:dyDescent="0.35">
      <c r="C19" s="72" t="s">
        <v>657</v>
      </c>
      <c r="D19" t="e">
        <f>VLOOKUP(C19,'Monthly Report Dec-25'!O:O,1,0)</f>
        <v>#N/A</v>
      </c>
      <c r="F19" s="75" t="s">
        <v>657</v>
      </c>
      <c r="G19" t="e">
        <f>VLOOKUP(F19,'Monthly Report Dec-25'!O118:O134,1,0)</f>
        <v>#N/A</v>
      </c>
    </row>
    <row r="20" spans="3:7" x14ac:dyDescent="0.35">
      <c r="C20" s="72" t="s">
        <v>658</v>
      </c>
      <c r="D20" t="e">
        <f>VLOOKUP(C20,'Monthly Report Dec-25'!O:O,1,0)</f>
        <v>#N/A</v>
      </c>
      <c r="F20" s="75" t="s">
        <v>658</v>
      </c>
      <c r="G20" t="e">
        <f>VLOOKUP(F20,'Monthly Report Dec-25'!O118:O135,1,0)</f>
        <v>#N/A</v>
      </c>
    </row>
    <row r="21" spans="3:7" x14ac:dyDescent="0.35">
      <c r="C21" s="72" t="s">
        <v>659</v>
      </c>
      <c r="D21" t="e">
        <f>VLOOKUP(C21,'Monthly Report Dec-25'!O:O,1,0)</f>
        <v>#N/A</v>
      </c>
      <c r="F21" s="75" t="s">
        <v>659</v>
      </c>
      <c r="G21" t="e">
        <f>VLOOKUP(F21,'Monthly Report Dec-25'!O118:O136,1,0)</f>
        <v>#N/A</v>
      </c>
    </row>
    <row r="22" spans="3:7" x14ac:dyDescent="0.35">
      <c r="C22" s="72" t="s">
        <v>660</v>
      </c>
      <c r="D22" t="e">
        <f>VLOOKUP(C22,'Monthly Report Dec-25'!O:O,1,0)</f>
        <v>#N/A</v>
      </c>
      <c r="F22" s="75" t="s">
        <v>660</v>
      </c>
      <c r="G22" t="e">
        <f>VLOOKUP(F22,'Monthly Report Dec-25'!O118:O137,1,0)</f>
        <v>#N/A</v>
      </c>
    </row>
    <row r="23" spans="3:7" x14ac:dyDescent="0.35">
      <c r="C23" s="72" t="s">
        <v>661</v>
      </c>
      <c r="D23" t="e">
        <f>VLOOKUP(C23,'Monthly Report Dec-25'!O:O,1,0)</f>
        <v>#N/A</v>
      </c>
      <c r="F23" s="75" t="s">
        <v>661</v>
      </c>
      <c r="G23" t="e">
        <f>VLOOKUP(F23,'Monthly Report Dec-25'!O118:O138,1,0)</f>
        <v>#N/A</v>
      </c>
    </row>
    <row r="24" spans="3:7" x14ac:dyDescent="0.35">
      <c r="C24" s="72" t="s">
        <v>662</v>
      </c>
      <c r="D24" t="e">
        <f>VLOOKUP(C24,'Monthly Report Dec-25'!O:O,1,0)</f>
        <v>#N/A</v>
      </c>
      <c r="F24" s="75" t="s">
        <v>662</v>
      </c>
      <c r="G24" t="e">
        <f>VLOOKUP(F24,'Monthly Report Dec-25'!O118:O139,1,0)</f>
        <v>#N/A</v>
      </c>
    </row>
    <row r="25" spans="3:7" x14ac:dyDescent="0.35">
      <c r="C25" s="72" t="s">
        <v>663</v>
      </c>
      <c r="D25" t="e">
        <f>VLOOKUP(C25,'Monthly Report Dec-25'!O:O,1,0)</f>
        <v>#N/A</v>
      </c>
      <c r="F25" s="75" t="s">
        <v>663</v>
      </c>
      <c r="G25" t="e">
        <f>VLOOKUP(F25,'Monthly Report Dec-25'!O118:O140,1,0)</f>
        <v>#N/A</v>
      </c>
    </row>
    <row r="26" spans="3:7" x14ac:dyDescent="0.35">
      <c r="C26" s="72" t="s">
        <v>664</v>
      </c>
      <c r="D26" t="e">
        <f>VLOOKUP(C26,'Monthly Report Dec-25'!O:O,1,0)</f>
        <v>#N/A</v>
      </c>
      <c r="F26" s="75" t="s">
        <v>664</v>
      </c>
      <c r="G26" t="e">
        <f>VLOOKUP(F26,'Monthly Report Dec-25'!O118:O141,1,0)</f>
        <v>#N/A</v>
      </c>
    </row>
    <row r="27" spans="3:7" x14ac:dyDescent="0.35">
      <c r="C27" s="72" t="s">
        <v>665</v>
      </c>
      <c r="D27" t="e">
        <f>VLOOKUP(C27,'Monthly Report Dec-25'!O:O,1,0)</f>
        <v>#N/A</v>
      </c>
      <c r="F27" s="75" t="s">
        <v>665</v>
      </c>
      <c r="G27" t="e">
        <f>VLOOKUP(F27,'Monthly Report Dec-25'!O118:O142,1,0)</f>
        <v>#N/A</v>
      </c>
    </row>
    <row r="28" spans="3:7" x14ac:dyDescent="0.35">
      <c r="C28" s="72" t="s">
        <v>666</v>
      </c>
      <c r="D28" t="e">
        <f>VLOOKUP(C28,'Monthly Report Dec-25'!O:O,1,0)</f>
        <v>#N/A</v>
      </c>
      <c r="F28" s="75" t="s">
        <v>666</v>
      </c>
      <c r="G28" t="e">
        <f>VLOOKUP(F28,'Monthly Report Dec-25'!O118:O143,1,0)</f>
        <v>#N/A</v>
      </c>
    </row>
    <row r="29" spans="3:7" x14ac:dyDescent="0.35">
      <c r="C29" s="72" t="s">
        <v>667</v>
      </c>
      <c r="D29" t="e">
        <f>VLOOKUP(C29,'Monthly Report Dec-25'!O:O,1,0)</f>
        <v>#N/A</v>
      </c>
      <c r="F29" s="75" t="s">
        <v>667</v>
      </c>
      <c r="G29" t="e">
        <f>VLOOKUP(F29,'Monthly Report Dec-25'!O118:O144,1,0)</f>
        <v>#N/A</v>
      </c>
    </row>
    <row r="30" spans="3:7" x14ac:dyDescent="0.35">
      <c r="C30" s="72" t="s">
        <v>668</v>
      </c>
      <c r="D30" t="e">
        <f>VLOOKUP(C30,'Monthly Report Dec-25'!O:O,1,0)</f>
        <v>#N/A</v>
      </c>
      <c r="F30" s="75" t="s">
        <v>668</v>
      </c>
      <c r="G30" t="e">
        <f>VLOOKUP(F30,'Monthly Report Dec-25'!O118:O145,1,0)</f>
        <v>#N/A</v>
      </c>
    </row>
    <row r="31" spans="3:7" x14ac:dyDescent="0.35">
      <c r="C31" s="72" t="s">
        <v>669</v>
      </c>
      <c r="D31" t="e">
        <f>VLOOKUP(C31,'Monthly Report Dec-25'!O:O,1,0)</f>
        <v>#N/A</v>
      </c>
      <c r="F31" s="75" t="s">
        <v>669</v>
      </c>
      <c r="G31" t="e">
        <f>VLOOKUP(F31,'Monthly Report Dec-25'!O118:O146,1,0)</f>
        <v>#N/A</v>
      </c>
    </row>
    <row r="32" spans="3:7" x14ac:dyDescent="0.35">
      <c r="C32" s="72" t="s">
        <v>670</v>
      </c>
      <c r="D32" t="e">
        <f>VLOOKUP(C32,'Monthly Report Dec-25'!O:O,1,0)</f>
        <v>#N/A</v>
      </c>
      <c r="F32" s="75" t="s">
        <v>670</v>
      </c>
      <c r="G32" t="e">
        <f>VLOOKUP(F32,'Monthly Report Dec-25'!O118:O147,1,0)</f>
        <v>#N/A</v>
      </c>
    </row>
    <row r="33" spans="3:7" x14ac:dyDescent="0.35">
      <c r="C33" s="72" t="s">
        <v>671</v>
      </c>
      <c r="D33" t="e">
        <f>VLOOKUP(C33,'Monthly Report Dec-25'!O:O,1,0)</f>
        <v>#N/A</v>
      </c>
      <c r="F33" s="75" t="s">
        <v>671</v>
      </c>
      <c r="G33" t="e">
        <f>VLOOKUP(F33,'Monthly Report Dec-25'!O118:O148,1,0)</f>
        <v>#N/A</v>
      </c>
    </row>
    <row r="34" spans="3:7" x14ac:dyDescent="0.35">
      <c r="C34" s="72" t="s">
        <v>672</v>
      </c>
      <c r="D34" t="e">
        <f>VLOOKUP(C34,'Monthly Report Dec-25'!O:O,1,0)</f>
        <v>#N/A</v>
      </c>
      <c r="F34" s="75" t="s">
        <v>672</v>
      </c>
      <c r="G34" t="e">
        <f>VLOOKUP(F34,'Monthly Report Dec-25'!O118:O149,1,0)</f>
        <v>#N/A</v>
      </c>
    </row>
    <row r="35" spans="3:7" x14ac:dyDescent="0.35">
      <c r="C35" s="72" t="s">
        <v>673</v>
      </c>
      <c r="D35" t="e">
        <f>VLOOKUP(C35,'Monthly Report Dec-25'!O:O,1,0)</f>
        <v>#N/A</v>
      </c>
      <c r="F35" s="75" t="s">
        <v>673</v>
      </c>
      <c r="G35" t="e">
        <f>VLOOKUP(F35,'Monthly Report Dec-25'!O118:O150,1,0)</f>
        <v>#N/A</v>
      </c>
    </row>
    <row r="36" spans="3:7" x14ac:dyDescent="0.35">
      <c r="C36" s="72" t="s">
        <v>674</v>
      </c>
      <c r="D36" t="e">
        <f>VLOOKUP(C36,'Monthly Report Dec-25'!O:O,1,0)</f>
        <v>#N/A</v>
      </c>
      <c r="F36" s="75" t="s">
        <v>674</v>
      </c>
      <c r="G36" t="e">
        <f>VLOOKUP(F36,'Monthly Report Dec-25'!O118:O151,1,0)</f>
        <v>#N/A</v>
      </c>
    </row>
    <row r="37" spans="3:7" x14ac:dyDescent="0.35">
      <c r="C37" s="72" t="s">
        <v>675</v>
      </c>
      <c r="D37" t="e">
        <f>VLOOKUP(C37,'Monthly Report Dec-25'!O:O,1,0)</f>
        <v>#N/A</v>
      </c>
      <c r="F37" s="75" t="s">
        <v>675</v>
      </c>
      <c r="G37" t="e">
        <f>VLOOKUP(F37,'Monthly Report Dec-25'!O118:O152,1,0)</f>
        <v>#N/A</v>
      </c>
    </row>
    <row r="38" spans="3:7" x14ac:dyDescent="0.35">
      <c r="C38" s="72" t="s">
        <v>676</v>
      </c>
      <c r="D38" t="e">
        <f>VLOOKUP(C38,'Monthly Report Dec-25'!O:O,1,0)</f>
        <v>#N/A</v>
      </c>
      <c r="F38" s="75" t="s">
        <v>676</v>
      </c>
      <c r="G38" t="e">
        <f>VLOOKUP(F38,'Monthly Report Dec-25'!O118:O153,1,0)</f>
        <v>#N/A</v>
      </c>
    </row>
    <row r="39" spans="3:7" x14ac:dyDescent="0.35">
      <c r="C39" s="72" t="s">
        <v>677</v>
      </c>
      <c r="D39" t="e">
        <f>VLOOKUP(C39,'Monthly Report Dec-25'!O:O,1,0)</f>
        <v>#N/A</v>
      </c>
      <c r="F39" s="75" t="s">
        <v>677</v>
      </c>
      <c r="G39" t="e">
        <f>VLOOKUP(F39,'Monthly Report Dec-25'!O118:O154,1,0)</f>
        <v>#N/A</v>
      </c>
    </row>
    <row r="40" spans="3:7" x14ac:dyDescent="0.35">
      <c r="C40" s="72" t="s">
        <v>678</v>
      </c>
      <c r="D40" t="e">
        <f>VLOOKUP(C40,'Monthly Report Dec-25'!O:O,1,0)</f>
        <v>#N/A</v>
      </c>
      <c r="F40" s="75" t="s">
        <v>678</v>
      </c>
      <c r="G40" t="e">
        <f>VLOOKUP(F40,'Monthly Report Dec-25'!O118:O155,1,0)</f>
        <v>#N/A</v>
      </c>
    </row>
    <row r="41" spans="3:7" x14ac:dyDescent="0.35">
      <c r="C41" s="72" t="s">
        <v>679</v>
      </c>
      <c r="D41" t="e">
        <f>VLOOKUP(C41,'Monthly Report Dec-25'!O:O,1,0)</f>
        <v>#N/A</v>
      </c>
      <c r="F41" s="75" t="s">
        <v>679</v>
      </c>
      <c r="G41" t="e">
        <f>VLOOKUP(F41,'Monthly Report Dec-25'!O118:O156,1,0)</f>
        <v>#N/A</v>
      </c>
    </row>
    <row r="42" spans="3:7" x14ac:dyDescent="0.35">
      <c r="C42" s="72" t="s">
        <v>680</v>
      </c>
      <c r="D42" t="e">
        <f>VLOOKUP(C42,'Monthly Report Dec-25'!O:O,1,0)</f>
        <v>#N/A</v>
      </c>
      <c r="F42" s="75" t="s">
        <v>680</v>
      </c>
      <c r="G42" t="e">
        <f>VLOOKUP(F42,'Monthly Report Dec-25'!O118:O157,1,0)</f>
        <v>#N/A</v>
      </c>
    </row>
    <row r="43" spans="3:7" x14ac:dyDescent="0.35">
      <c r="C43" s="72" t="s">
        <v>681</v>
      </c>
      <c r="D43" t="e">
        <f>VLOOKUP(C43,'Monthly Report Dec-25'!O:O,1,0)</f>
        <v>#N/A</v>
      </c>
      <c r="F43" s="75" t="s">
        <v>681</v>
      </c>
      <c r="G43" t="e">
        <f>VLOOKUP(F43,'Monthly Report Dec-25'!O118:O158,1,0)</f>
        <v>#N/A</v>
      </c>
    </row>
    <row r="44" spans="3:7" x14ac:dyDescent="0.35">
      <c r="C44" s="72" t="s">
        <v>682</v>
      </c>
      <c r="D44" t="e">
        <f>VLOOKUP(C44,'Monthly Report Dec-25'!O:O,1,0)</f>
        <v>#N/A</v>
      </c>
      <c r="F44" s="75" t="s">
        <v>682</v>
      </c>
      <c r="G44" t="e">
        <f>VLOOKUP(F44,'Monthly Report Dec-25'!O118:O159,1,0)</f>
        <v>#N/A</v>
      </c>
    </row>
    <row r="45" spans="3:7" x14ac:dyDescent="0.35">
      <c r="C45" s="72" t="s">
        <v>683</v>
      </c>
      <c r="D45" t="e">
        <f>VLOOKUP(C45,'Monthly Report Dec-25'!O:O,1,0)</f>
        <v>#N/A</v>
      </c>
      <c r="F45" s="75" t="s">
        <v>683</v>
      </c>
      <c r="G45" t="e">
        <f>VLOOKUP(F45,'Monthly Report Dec-25'!O118:O160,1,0)</f>
        <v>#N/A</v>
      </c>
    </row>
    <row r="46" spans="3:7" x14ac:dyDescent="0.35">
      <c r="C46" s="72" t="s">
        <v>684</v>
      </c>
      <c r="D46" t="e">
        <f>VLOOKUP(C46,'Monthly Report Dec-25'!O:O,1,0)</f>
        <v>#N/A</v>
      </c>
      <c r="F46" s="75" t="s">
        <v>684</v>
      </c>
      <c r="G46" t="e">
        <f>VLOOKUP(F46,'Monthly Report Dec-25'!O118:O161,1,0)</f>
        <v>#N/A</v>
      </c>
    </row>
    <row r="47" spans="3:7" x14ac:dyDescent="0.35">
      <c r="C47" s="72" t="s">
        <v>685</v>
      </c>
      <c r="D47" t="e">
        <f>VLOOKUP(C47,'Monthly Report Dec-25'!O:O,1,0)</f>
        <v>#N/A</v>
      </c>
      <c r="F47" s="75" t="s">
        <v>685</v>
      </c>
      <c r="G47" t="e">
        <f>VLOOKUP(F47,'Monthly Report Dec-25'!O118:O162,1,0)</f>
        <v>#N/A</v>
      </c>
    </row>
    <row r="48" spans="3:7" x14ac:dyDescent="0.35">
      <c r="C48" s="72" t="s">
        <v>686</v>
      </c>
      <c r="D48" t="e">
        <f>VLOOKUP(C48,'Monthly Report Dec-25'!O:O,1,0)</f>
        <v>#N/A</v>
      </c>
      <c r="F48" s="75" t="s">
        <v>686</v>
      </c>
      <c r="G48" t="e">
        <f>VLOOKUP(F48,'Monthly Report Dec-25'!O118:O163,1,0)</f>
        <v>#N/A</v>
      </c>
    </row>
    <row r="49" spans="3:7" x14ac:dyDescent="0.35">
      <c r="C49" s="72" t="s">
        <v>687</v>
      </c>
      <c r="D49" t="e">
        <f>VLOOKUP(C49,'Monthly Report Dec-25'!O:O,1,0)</f>
        <v>#N/A</v>
      </c>
      <c r="F49" s="75" t="s">
        <v>687</v>
      </c>
      <c r="G49" t="e">
        <f>VLOOKUP(F49,'Monthly Report Dec-25'!O118:O164,1,0)</f>
        <v>#N/A</v>
      </c>
    </row>
    <row r="50" spans="3:7" x14ac:dyDescent="0.35">
      <c r="C50" s="72" t="s">
        <v>688</v>
      </c>
      <c r="D50" t="e">
        <f>VLOOKUP(C50,'Monthly Report Dec-25'!O:O,1,0)</f>
        <v>#N/A</v>
      </c>
      <c r="F50" s="75" t="s">
        <v>688</v>
      </c>
      <c r="G50" t="e">
        <f>VLOOKUP(F50,'Monthly Report Dec-25'!O118:O165,1,0)</f>
        <v>#N/A</v>
      </c>
    </row>
    <row r="51" spans="3:7" x14ac:dyDescent="0.35">
      <c r="C51" s="72" t="s">
        <v>689</v>
      </c>
      <c r="D51" t="e">
        <f>VLOOKUP(C51,'Monthly Report Dec-25'!O:O,1,0)</f>
        <v>#N/A</v>
      </c>
      <c r="F51" s="75" t="s">
        <v>689</v>
      </c>
      <c r="G51" t="e">
        <f>VLOOKUP(F51,'Monthly Report Dec-25'!O118:O166,1,0)</f>
        <v>#N/A</v>
      </c>
    </row>
    <row r="52" spans="3:7" x14ac:dyDescent="0.35">
      <c r="C52" s="72" t="s">
        <v>690</v>
      </c>
      <c r="D52" t="e">
        <f>VLOOKUP(C52,'Monthly Report Dec-25'!O:O,1,0)</f>
        <v>#N/A</v>
      </c>
      <c r="F52" s="75" t="s">
        <v>690</v>
      </c>
      <c r="G52" t="e">
        <f>VLOOKUP(F52,'Monthly Report Dec-25'!O118:O167,1,0)</f>
        <v>#N/A</v>
      </c>
    </row>
    <row r="53" spans="3:7" x14ac:dyDescent="0.35">
      <c r="C53" s="72" t="s">
        <v>691</v>
      </c>
      <c r="D53" t="e">
        <f>VLOOKUP(C53,'Monthly Report Dec-25'!O:O,1,0)</f>
        <v>#N/A</v>
      </c>
      <c r="F53" s="75" t="s">
        <v>691</v>
      </c>
      <c r="G53" t="e">
        <f>VLOOKUP(F53,'Monthly Report Dec-25'!O118:O168,1,0)</f>
        <v>#N/A</v>
      </c>
    </row>
    <row r="54" spans="3:7" x14ac:dyDescent="0.35">
      <c r="C54" s="72" t="s">
        <v>692</v>
      </c>
      <c r="D54" t="e">
        <f>VLOOKUP(C54,'Monthly Report Dec-25'!O:O,1,0)</f>
        <v>#N/A</v>
      </c>
      <c r="F54" s="75" t="s">
        <v>692</v>
      </c>
      <c r="G54" t="e">
        <f>VLOOKUP(F54,'Monthly Report Dec-25'!O118:O169,1,0)</f>
        <v>#N/A</v>
      </c>
    </row>
    <row r="55" spans="3:7" x14ac:dyDescent="0.35">
      <c r="C55" s="72" t="s">
        <v>693</v>
      </c>
      <c r="D55" t="e">
        <f>VLOOKUP(C55,'Monthly Report Dec-25'!O:O,1,0)</f>
        <v>#N/A</v>
      </c>
      <c r="F55" s="75" t="s">
        <v>693</v>
      </c>
      <c r="G55" t="e">
        <f>VLOOKUP(F55,'Monthly Report Dec-25'!O118:O170,1,0)</f>
        <v>#N/A</v>
      </c>
    </row>
    <row r="56" spans="3:7" x14ac:dyDescent="0.35">
      <c r="C56" s="72" t="s">
        <v>694</v>
      </c>
      <c r="D56" t="e">
        <f>VLOOKUP(C56,'Monthly Report Dec-25'!O:O,1,0)</f>
        <v>#N/A</v>
      </c>
      <c r="F56" s="75" t="s">
        <v>694</v>
      </c>
      <c r="G56" t="e">
        <f>VLOOKUP(F56,'Monthly Report Dec-25'!O118:O171,1,0)</f>
        <v>#N/A</v>
      </c>
    </row>
    <row r="57" spans="3:7" x14ac:dyDescent="0.35">
      <c r="C57" s="72" t="s">
        <v>695</v>
      </c>
      <c r="D57" t="e">
        <f>VLOOKUP(C57,'Monthly Report Dec-25'!O:O,1,0)</f>
        <v>#N/A</v>
      </c>
      <c r="F57" s="75" t="s">
        <v>695</v>
      </c>
      <c r="G57" t="e">
        <f>VLOOKUP(F57,'Monthly Report Dec-25'!O118:O172,1,0)</f>
        <v>#N/A</v>
      </c>
    </row>
    <row r="58" spans="3:7" x14ac:dyDescent="0.35">
      <c r="C58" s="72" t="s">
        <v>696</v>
      </c>
      <c r="D58" t="e">
        <f>VLOOKUP(C58,'Monthly Report Dec-25'!O:O,1,0)</f>
        <v>#N/A</v>
      </c>
      <c r="F58" s="75" t="s">
        <v>696</v>
      </c>
      <c r="G58" t="e">
        <f>VLOOKUP(F58,'Monthly Report Dec-25'!O118:O173,1,0)</f>
        <v>#N/A</v>
      </c>
    </row>
    <row r="59" spans="3:7" x14ac:dyDescent="0.35">
      <c r="C59" s="72" t="s">
        <v>697</v>
      </c>
      <c r="D59" t="e">
        <f>VLOOKUP(C59,'Monthly Report Dec-25'!O:O,1,0)</f>
        <v>#N/A</v>
      </c>
      <c r="F59" s="75" t="s">
        <v>697</v>
      </c>
      <c r="G59" t="e">
        <f>VLOOKUP(F59,'Monthly Report Dec-25'!O118:O174,1,0)</f>
        <v>#N/A</v>
      </c>
    </row>
    <row r="60" spans="3:7" x14ac:dyDescent="0.35">
      <c r="C60" s="72" t="s">
        <v>698</v>
      </c>
      <c r="D60" t="e">
        <f>VLOOKUP(C60,'Monthly Report Dec-25'!O:O,1,0)</f>
        <v>#N/A</v>
      </c>
      <c r="F60" s="75" t="s">
        <v>698</v>
      </c>
      <c r="G60" t="e">
        <f>VLOOKUP(F60,'Monthly Report Dec-25'!O118:O175,1,0)</f>
        <v>#N/A</v>
      </c>
    </row>
    <row r="61" spans="3:7" x14ac:dyDescent="0.35">
      <c r="C61" s="72" t="s">
        <v>699</v>
      </c>
      <c r="D61" t="e">
        <f>VLOOKUP(C61,'Monthly Report Dec-25'!O:O,1,0)</f>
        <v>#N/A</v>
      </c>
      <c r="F61" s="75" t="s">
        <v>699</v>
      </c>
      <c r="G61" t="e">
        <f>VLOOKUP(F61,'Monthly Report Dec-25'!O118:O176,1,0)</f>
        <v>#N/A</v>
      </c>
    </row>
    <row r="62" spans="3:7" x14ac:dyDescent="0.35">
      <c r="C62" s="72" t="s">
        <v>700</v>
      </c>
      <c r="D62" t="e">
        <f>VLOOKUP(C62,'Monthly Report Dec-25'!O:O,1,0)</f>
        <v>#N/A</v>
      </c>
      <c r="F62" s="75" t="s">
        <v>700</v>
      </c>
      <c r="G62" t="e">
        <f>VLOOKUP(F62,'Monthly Report Dec-25'!O118:O177,1,0)</f>
        <v>#N/A</v>
      </c>
    </row>
    <row r="63" spans="3:7" x14ac:dyDescent="0.35">
      <c r="C63" s="72" t="s">
        <v>701</v>
      </c>
      <c r="D63" t="e">
        <f>VLOOKUP(C63,'Monthly Report Dec-25'!O:O,1,0)</f>
        <v>#N/A</v>
      </c>
      <c r="F63" s="75" t="s">
        <v>701</v>
      </c>
      <c r="G63" t="e">
        <f>VLOOKUP(F63,'Monthly Report Dec-25'!O118:O178,1,0)</f>
        <v>#N/A</v>
      </c>
    </row>
    <row r="64" spans="3:7" x14ac:dyDescent="0.35">
      <c r="C64" s="72" t="s">
        <v>702</v>
      </c>
      <c r="D64" t="e">
        <f>VLOOKUP(C64,'Monthly Report Dec-25'!O:O,1,0)</f>
        <v>#N/A</v>
      </c>
      <c r="F64" s="75" t="s">
        <v>702</v>
      </c>
      <c r="G64" t="e">
        <f>VLOOKUP(F64,'Monthly Report Dec-25'!O118:O179,1,0)</f>
        <v>#N/A</v>
      </c>
    </row>
    <row r="65" spans="3:7" x14ac:dyDescent="0.35">
      <c r="C65" s="72" t="s">
        <v>703</v>
      </c>
      <c r="D65" t="e">
        <f>VLOOKUP(C65,'Monthly Report Dec-25'!O:O,1,0)</f>
        <v>#N/A</v>
      </c>
      <c r="F65" s="75" t="s">
        <v>703</v>
      </c>
      <c r="G65" t="e">
        <f>VLOOKUP(F65,'Monthly Report Dec-25'!O118:O180,1,0)</f>
        <v>#N/A</v>
      </c>
    </row>
    <row r="66" spans="3:7" x14ac:dyDescent="0.35">
      <c r="C66" s="72" t="s">
        <v>704</v>
      </c>
      <c r="D66" t="e">
        <f>VLOOKUP(C66,'Monthly Report Dec-25'!O:O,1,0)</f>
        <v>#N/A</v>
      </c>
      <c r="F66" s="75" t="s">
        <v>704</v>
      </c>
      <c r="G66" t="e">
        <f>VLOOKUP(F66,'Monthly Report Dec-25'!O118:O181,1,0)</f>
        <v>#N/A</v>
      </c>
    </row>
    <row r="67" spans="3:7" ht="15" customHeight="1" thickBot="1" x14ac:dyDescent="0.4">
      <c r="C67" s="73" t="s">
        <v>705</v>
      </c>
      <c r="D67" t="e">
        <f>VLOOKUP(C67,'Monthly Report Dec-25'!O:O,1,0)</f>
        <v>#N/A</v>
      </c>
      <c r="F67" s="76" t="s">
        <v>705</v>
      </c>
      <c r="G67" t="e">
        <f>VLOOKUP(F67,'Monthly Report Dec-25'!O119:O182,1,0)</f>
        <v>#N/A</v>
      </c>
    </row>
  </sheetData>
  <autoFilter ref="C1:D67" xr:uid="{00000000-0009-0000-0000-000004000000}"/>
  <pageMargins left="0.7" right="0.7" top="0.75" bottom="0.75" header="0.3" footer="0.3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8"/>
  <sheetViews>
    <sheetView topLeftCell="F1" workbookViewId="0">
      <selection activeCell="D7" sqref="D7"/>
    </sheetView>
  </sheetViews>
  <sheetFormatPr defaultRowHeight="14.5" x14ac:dyDescent="0.35"/>
  <cols>
    <col min="1" max="1" width="26.6328125" bestFit="1" customWidth="1"/>
    <col min="2" max="2" width="25.90625" bestFit="1" customWidth="1"/>
    <col min="12" max="12" width="19.1796875" style="10" bestFit="1" customWidth="1"/>
    <col min="14" max="14" width="15.1796875" style="10" bestFit="1" customWidth="1"/>
  </cols>
  <sheetData>
    <row r="1" spans="1:16" x14ac:dyDescent="0.35">
      <c r="F1" s="11" t="s">
        <v>23</v>
      </c>
      <c r="L1" s="11" t="s">
        <v>170</v>
      </c>
      <c r="N1" s="11" t="s">
        <v>188</v>
      </c>
      <c r="P1" s="16" t="s">
        <v>31</v>
      </c>
    </row>
    <row r="2" spans="1:16" x14ac:dyDescent="0.35">
      <c r="F2" s="33" t="s">
        <v>28</v>
      </c>
      <c r="H2" t="str">
        <f t="array" ref="H2:H13">_xlfn.UNIQUE('Monthly Report Dec-25'!C2:C417)</f>
        <v>Madhav Infra Projects Ltd.</v>
      </c>
      <c r="L2" s="24" t="s">
        <v>21</v>
      </c>
      <c r="N2" s="16" t="s">
        <v>93</v>
      </c>
      <c r="P2" s="15" t="s">
        <v>115</v>
      </c>
    </row>
    <row r="3" spans="1:16" x14ac:dyDescent="0.35">
      <c r="A3" s="28" t="s">
        <v>706</v>
      </c>
      <c r="B3" t="s">
        <v>707</v>
      </c>
      <c r="F3" s="25" t="s">
        <v>40</v>
      </c>
      <c r="H3" t="str">
        <v>True Sun Trading Company</v>
      </c>
      <c r="L3" s="9" t="s">
        <v>76</v>
      </c>
      <c r="N3" s="16" t="s">
        <v>94</v>
      </c>
      <c r="P3" s="16" t="s">
        <v>29</v>
      </c>
    </row>
    <row r="4" spans="1:16" x14ac:dyDescent="0.35">
      <c r="A4" s="29" t="s">
        <v>90</v>
      </c>
      <c r="B4">
        <v>20</v>
      </c>
      <c r="F4" s="16" t="s">
        <v>38</v>
      </c>
      <c r="H4" t="str">
        <v>Panasonic</v>
      </c>
      <c r="L4" s="10" t="s">
        <v>77</v>
      </c>
      <c r="N4" s="9" t="s">
        <v>96</v>
      </c>
      <c r="P4" s="16" t="s">
        <v>33</v>
      </c>
    </row>
    <row r="5" spans="1:16" x14ac:dyDescent="0.35">
      <c r="A5" s="29" t="s">
        <v>77</v>
      </c>
      <c r="B5">
        <v>5</v>
      </c>
      <c r="F5" s="16" t="s">
        <v>160</v>
      </c>
      <c r="H5" t="str">
        <v>Continuum</v>
      </c>
      <c r="L5" s="9" t="s">
        <v>152</v>
      </c>
      <c r="P5" s="8" t="s">
        <v>116</v>
      </c>
    </row>
    <row r="6" spans="1:16" x14ac:dyDescent="0.35">
      <c r="A6" s="29" t="s">
        <v>85</v>
      </c>
      <c r="B6">
        <v>6</v>
      </c>
      <c r="F6" s="8" t="s">
        <v>80</v>
      </c>
      <c r="H6" t="str">
        <v>KVK Engineering</v>
      </c>
      <c r="L6" s="9" t="s">
        <v>79</v>
      </c>
      <c r="P6" s="8" t="s">
        <v>117</v>
      </c>
    </row>
    <row r="7" spans="1:16" x14ac:dyDescent="0.35">
      <c r="A7" s="29" t="s">
        <v>76</v>
      </c>
      <c r="B7">
        <v>2</v>
      </c>
      <c r="F7" s="9" t="s">
        <v>162</v>
      </c>
      <c r="H7" t="str">
        <v>Blupine Jakson Green</v>
      </c>
      <c r="L7" s="9" t="s">
        <v>81</v>
      </c>
      <c r="P7" s="40" t="s">
        <v>422</v>
      </c>
    </row>
    <row r="8" spans="1:16" x14ac:dyDescent="0.35">
      <c r="A8" s="29" t="s">
        <v>21</v>
      </c>
      <c r="B8">
        <v>98</v>
      </c>
      <c r="F8" s="9" t="s">
        <v>84</v>
      </c>
      <c r="H8" t="str">
        <v>Arsiga Solar</v>
      </c>
      <c r="L8" s="9" t="s">
        <v>83</v>
      </c>
      <c r="P8" s="24" t="s">
        <v>119</v>
      </c>
    </row>
    <row r="9" spans="1:16" x14ac:dyDescent="0.35">
      <c r="A9" s="29" t="s">
        <v>152</v>
      </c>
      <c r="B9">
        <v>11</v>
      </c>
      <c r="F9" s="9" t="s">
        <v>30</v>
      </c>
      <c r="H9" t="str">
        <v>Solar Square</v>
      </c>
      <c r="L9" s="9" t="s">
        <v>85</v>
      </c>
      <c r="P9" s="16" t="s">
        <v>120</v>
      </c>
    </row>
    <row r="10" spans="1:16" x14ac:dyDescent="0.35">
      <c r="A10" s="29" t="s">
        <v>79</v>
      </c>
      <c r="B10">
        <v>1</v>
      </c>
      <c r="H10" t="str">
        <v>Shakti Pump</v>
      </c>
      <c r="L10" s="16" t="s">
        <v>86</v>
      </c>
    </row>
    <row r="11" spans="1:16" x14ac:dyDescent="0.35">
      <c r="A11" s="29" t="s">
        <v>708</v>
      </c>
      <c r="H11" t="str">
        <v>Blupine Energy</v>
      </c>
      <c r="L11" s="16" t="s">
        <v>88</v>
      </c>
    </row>
    <row r="12" spans="1:16" x14ac:dyDescent="0.35">
      <c r="A12" s="29" t="s">
        <v>81</v>
      </c>
      <c r="B12">
        <v>58</v>
      </c>
      <c r="H12" t="str">
        <v>ORB Energy</v>
      </c>
      <c r="L12" s="9" t="s">
        <v>89</v>
      </c>
    </row>
    <row r="13" spans="1:16" x14ac:dyDescent="0.35">
      <c r="A13" s="29" t="s">
        <v>83</v>
      </c>
      <c r="B13">
        <v>9</v>
      </c>
      <c r="H13" t="str">
        <v>Axitec Energy</v>
      </c>
      <c r="L13" s="16" t="s">
        <v>90</v>
      </c>
    </row>
    <row r="14" spans="1:16" x14ac:dyDescent="0.35">
      <c r="A14" s="29" t="s">
        <v>86</v>
      </c>
      <c r="B14">
        <v>1</v>
      </c>
      <c r="L14" s="9" t="s">
        <v>15</v>
      </c>
    </row>
    <row r="15" spans="1:16" x14ac:dyDescent="0.35">
      <c r="A15" s="29" t="s">
        <v>88</v>
      </c>
      <c r="B15">
        <v>181</v>
      </c>
    </row>
    <row r="16" spans="1:16" x14ac:dyDescent="0.35">
      <c r="A16" s="29" t="s">
        <v>89</v>
      </c>
      <c r="B16">
        <v>1</v>
      </c>
    </row>
    <row r="17" spans="1:2" x14ac:dyDescent="0.35">
      <c r="A17" s="29" t="s">
        <v>15</v>
      </c>
      <c r="B17">
        <v>23</v>
      </c>
    </row>
    <row r="18" spans="1:2" x14ac:dyDescent="0.35">
      <c r="A18" s="29" t="s">
        <v>114</v>
      </c>
      <c r="B18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MSI Report</vt:lpstr>
      <vt:lpstr>Daily Report Dec-25</vt:lpstr>
      <vt:lpstr>Monthly Report Dec-25</vt:lpstr>
      <vt:lpstr>Sheet1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Utpal Mukerjee</dc:creator>
  <cp:lastModifiedBy>SERVICE DEPARTMENT</cp:lastModifiedBy>
  <dcterms:created xsi:type="dcterms:W3CDTF">2015-06-05T18:17:20Z</dcterms:created>
  <dcterms:modified xsi:type="dcterms:W3CDTF">2026-08-28T12:58:23Z</dcterms:modified>
</cp:coreProperties>
</file>