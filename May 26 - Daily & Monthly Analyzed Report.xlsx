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A2CAB887-7848-4C6E-B728-3AA5D1DF2FE1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" r:id="rId1"/>
    <sheet name="Daily Report May-26 " sheetId="2" r:id="rId2"/>
    <sheet name="Monthly Report May-26 (2)" sheetId="3" state="hidden" r:id="rId3"/>
    <sheet name="Monthly Report May-26 Cleaned" sheetId="4" r:id="rId4"/>
    <sheet name="May-26 Analysis" sheetId="5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1" i="5" l="1"/>
  <c r="B91" i="5"/>
  <c r="C90" i="5"/>
  <c r="B90" i="5"/>
  <c r="D89" i="5"/>
  <c r="B89" i="5"/>
  <c r="C88" i="5"/>
  <c r="B88" i="5"/>
  <c r="D87" i="5"/>
  <c r="B87" i="5"/>
  <c r="D86" i="5"/>
  <c r="B86" i="5"/>
  <c r="D85" i="5"/>
  <c r="B85" i="5"/>
  <c r="D84" i="5"/>
  <c r="B84" i="5"/>
  <c r="D83" i="5"/>
  <c r="C83" i="5"/>
  <c r="D82" i="5"/>
  <c r="C82" i="5"/>
  <c r="D81" i="5"/>
  <c r="C79" i="5"/>
  <c r="B79" i="5"/>
  <c r="D77" i="5"/>
  <c r="C77" i="5"/>
  <c r="D68" i="5"/>
  <c r="C68" i="5"/>
  <c r="B68" i="5"/>
  <c r="V74" i="1" s="1"/>
  <c r="D67" i="5"/>
  <c r="C67" i="5"/>
  <c r="B67" i="5"/>
  <c r="D66" i="5"/>
  <c r="C66" i="5"/>
  <c r="W72" i="1" s="1"/>
  <c r="B66" i="5"/>
  <c r="V72" i="1" s="1"/>
  <c r="D65" i="5"/>
  <c r="C65" i="5"/>
  <c r="W71" i="1" s="1"/>
  <c r="B65" i="5"/>
  <c r="D64" i="5"/>
  <c r="C64" i="5"/>
  <c r="B64" i="5"/>
  <c r="V70" i="1" s="1"/>
  <c r="D63" i="5"/>
  <c r="C63" i="5"/>
  <c r="W69" i="1" s="1"/>
  <c r="B63" i="5"/>
  <c r="V69" i="1" s="1"/>
  <c r="D62" i="5"/>
  <c r="C62" i="5"/>
  <c r="W68" i="1" s="1"/>
  <c r="B62" i="5"/>
  <c r="V68" i="1" s="1"/>
  <c r="D61" i="5"/>
  <c r="C61" i="5"/>
  <c r="W67" i="1" s="1"/>
  <c r="B61" i="5"/>
  <c r="D60" i="5"/>
  <c r="C60" i="5"/>
  <c r="B60" i="5"/>
  <c r="H59" i="5"/>
  <c r="D59" i="5"/>
  <c r="C59" i="5"/>
  <c r="W65" i="1" s="1"/>
  <c r="B59" i="5"/>
  <c r="V65" i="1" s="1"/>
  <c r="H58" i="5"/>
  <c r="D58" i="5"/>
  <c r="C58" i="5"/>
  <c r="W64" i="1" s="1"/>
  <c r="B58" i="5"/>
  <c r="V64" i="1" s="1"/>
  <c r="D57" i="5"/>
  <c r="C57" i="5"/>
  <c r="W63" i="1" s="1"/>
  <c r="B57" i="5"/>
  <c r="V63" i="1" s="1"/>
  <c r="H56" i="5"/>
  <c r="D56" i="5"/>
  <c r="C56" i="5"/>
  <c r="W62" i="1" s="1"/>
  <c r="B56" i="5"/>
  <c r="V62" i="1" s="1"/>
  <c r="D55" i="5"/>
  <c r="C55" i="5"/>
  <c r="W61" i="1" s="1"/>
  <c r="B55" i="5"/>
  <c r="V61" i="1" s="1"/>
  <c r="D54" i="5"/>
  <c r="C54" i="5"/>
  <c r="W60" i="1" s="1"/>
  <c r="B54" i="5"/>
  <c r="D53" i="5"/>
  <c r="C53" i="5"/>
  <c r="B53" i="5"/>
  <c r="V59" i="1" s="1"/>
  <c r="D52" i="5"/>
  <c r="C52" i="5"/>
  <c r="W58" i="1" s="1"/>
  <c r="B52" i="5"/>
  <c r="V58" i="1" s="1"/>
  <c r="D51" i="5"/>
  <c r="C51" i="5"/>
  <c r="W57" i="1" s="1"/>
  <c r="B51" i="5"/>
  <c r="V57" i="1" s="1"/>
  <c r="H50" i="5"/>
  <c r="V42" i="1" s="1"/>
  <c r="D50" i="5"/>
  <c r="C50" i="5"/>
  <c r="B50" i="5"/>
  <c r="V56" i="1" s="1"/>
  <c r="H49" i="5"/>
  <c r="D49" i="5"/>
  <c r="C49" i="5"/>
  <c r="B49" i="5"/>
  <c r="V55" i="1" s="1"/>
  <c r="H48" i="5"/>
  <c r="V40" i="1" s="1"/>
  <c r="D48" i="5"/>
  <c r="C48" i="5"/>
  <c r="W54" i="1" s="1"/>
  <c r="B48" i="5"/>
  <c r="V54" i="1" s="1"/>
  <c r="H47" i="5"/>
  <c r="V39" i="1" s="1"/>
  <c r="D47" i="5"/>
  <c r="C47" i="5"/>
  <c r="B47" i="5"/>
  <c r="H46" i="5"/>
  <c r="V38" i="1" s="1"/>
  <c r="D46" i="5"/>
  <c r="C46" i="5"/>
  <c r="W52" i="1" s="1"/>
  <c r="B46" i="5"/>
  <c r="V52" i="1" s="1"/>
  <c r="D45" i="5"/>
  <c r="C45" i="5"/>
  <c r="W51" i="1" s="1"/>
  <c r="B45" i="5"/>
  <c r="V51" i="1" s="1"/>
  <c r="D44" i="5"/>
  <c r="C44" i="5"/>
  <c r="W50" i="1" s="1"/>
  <c r="B44" i="5"/>
  <c r="V50" i="1" s="1"/>
  <c r="D43" i="5"/>
  <c r="C43" i="5"/>
  <c r="B43" i="5"/>
  <c r="D42" i="5"/>
  <c r="C42" i="5"/>
  <c r="W48" i="1" s="1"/>
  <c r="B42" i="5"/>
  <c r="V48" i="1" s="1"/>
  <c r="D41" i="5"/>
  <c r="C41" i="5"/>
  <c r="W47" i="1" s="1"/>
  <c r="B41" i="5"/>
  <c r="V47" i="1" s="1"/>
  <c r="D40" i="5"/>
  <c r="C40" i="5"/>
  <c r="W46" i="1" s="1"/>
  <c r="B40" i="5"/>
  <c r="V46" i="1" s="1"/>
  <c r="H38" i="5"/>
  <c r="H37" i="5"/>
  <c r="H35" i="5"/>
  <c r="H34" i="5"/>
  <c r="D34" i="5"/>
  <c r="C34" i="5"/>
  <c r="H33" i="5"/>
  <c r="D33" i="5"/>
  <c r="C33" i="5"/>
  <c r="B33" i="5" s="1"/>
  <c r="H32" i="5"/>
  <c r="D32" i="5"/>
  <c r="C32" i="5"/>
  <c r="D31" i="5"/>
  <c r="C31" i="5"/>
  <c r="D30" i="5"/>
  <c r="C30" i="5"/>
  <c r="D29" i="5"/>
  <c r="C29" i="5"/>
  <c r="D28" i="5"/>
  <c r="C28" i="5"/>
  <c r="H27" i="5"/>
  <c r="D27" i="5"/>
  <c r="C27" i="5"/>
  <c r="H26" i="5"/>
  <c r="V20" i="1" s="1"/>
  <c r="D26" i="5"/>
  <c r="C26" i="5"/>
  <c r="H25" i="5"/>
  <c r="D25" i="5"/>
  <c r="C25" i="5"/>
  <c r="H24" i="5"/>
  <c r="V18" i="1" s="1"/>
  <c r="D24" i="5"/>
  <c r="C24" i="5"/>
  <c r="H23" i="5"/>
  <c r="V17" i="1" s="1"/>
  <c r="D23" i="5"/>
  <c r="C23" i="5"/>
  <c r="H22" i="5"/>
  <c r="V16" i="1" s="1"/>
  <c r="D22" i="5"/>
  <c r="H21" i="5"/>
  <c r="V15" i="1" s="1"/>
  <c r="D21" i="5"/>
  <c r="C21" i="5"/>
  <c r="H20" i="5"/>
  <c r="V14" i="1" s="1"/>
  <c r="D20" i="5"/>
  <c r="C20" i="5"/>
  <c r="D19" i="5"/>
  <c r="C19" i="5"/>
  <c r="B19" i="5" s="1"/>
  <c r="V4" i="1" s="1"/>
  <c r="B13" i="5"/>
  <c r="E5" i="5"/>
  <c r="D5" i="5"/>
  <c r="H6" i="1" s="1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W74" i="1"/>
  <c r="U74" i="1"/>
  <c r="W73" i="1"/>
  <c r="V73" i="1"/>
  <c r="U73" i="1"/>
  <c r="U72" i="1"/>
  <c r="V71" i="1"/>
  <c r="U71" i="1"/>
  <c r="W70" i="1"/>
  <c r="U70" i="1"/>
  <c r="U69" i="1"/>
  <c r="U68" i="1"/>
  <c r="V67" i="1"/>
  <c r="U67" i="1"/>
  <c r="W66" i="1"/>
  <c r="V66" i="1"/>
  <c r="U66" i="1"/>
  <c r="U65" i="1"/>
  <c r="U64" i="1"/>
  <c r="U63" i="1"/>
  <c r="U62" i="1"/>
  <c r="U61" i="1"/>
  <c r="V60" i="1"/>
  <c r="U60" i="1"/>
  <c r="W59" i="1"/>
  <c r="U59" i="1"/>
  <c r="U58" i="1"/>
  <c r="U57" i="1"/>
  <c r="W56" i="1"/>
  <c r="U56" i="1"/>
  <c r="W55" i="1"/>
  <c r="U55" i="1"/>
  <c r="U54" i="1"/>
  <c r="W53" i="1"/>
  <c r="V53" i="1"/>
  <c r="U53" i="1"/>
  <c r="U52" i="1"/>
  <c r="U51" i="1"/>
  <c r="U50" i="1"/>
  <c r="W49" i="1"/>
  <c r="V49" i="1"/>
  <c r="U49" i="1"/>
  <c r="U48" i="1"/>
  <c r="U47" i="1"/>
  <c r="U46" i="1"/>
  <c r="U42" i="1"/>
  <c r="V41" i="1"/>
  <c r="U41" i="1"/>
  <c r="U40" i="1"/>
  <c r="U39" i="1"/>
  <c r="U38" i="1"/>
  <c r="V27" i="1"/>
  <c r="V26" i="1"/>
  <c r="U26" i="1"/>
  <c r="V25" i="1"/>
  <c r="U25" i="1"/>
  <c r="V24" i="1"/>
  <c r="U24" i="1"/>
  <c r="V23" i="1"/>
  <c r="U23" i="1"/>
  <c r="U20" i="1"/>
  <c r="U19" i="1"/>
  <c r="U18" i="1"/>
  <c r="U17" i="1"/>
  <c r="U16" i="1"/>
  <c r="U15" i="1"/>
  <c r="U14" i="1"/>
  <c r="U13" i="1"/>
  <c r="U11" i="1"/>
  <c r="U10" i="1"/>
  <c r="U9" i="1"/>
  <c r="U8" i="1"/>
  <c r="U7" i="1"/>
  <c r="U6" i="1"/>
  <c r="U5" i="1"/>
  <c r="U4" i="1"/>
  <c r="AF2680" i="4"/>
  <c r="Y2680" i="4"/>
  <c r="R2680" i="4"/>
  <c r="Q2680" i="4"/>
  <c r="AF2679" i="4"/>
  <c r="Y2679" i="4"/>
  <c r="R2679" i="4"/>
  <c r="Q2679" i="4"/>
  <c r="AF2678" i="4"/>
  <c r="Y2678" i="4"/>
  <c r="R2678" i="4"/>
  <c r="Q2678" i="4"/>
  <c r="AF2677" i="4"/>
  <c r="Y2677" i="4"/>
  <c r="R2677" i="4"/>
  <c r="Q2677" i="4"/>
  <c r="AF2676" i="4"/>
  <c r="Y2676" i="4"/>
  <c r="R2676" i="4"/>
  <c r="Q2676" i="4"/>
  <c r="AF2675" i="4"/>
  <c r="Y2675" i="4"/>
  <c r="R2675" i="4"/>
  <c r="Q2675" i="4"/>
  <c r="AF2674" i="4"/>
  <c r="Y2674" i="4"/>
  <c r="R2674" i="4"/>
  <c r="Q2674" i="4"/>
  <c r="AF2673" i="4"/>
  <c r="Y2673" i="4"/>
  <c r="R2673" i="4"/>
  <c r="Q2673" i="4"/>
  <c r="AF2672" i="4"/>
  <c r="Y2672" i="4"/>
  <c r="R2672" i="4"/>
  <c r="Q2672" i="4"/>
  <c r="AF2671" i="4"/>
  <c r="Y2671" i="4"/>
  <c r="R2671" i="4"/>
  <c r="Q2671" i="4"/>
  <c r="AF2670" i="4"/>
  <c r="Y2670" i="4"/>
  <c r="R2670" i="4"/>
  <c r="Q2670" i="4"/>
  <c r="AF2669" i="4"/>
  <c r="Y2669" i="4"/>
  <c r="R2669" i="4"/>
  <c r="Q2669" i="4"/>
  <c r="AF2668" i="4"/>
  <c r="Y2668" i="4"/>
  <c r="R2668" i="4"/>
  <c r="Q2668" i="4"/>
  <c r="AF2667" i="4"/>
  <c r="Y2667" i="4"/>
  <c r="R2667" i="4"/>
  <c r="Q2667" i="4"/>
  <c r="AF2666" i="4"/>
  <c r="Y2666" i="4"/>
  <c r="R2666" i="4"/>
  <c r="Q2666" i="4"/>
  <c r="AF2665" i="4"/>
  <c r="Y2665" i="4"/>
  <c r="R2665" i="4"/>
  <c r="Q2665" i="4"/>
  <c r="AF2664" i="4"/>
  <c r="Y2664" i="4"/>
  <c r="R2664" i="4"/>
  <c r="Q2664" i="4"/>
  <c r="AF2663" i="4"/>
  <c r="Y2663" i="4"/>
  <c r="R2663" i="4"/>
  <c r="Q2663" i="4"/>
  <c r="AF2662" i="4"/>
  <c r="Y2662" i="4"/>
  <c r="R2662" i="4"/>
  <c r="Q2662" i="4"/>
  <c r="AF2661" i="4"/>
  <c r="Y2661" i="4"/>
  <c r="R2661" i="4"/>
  <c r="Q2661" i="4"/>
  <c r="AF2660" i="4"/>
  <c r="Y2660" i="4"/>
  <c r="R2660" i="4"/>
  <c r="Q2660" i="4"/>
  <c r="AF2659" i="4"/>
  <c r="Y2659" i="4"/>
  <c r="R2659" i="4"/>
  <c r="Q2659" i="4"/>
  <c r="AF2658" i="4"/>
  <c r="Y2658" i="4"/>
  <c r="R2658" i="4"/>
  <c r="Q2658" i="4"/>
  <c r="AF2657" i="4"/>
  <c r="Y2657" i="4"/>
  <c r="R2657" i="4"/>
  <c r="Q2657" i="4"/>
  <c r="AF2656" i="4"/>
  <c r="Y2656" i="4"/>
  <c r="R2656" i="4"/>
  <c r="Q2656" i="4"/>
  <c r="AF2655" i="4"/>
  <c r="Y2655" i="4"/>
  <c r="R2655" i="4"/>
  <c r="Q2655" i="4"/>
  <c r="AF2654" i="4"/>
  <c r="Y2654" i="4"/>
  <c r="R2654" i="4"/>
  <c r="Q2654" i="4"/>
  <c r="AF2653" i="4"/>
  <c r="Y2653" i="4"/>
  <c r="R2653" i="4"/>
  <c r="Q2653" i="4"/>
  <c r="AF2652" i="4"/>
  <c r="Y2652" i="4"/>
  <c r="R2652" i="4"/>
  <c r="Q2652" i="4"/>
  <c r="AF2651" i="4"/>
  <c r="Y2651" i="4"/>
  <c r="R2651" i="4"/>
  <c r="Q2651" i="4"/>
  <c r="AF2650" i="4"/>
  <c r="Y2650" i="4"/>
  <c r="R2650" i="4"/>
  <c r="Q2650" i="4"/>
  <c r="AF2649" i="4"/>
  <c r="Y2649" i="4"/>
  <c r="R2649" i="4"/>
  <c r="Q2649" i="4"/>
  <c r="AF2648" i="4"/>
  <c r="Y2648" i="4"/>
  <c r="R2648" i="4"/>
  <c r="Q2648" i="4"/>
  <c r="AF2647" i="4"/>
  <c r="Y2647" i="4"/>
  <c r="R2647" i="4"/>
  <c r="Q2647" i="4"/>
  <c r="AF2646" i="4"/>
  <c r="Y2646" i="4"/>
  <c r="R2646" i="4"/>
  <c r="Q2646" i="4"/>
  <c r="AF2645" i="4"/>
  <c r="Y2645" i="4"/>
  <c r="R2645" i="4"/>
  <c r="Q2645" i="4"/>
  <c r="AF2644" i="4"/>
  <c r="Y2644" i="4"/>
  <c r="R2644" i="4"/>
  <c r="Q2644" i="4"/>
  <c r="AF2643" i="4"/>
  <c r="Y2643" i="4"/>
  <c r="R2643" i="4"/>
  <c r="Q2643" i="4"/>
  <c r="AF2642" i="4"/>
  <c r="Y2642" i="4"/>
  <c r="R2642" i="4"/>
  <c r="Q2642" i="4"/>
  <c r="AF2641" i="4"/>
  <c r="Y2641" i="4"/>
  <c r="R2641" i="4"/>
  <c r="Q2641" i="4"/>
  <c r="AF2640" i="4"/>
  <c r="Y2640" i="4"/>
  <c r="R2640" i="4"/>
  <c r="Q2640" i="4"/>
  <c r="AF2639" i="4"/>
  <c r="Y2639" i="4"/>
  <c r="R2639" i="4"/>
  <c r="Q2639" i="4"/>
  <c r="AF2638" i="4"/>
  <c r="Y2638" i="4"/>
  <c r="R2638" i="4"/>
  <c r="Q2638" i="4"/>
  <c r="AF2637" i="4"/>
  <c r="Y2637" i="4"/>
  <c r="R2637" i="4"/>
  <c r="Q2637" i="4"/>
  <c r="AF2636" i="4"/>
  <c r="Y2636" i="4"/>
  <c r="R2636" i="4"/>
  <c r="Q2636" i="4"/>
  <c r="AF2635" i="4"/>
  <c r="Y2635" i="4"/>
  <c r="R2635" i="4"/>
  <c r="Q2635" i="4"/>
  <c r="AF2634" i="4"/>
  <c r="Y2634" i="4"/>
  <c r="R2634" i="4"/>
  <c r="Q2634" i="4"/>
  <c r="AF2633" i="4"/>
  <c r="Y2633" i="4"/>
  <c r="R2633" i="4"/>
  <c r="Q2633" i="4"/>
  <c r="AF2632" i="4"/>
  <c r="Y2632" i="4"/>
  <c r="R2632" i="4"/>
  <c r="Q2632" i="4"/>
  <c r="AF2631" i="4"/>
  <c r="Y2631" i="4"/>
  <c r="R2631" i="4"/>
  <c r="Q2631" i="4"/>
  <c r="AF2630" i="4"/>
  <c r="Y2630" i="4"/>
  <c r="R2630" i="4"/>
  <c r="Q2630" i="4"/>
  <c r="AF2629" i="4"/>
  <c r="Y2629" i="4"/>
  <c r="R2629" i="4"/>
  <c r="Q2629" i="4"/>
  <c r="AF2628" i="4"/>
  <c r="Y2628" i="4"/>
  <c r="R2628" i="4"/>
  <c r="Q2628" i="4"/>
  <c r="AF2627" i="4"/>
  <c r="Y2627" i="4"/>
  <c r="R2627" i="4"/>
  <c r="Q2627" i="4"/>
  <c r="AF2626" i="4"/>
  <c r="Y2626" i="4"/>
  <c r="R2626" i="4"/>
  <c r="Q2626" i="4"/>
  <c r="AF2625" i="4"/>
  <c r="Y2625" i="4"/>
  <c r="R2625" i="4"/>
  <c r="Q2625" i="4"/>
  <c r="AF2624" i="4"/>
  <c r="Y2624" i="4"/>
  <c r="R2624" i="4"/>
  <c r="Q2624" i="4"/>
  <c r="AF2623" i="4"/>
  <c r="Y2623" i="4"/>
  <c r="R2623" i="4"/>
  <c r="Q2623" i="4"/>
  <c r="AF2622" i="4"/>
  <c r="Y2622" i="4"/>
  <c r="R2622" i="4"/>
  <c r="Q2622" i="4"/>
  <c r="AF2621" i="4"/>
  <c r="Y2621" i="4"/>
  <c r="R2621" i="4"/>
  <c r="Q2621" i="4"/>
  <c r="AF2620" i="4"/>
  <c r="Y2620" i="4"/>
  <c r="R2620" i="4"/>
  <c r="Q2620" i="4"/>
  <c r="AF2619" i="4"/>
  <c r="Y2619" i="4"/>
  <c r="R2619" i="4"/>
  <c r="Q2619" i="4"/>
  <c r="AF2618" i="4"/>
  <c r="Y2618" i="4"/>
  <c r="R2618" i="4"/>
  <c r="Q2618" i="4"/>
  <c r="AF2617" i="4"/>
  <c r="Y2617" i="4"/>
  <c r="R2617" i="4"/>
  <c r="Q2617" i="4"/>
  <c r="AF2616" i="4"/>
  <c r="Y2616" i="4"/>
  <c r="R2616" i="4"/>
  <c r="Q2616" i="4"/>
  <c r="AF2615" i="4"/>
  <c r="Y2615" i="4"/>
  <c r="R2615" i="4"/>
  <c r="Q2615" i="4"/>
  <c r="AF2614" i="4"/>
  <c r="Y2614" i="4"/>
  <c r="R2614" i="4"/>
  <c r="Q2614" i="4"/>
  <c r="AF2613" i="4"/>
  <c r="Y2613" i="4"/>
  <c r="R2613" i="4"/>
  <c r="Q2613" i="4"/>
  <c r="AF2612" i="4"/>
  <c r="Y2612" i="4"/>
  <c r="R2612" i="4"/>
  <c r="Q2612" i="4"/>
  <c r="AF2611" i="4"/>
  <c r="Y2611" i="4"/>
  <c r="R2611" i="4"/>
  <c r="Q2611" i="4"/>
  <c r="AF2610" i="4"/>
  <c r="Y2610" i="4"/>
  <c r="R2610" i="4"/>
  <c r="Q2610" i="4"/>
  <c r="AF2609" i="4"/>
  <c r="Y2609" i="4"/>
  <c r="R2609" i="4"/>
  <c r="Q2609" i="4"/>
  <c r="AF2608" i="4"/>
  <c r="Y2608" i="4"/>
  <c r="R2608" i="4"/>
  <c r="Q2608" i="4"/>
  <c r="AF2607" i="4"/>
  <c r="Y2607" i="4"/>
  <c r="R2607" i="4"/>
  <c r="Q2607" i="4"/>
  <c r="AF2606" i="4"/>
  <c r="Y2606" i="4"/>
  <c r="R2606" i="4"/>
  <c r="Q2606" i="4"/>
  <c r="AF2605" i="4"/>
  <c r="Y2605" i="4"/>
  <c r="R2605" i="4"/>
  <c r="Q2605" i="4"/>
  <c r="AF2604" i="4"/>
  <c r="Y2604" i="4"/>
  <c r="R2604" i="4"/>
  <c r="Q2604" i="4"/>
  <c r="AF2603" i="4"/>
  <c r="Y2603" i="4"/>
  <c r="R2603" i="4"/>
  <c r="Q2603" i="4"/>
  <c r="AF2602" i="4"/>
  <c r="Y2602" i="4"/>
  <c r="R2602" i="4"/>
  <c r="Q2602" i="4"/>
  <c r="AF2601" i="4"/>
  <c r="Y2601" i="4"/>
  <c r="R2601" i="4"/>
  <c r="Q2601" i="4"/>
  <c r="AF2600" i="4"/>
  <c r="Y2600" i="4"/>
  <c r="R2600" i="4"/>
  <c r="Q2600" i="4"/>
  <c r="AF2599" i="4"/>
  <c r="Y2599" i="4"/>
  <c r="R2599" i="4"/>
  <c r="Q2599" i="4"/>
  <c r="AF2598" i="4"/>
  <c r="Y2598" i="4"/>
  <c r="R2598" i="4"/>
  <c r="Q2598" i="4"/>
  <c r="AF2597" i="4"/>
  <c r="Y2597" i="4"/>
  <c r="R2597" i="4"/>
  <c r="Q2597" i="4"/>
  <c r="AF2596" i="4"/>
  <c r="Y2596" i="4"/>
  <c r="R2596" i="4"/>
  <c r="Q2596" i="4"/>
  <c r="AF2595" i="4"/>
  <c r="Y2595" i="4"/>
  <c r="R2595" i="4"/>
  <c r="Q2595" i="4"/>
  <c r="AF2594" i="4"/>
  <c r="Y2594" i="4"/>
  <c r="R2594" i="4"/>
  <c r="Q2594" i="4"/>
  <c r="AF2593" i="4"/>
  <c r="Y2593" i="4"/>
  <c r="R2593" i="4"/>
  <c r="Q2593" i="4"/>
  <c r="AF2592" i="4"/>
  <c r="Y2592" i="4"/>
  <c r="R2592" i="4"/>
  <c r="Q2592" i="4"/>
  <c r="AF2591" i="4"/>
  <c r="Y2591" i="4"/>
  <c r="R2591" i="4"/>
  <c r="Q2591" i="4"/>
  <c r="AF2590" i="4"/>
  <c r="Y2590" i="4"/>
  <c r="R2590" i="4"/>
  <c r="Q2590" i="4"/>
  <c r="AF2589" i="4"/>
  <c r="Y2589" i="4"/>
  <c r="R2589" i="4"/>
  <c r="Q2589" i="4"/>
  <c r="AF2588" i="4"/>
  <c r="Y2588" i="4"/>
  <c r="R2588" i="4"/>
  <c r="Q2588" i="4"/>
  <c r="AF2587" i="4"/>
  <c r="Y2587" i="4"/>
  <c r="R2587" i="4"/>
  <c r="Q2587" i="4"/>
  <c r="AF2586" i="4"/>
  <c r="Y2586" i="4"/>
  <c r="R2586" i="4"/>
  <c r="Q2586" i="4"/>
  <c r="AF2585" i="4"/>
  <c r="Y2585" i="4"/>
  <c r="R2585" i="4"/>
  <c r="Q2585" i="4"/>
  <c r="AF2584" i="4"/>
  <c r="Y2584" i="4"/>
  <c r="R2584" i="4"/>
  <c r="Q2584" i="4"/>
  <c r="AF2583" i="4"/>
  <c r="Y2583" i="4"/>
  <c r="R2583" i="4"/>
  <c r="Q2583" i="4"/>
  <c r="AF2582" i="4"/>
  <c r="Y2582" i="4"/>
  <c r="R2582" i="4"/>
  <c r="Q2582" i="4"/>
  <c r="AF2581" i="4"/>
  <c r="Y2581" i="4"/>
  <c r="R2581" i="4"/>
  <c r="Q2581" i="4"/>
  <c r="AF2580" i="4"/>
  <c r="Y2580" i="4"/>
  <c r="R2580" i="4"/>
  <c r="Q2580" i="4"/>
  <c r="AF2579" i="4"/>
  <c r="Y2579" i="4"/>
  <c r="R2579" i="4"/>
  <c r="Q2579" i="4"/>
  <c r="AF2578" i="4"/>
  <c r="Y2578" i="4"/>
  <c r="R2578" i="4"/>
  <c r="Q2578" i="4"/>
  <c r="AF2577" i="4"/>
  <c r="Y2577" i="4"/>
  <c r="R2577" i="4"/>
  <c r="Q2577" i="4"/>
  <c r="AF2576" i="4"/>
  <c r="Y2576" i="4"/>
  <c r="R2576" i="4"/>
  <c r="Q2576" i="4"/>
  <c r="AF2575" i="4"/>
  <c r="Y2575" i="4"/>
  <c r="R2575" i="4"/>
  <c r="Q2575" i="4"/>
  <c r="AF2574" i="4"/>
  <c r="Y2574" i="4"/>
  <c r="R2574" i="4"/>
  <c r="Q2574" i="4"/>
  <c r="AF2573" i="4"/>
  <c r="Y2573" i="4"/>
  <c r="R2573" i="4"/>
  <c r="Q2573" i="4"/>
  <c r="AF2572" i="4"/>
  <c r="Y2572" i="4"/>
  <c r="R2572" i="4"/>
  <c r="Q2572" i="4"/>
  <c r="AF2571" i="4"/>
  <c r="Y2571" i="4"/>
  <c r="R2571" i="4"/>
  <c r="Q2571" i="4"/>
  <c r="AF2570" i="4"/>
  <c r="Y2570" i="4"/>
  <c r="R2570" i="4"/>
  <c r="Q2570" i="4"/>
  <c r="AF2569" i="4"/>
  <c r="Y2569" i="4"/>
  <c r="R2569" i="4"/>
  <c r="Q2569" i="4"/>
  <c r="AF2568" i="4"/>
  <c r="Y2568" i="4"/>
  <c r="R2568" i="4"/>
  <c r="Q2568" i="4"/>
  <c r="AF2567" i="4"/>
  <c r="Y2567" i="4"/>
  <c r="R2567" i="4"/>
  <c r="Q2567" i="4"/>
  <c r="AF2566" i="4"/>
  <c r="Y2566" i="4"/>
  <c r="R2566" i="4"/>
  <c r="Q2566" i="4"/>
  <c r="AF2565" i="4"/>
  <c r="Y2565" i="4"/>
  <c r="R2565" i="4"/>
  <c r="Q2565" i="4"/>
  <c r="AF2564" i="4"/>
  <c r="Y2564" i="4"/>
  <c r="R2564" i="4"/>
  <c r="Q2564" i="4"/>
  <c r="AF2563" i="4"/>
  <c r="Y2563" i="4"/>
  <c r="R2563" i="4"/>
  <c r="Q2563" i="4"/>
  <c r="AF2562" i="4"/>
  <c r="Y2562" i="4"/>
  <c r="R2562" i="4"/>
  <c r="Q2562" i="4"/>
  <c r="AF2561" i="4"/>
  <c r="Y2561" i="4"/>
  <c r="R2561" i="4"/>
  <c r="Q2561" i="4"/>
  <c r="AF2560" i="4"/>
  <c r="Y2560" i="4"/>
  <c r="R2560" i="4"/>
  <c r="Q2560" i="4"/>
  <c r="AF2559" i="4"/>
  <c r="Y2559" i="4"/>
  <c r="R2559" i="4"/>
  <c r="Q2559" i="4"/>
  <c r="AF2558" i="4"/>
  <c r="Y2558" i="4"/>
  <c r="R2558" i="4"/>
  <c r="Q2558" i="4"/>
  <c r="AF2557" i="4"/>
  <c r="Y2557" i="4"/>
  <c r="R2557" i="4"/>
  <c r="Q2557" i="4"/>
  <c r="AF2556" i="4"/>
  <c r="Y2556" i="4"/>
  <c r="R2556" i="4"/>
  <c r="Q2556" i="4"/>
  <c r="AF2555" i="4"/>
  <c r="Y2555" i="4"/>
  <c r="R2555" i="4"/>
  <c r="Q2555" i="4"/>
  <c r="AF2554" i="4"/>
  <c r="Y2554" i="4"/>
  <c r="R2554" i="4"/>
  <c r="Q2554" i="4"/>
  <c r="AF2553" i="4"/>
  <c r="Y2553" i="4"/>
  <c r="R2553" i="4"/>
  <c r="Q2553" i="4"/>
  <c r="AF2552" i="4"/>
  <c r="Y2552" i="4"/>
  <c r="R2552" i="4"/>
  <c r="Q2552" i="4"/>
  <c r="AF2551" i="4"/>
  <c r="Y2551" i="4"/>
  <c r="R2551" i="4"/>
  <c r="Q2551" i="4"/>
  <c r="AF2550" i="4"/>
  <c r="Y2550" i="4"/>
  <c r="R2550" i="4"/>
  <c r="Q2550" i="4"/>
  <c r="AF2549" i="4"/>
  <c r="Y2549" i="4"/>
  <c r="R2549" i="4"/>
  <c r="Q2549" i="4"/>
  <c r="AF2548" i="4"/>
  <c r="Y2548" i="4"/>
  <c r="R2548" i="4"/>
  <c r="Q2548" i="4"/>
  <c r="AF2547" i="4"/>
  <c r="Y2547" i="4"/>
  <c r="R2547" i="4"/>
  <c r="Q2547" i="4"/>
  <c r="AF2546" i="4"/>
  <c r="Y2546" i="4"/>
  <c r="R2546" i="4"/>
  <c r="Q2546" i="4"/>
  <c r="AF2545" i="4"/>
  <c r="Y2545" i="4"/>
  <c r="R2545" i="4"/>
  <c r="Q2545" i="4"/>
  <c r="AF2544" i="4"/>
  <c r="Y2544" i="4"/>
  <c r="R2544" i="4"/>
  <c r="Q2544" i="4"/>
  <c r="AF2543" i="4"/>
  <c r="Y2543" i="4"/>
  <c r="R2543" i="4"/>
  <c r="Q2543" i="4"/>
  <c r="AF2542" i="4"/>
  <c r="Y2542" i="4"/>
  <c r="R2542" i="4"/>
  <c r="Q2542" i="4"/>
  <c r="AF2541" i="4"/>
  <c r="Y2541" i="4"/>
  <c r="R2541" i="4"/>
  <c r="Q2541" i="4"/>
  <c r="AF2540" i="4"/>
  <c r="Y2540" i="4"/>
  <c r="R2540" i="4"/>
  <c r="Q2540" i="4"/>
  <c r="AF2539" i="4"/>
  <c r="Y2539" i="4"/>
  <c r="R2539" i="4"/>
  <c r="Q2539" i="4"/>
  <c r="AF2538" i="4"/>
  <c r="Y2538" i="4"/>
  <c r="R2538" i="4"/>
  <c r="Q2538" i="4"/>
  <c r="AF2537" i="4"/>
  <c r="Y2537" i="4"/>
  <c r="R2537" i="4"/>
  <c r="Q2537" i="4"/>
  <c r="AF2536" i="4"/>
  <c r="Y2536" i="4"/>
  <c r="R2536" i="4"/>
  <c r="Q2536" i="4"/>
  <c r="AF2535" i="4"/>
  <c r="Y2535" i="4"/>
  <c r="R2535" i="4"/>
  <c r="Q2535" i="4"/>
  <c r="AF2534" i="4"/>
  <c r="Y2534" i="4"/>
  <c r="R2534" i="4"/>
  <c r="Q2534" i="4"/>
  <c r="AF2533" i="4"/>
  <c r="Y2533" i="4"/>
  <c r="R2533" i="4"/>
  <c r="Q2533" i="4"/>
  <c r="AF2532" i="4"/>
  <c r="Y2532" i="4"/>
  <c r="R2532" i="4"/>
  <c r="Q2532" i="4"/>
  <c r="AF2531" i="4"/>
  <c r="Y2531" i="4"/>
  <c r="R2531" i="4"/>
  <c r="Q2531" i="4"/>
  <c r="AF2530" i="4"/>
  <c r="Y2530" i="4"/>
  <c r="R2530" i="4"/>
  <c r="Q2530" i="4"/>
  <c r="AF2529" i="4"/>
  <c r="Y2529" i="4"/>
  <c r="R2529" i="4"/>
  <c r="Q2529" i="4"/>
  <c r="AF2528" i="4"/>
  <c r="Y2528" i="4"/>
  <c r="R2528" i="4"/>
  <c r="Q2528" i="4"/>
  <c r="AF2527" i="4"/>
  <c r="Y2527" i="4"/>
  <c r="R2527" i="4"/>
  <c r="Q2527" i="4"/>
  <c r="AF2526" i="4"/>
  <c r="Y2526" i="4"/>
  <c r="R2526" i="4"/>
  <c r="Q2526" i="4"/>
  <c r="AF2525" i="4"/>
  <c r="Y2525" i="4"/>
  <c r="R2525" i="4"/>
  <c r="Q2525" i="4"/>
  <c r="AF2524" i="4"/>
  <c r="Y2524" i="4"/>
  <c r="R2524" i="4"/>
  <c r="Q2524" i="4"/>
  <c r="AF2523" i="4"/>
  <c r="Y2523" i="4"/>
  <c r="R2523" i="4"/>
  <c r="Q2523" i="4"/>
  <c r="AF2522" i="4"/>
  <c r="Y2522" i="4"/>
  <c r="R2522" i="4"/>
  <c r="Q2522" i="4"/>
  <c r="AF2521" i="4"/>
  <c r="Y2521" i="4"/>
  <c r="R2521" i="4"/>
  <c r="Q2521" i="4"/>
  <c r="AF2520" i="4"/>
  <c r="Y2520" i="4"/>
  <c r="R2520" i="4"/>
  <c r="Q2520" i="4"/>
  <c r="AF2519" i="4"/>
  <c r="Y2519" i="4"/>
  <c r="R2519" i="4"/>
  <c r="Q2519" i="4"/>
  <c r="AF2518" i="4"/>
  <c r="Y2518" i="4"/>
  <c r="R2518" i="4"/>
  <c r="Q2518" i="4"/>
  <c r="AF2517" i="4"/>
  <c r="Y2517" i="4"/>
  <c r="R2517" i="4"/>
  <c r="Q2517" i="4"/>
  <c r="AF2516" i="4"/>
  <c r="Y2516" i="4"/>
  <c r="R2516" i="4"/>
  <c r="Q2516" i="4"/>
  <c r="AF2515" i="4"/>
  <c r="Y2515" i="4"/>
  <c r="R2515" i="4"/>
  <c r="Q2515" i="4"/>
  <c r="AF2514" i="4"/>
  <c r="Y2514" i="4"/>
  <c r="R2514" i="4"/>
  <c r="Q2514" i="4"/>
  <c r="AF2513" i="4"/>
  <c r="Y2513" i="4"/>
  <c r="R2513" i="4"/>
  <c r="Q2513" i="4"/>
  <c r="AF2512" i="4"/>
  <c r="Y2512" i="4"/>
  <c r="R2512" i="4"/>
  <c r="Q2512" i="4"/>
  <c r="AF2511" i="4"/>
  <c r="Y2511" i="4"/>
  <c r="R2511" i="4"/>
  <c r="Q2511" i="4"/>
  <c r="AF2510" i="4"/>
  <c r="Y2510" i="4"/>
  <c r="R2510" i="4"/>
  <c r="Q2510" i="4"/>
  <c r="AF2509" i="4"/>
  <c r="Y2509" i="4"/>
  <c r="R2509" i="4"/>
  <c r="Q2509" i="4"/>
  <c r="AF2508" i="4"/>
  <c r="Y2508" i="4"/>
  <c r="R2508" i="4"/>
  <c r="Q2508" i="4"/>
  <c r="AF2507" i="4"/>
  <c r="Y2507" i="4"/>
  <c r="R2507" i="4"/>
  <c r="Q2507" i="4"/>
  <c r="AF2506" i="4"/>
  <c r="Y2506" i="4"/>
  <c r="R2506" i="4"/>
  <c r="Q2506" i="4"/>
  <c r="AF2505" i="4"/>
  <c r="Y2505" i="4"/>
  <c r="R2505" i="4"/>
  <c r="Q2505" i="4"/>
  <c r="AF2504" i="4"/>
  <c r="Y2504" i="4"/>
  <c r="R2504" i="4"/>
  <c r="Q2504" i="4"/>
  <c r="AF2503" i="4"/>
  <c r="Y2503" i="4"/>
  <c r="R2503" i="4"/>
  <c r="Q2503" i="4"/>
  <c r="AF2502" i="4"/>
  <c r="Y2502" i="4"/>
  <c r="R2502" i="4"/>
  <c r="Q2502" i="4"/>
  <c r="AF2501" i="4"/>
  <c r="Y2501" i="4"/>
  <c r="R2501" i="4"/>
  <c r="Q2501" i="4"/>
  <c r="AF2500" i="4"/>
  <c r="Y2500" i="4"/>
  <c r="R2500" i="4"/>
  <c r="Q2500" i="4"/>
  <c r="AF2499" i="4"/>
  <c r="Y2499" i="4"/>
  <c r="R2499" i="4"/>
  <c r="Q2499" i="4"/>
  <c r="AF2498" i="4"/>
  <c r="Y2498" i="4"/>
  <c r="R2498" i="4"/>
  <c r="Q2498" i="4"/>
  <c r="AF2497" i="4"/>
  <c r="Y2497" i="4"/>
  <c r="R2497" i="4"/>
  <c r="Q2497" i="4"/>
  <c r="AF2496" i="4"/>
  <c r="Y2496" i="4"/>
  <c r="R2496" i="4"/>
  <c r="Q2496" i="4"/>
  <c r="AF2495" i="4"/>
  <c r="Y2495" i="4"/>
  <c r="R2495" i="4"/>
  <c r="Q2495" i="4"/>
  <c r="AF2494" i="4"/>
  <c r="Y2494" i="4"/>
  <c r="R2494" i="4"/>
  <c r="Q2494" i="4"/>
  <c r="AF2493" i="4"/>
  <c r="Y2493" i="4"/>
  <c r="R2493" i="4"/>
  <c r="Q2493" i="4"/>
  <c r="AF2492" i="4"/>
  <c r="Y2492" i="4"/>
  <c r="R2492" i="4"/>
  <c r="Q2492" i="4"/>
  <c r="AF2491" i="4"/>
  <c r="Y2491" i="4"/>
  <c r="R2491" i="4"/>
  <c r="Q2491" i="4"/>
  <c r="AF2490" i="4"/>
  <c r="Y2490" i="4"/>
  <c r="R2490" i="4"/>
  <c r="Q2490" i="4"/>
  <c r="AF2489" i="4"/>
  <c r="Y2489" i="4"/>
  <c r="R2489" i="4"/>
  <c r="Q2489" i="4"/>
  <c r="AF2488" i="4"/>
  <c r="Y2488" i="4"/>
  <c r="R2488" i="4"/>
  <c r="Q2488" i="4"/>
  <c r="AF2487" i="4"/>
  <c r="Y2487" i="4"/>
  <c r="R2487" i="4"/>
  <c r="Q2487" i="4"/>
  <c r="AF2486" i="4"/>
  <c r="Y2486" i="4"/>
  <c r="R2486" i="4"/>
  <c r="Q2486" i="4"/>
  <c r="AF2485" i="4"/>
  <c r="Y2485" i="4"/>
  <c r="R2485" i="4"/>
  <c r="Q2485" i="4"/>
  <c r="AF2484" i="4"/>
  <c r="Y2484" i="4"/>
  <c r="R2484" i="4"/>
  <c r="Q2484" i="4"/>
  <c r="AF2483" i="4"/>
  <c r="Y2483" i="4"/>
  <c r="R2483" i="4"/>
  <c r="Q2483" i="4"/>
  <c r="AF2482" i="4"/>
  <c r="Y2482" i="4"/>
  <c r="R2482" i="4"/>
  <c r="Q2482" i="4"/>
  <c r="AF2481" i="4"/>
  <c r="Y2481" i="4"/>
  <c r="R2481" i="4"/>
  <c r="Q2481" i="4"/>
  <c r="AF2480" i="4"/>
  <c r="Y2480" i="4"/>
  <c r="R2480" i="4"/>
  <c r="Q2480" i="4"/>
  <c r="AF2479" i="4"/>
  <c r="Y2479" i="4"/>
  <c r="R2479" i="4"/>
  <c r="Q2479" i="4"/>
  <c r="AF2478" i="4"/>
  <c r="Y2478" i="4"/>
  <c r="R2478" i="4"/>
  <c r="Q2478" i="4"/>
  <c r="AF2477" i="4"/>
  <c r="Y2477" i="4"/>
  <c r="R2477" i="4"/>
  <c r="Q2477" i="4"/>
  <c r="AF2476" i="4"/>
  <c r="Y2476" i="4"/>
  <c r="R2476" i="4"/>
  <c r="Q2476" i="4"/>
  <c r="AF2475" i="4"/>
  <c r="Y2475" i="4"/>
  <c r="R2475" i="4"/>
  <c r="Q2475" i="4"/>
  <c r="AF2474" i="4"/>
  <c r="Y2474" i="4"/>
  <c r="R2474" i="4"/>
  <c r="Q2474" i="4"/>
  <c r="AF2473" i="4"/>
  <c r="Y2473" i="4"/>
  <c r="R2473" i="4"/>
  <c r="Q2473" i="4"/>
  <c r="AF2472" i="4"/>
  <c r="Y2472" i="4"/>
  <c r="R2472" i="4"/>
  <c r="Q2472" i="4"/>
  <c r="AF2471" i="4"/>
  <c r="Y2471" i="4"/>
  <c r="R2471" i="4"/>
  <c r="Q2471" i="4"/>
  <c r="AF2470" i="4"/>
  <c r="Y2470" i="4"/>
  <c r="R2470" i="4"/>
  <c r="Q2470" i="4"/>
  <c r="AF2469" i="4"/>
  <c r="Y2469" i="4"/>
  <c r="R2469" i="4"/>
  <c r="Q2469" i="4"/>
  <c r="AF2468" i="4"/>
  <c r="Y2468" i="4"/>
  <c r="R2468" i="4"/>
  <c r="Q2468" i="4"/>
  <c r="AF2467" i="4"/>
  <c r="Y2467" i="4"/>
  <c r="R2467" i="4"/>
  <c r="Q2467" i="4"/>
  <c r="AF2466" i="4"/>
  <c r="Y2466" i="4"/>
  <c r="R2466" i="4"/>
  <c r="Q2466" i="4"/>
  <c r="AF2465" i="4"/>
  <c r="Y2465" i="4"/>
  <c r="R2465" i="4"/>
  <c r="Q2465" i="4"/>
  <c r="AF2464" i="4"/>
  <c r="Y2464" i="4"/>
  <c r="R2464" i="4"/>
  <c r="Q2464" i="4"/>
  <c r="AF2463" i="4"/>
  <c r="Y2463" i="4"/>
  <c r="R2463" i="4"/>
  <c r="Q2463" i="4"/>
  <c r="AF2462" i="4"/>
  <c r="Y2462" i="4"/>
  <c r="R2462" i="4"/>
  <c r="Q2462" i="4"/>
  <c r="AF2461" i="4"/>
  <c r="Y2461" i="4"/>
  <c r="R2461" i="4"/>
  <c r="Q2461" i="4"/>
  <c r="AF2460" i="4"/>
  <c r="Y2460" i="4"/>
  <c r="R2460" i="4"/>
  <c r="Q2460" i="4"/>
  <c r="AF2459" i="4"/>
  <c r="Y2459" i="4"/>
  <c r="R2459" i="4"/>
  <c r="Q2459" i="4"/>
  <c r="AF2458" i="4"/>
  <c r="Y2458" i="4"/>
  <c r="R2458" i="4"/>
  <c r="Q2458" i="4"/>
  <c r="AF2457" i="4"/>
  <c r="Y2457" i="4"/>
  <c r="R2457" i="4"/>
  <c r="Q2457" i="4"/>
  <c r="AF2456" i="4"/>
  <c r="Y2456" i="4"/>
  <c r="R2456" i="4"/>
  <c r="Q2456" i="4"/>
  <c r="AF2455" i="4"/>
  <c r="Y2455" i="4"/>
  <c r="R2455" i="4"/>
  <c r="Q2455" i="4"/>
  <c r="AF2454" i="4"/>
  <c r="Y2454" i="4"/>
  <c r="R2454" i="4"/>
  <c r="Q2454" i="4"/>
  <c r="AF2453" i="4"/>
  <c r="Y2453" i="4"/>
  <c r="R2453" i="4"/>
  <c r="Q2453" i="4"/>
  <c r="AF2452" i="4"/>
  <c r="Y2452" i="4"/>
  <c r="R2452" i="4"/>
  <c r="Q2452" i="4"/>
  <c r="AF2451" i="4"/>
  <c r="Y2451" i="4"/>
  <c r="R2451" i="4"/>
  <c r="Q2451" i="4"/>
  <c r="AF2450" i="4"/>
  <c r="Y2450" i="4"/>
  <c r="R2450" i="4"/>
  <c r="Q2450" i="4"/>
  <c r="AF2449" i="4"/>
  <c r="Y2449" i="4"/>
  <c r="R2449" i="4"/>
  <c r="Q2449" i="4"/>
  <c r="AF2448" i="4"/>
  <c r="Y2448" i="4"/>
  <c r="R2448" i="4"/>
  <c r="Q2448" i="4"/>
  <c r="AF2447" i="4"/>
  <c r="Y2447" i="4"/>
  <c r="R2447" i="4"/>
  <c r="Q2447" i="4"/>
  <c r="AF2446" i="4"/>
  <c r="Y2446" i="4"/>
  <c r="R2446" i="4"/>
  <c r="Q2446" i="4"/>
  <c r="AF2445" i="4"/>
  <c r="Y2445" i="4"/>
  <c r="R2445" i="4"/>
  <c r="Q2445" i="4"/>
  <c r="AF2444" i="4"/>
  <c r="Y2444" i="4"/>
  <c r="R2444" i="4"/>
  <c r="Q2444" i="4"/>
  <c r="AF2443" i="4"/>
  <c r="Y2443" i="4"/>
  <c r="R2443" i="4"/>
  <c r="Q2443" i="4"/>
  <c r="AF2442" i="4"/>
  <c r="Y2442" i="4"/>
  <c r="R2442" i="4"/>
  <c r="Q2442" i="4"/>
  <c r="AF2441" i="4"/>
  <c r="Y2441" i="4"/>
  <c r="R2441" i="4"/>
  <c r="Q2441" i="4"/>
  <c r="AF2440" i="4"/>
  <c r="Y2440" i="4"/>
  <c r="R2440" i="4"/>
  <c r="Q2440" i="4"/>
  <c r="AF2439" i="4"/>
  <c r="Y2439" i="4"/>
  <c r="R2439" i="4"/>
  <c r="Q2439" i="4"/>
  <c r="AF2438" i="4"/>
  <c r="Y2438" i="4"/>
  <c r="R2438" i="4"/>
  <c r="Q2438" i="4"/>
  <c r="AF2437" i="4"/>
  <c r="Y2437" i="4"/>
  <c r="R2437" i="4"/>
  <c r="Q2437" i="4"/>
  <c r="AF2436" i="4"/>
  <c r="Y2436" i="4"/>
  <c r="R2436" i="4"/>
  <c r="Q2436" i="4"/>
  <c r="AF2435" i="4"/>
  <c r="Y2435" i="4"/>
  <c r="R2435" i="4"/>
  <c r="Q2435" i="4"/>
  <c r="AF2434" i="4"/>
  <c r="Y2434" i="4"/>
  <c r="R2434" i="4"/>
  <c r="Q2434" i="4"/>
  <c r="AF2433" i="4"/>
  <c r="Y2433" i="4"/>
  <c r="R2433" i="4"/>
  <c r="Q2433" i="4"/>
  <c r="AF2432" i="4"/>
  <c r="Y2432" i="4"/>
  <c r="R2432" i="4"/>
  <c r="Q2432" i="4"/>
  <c r="AF2431" i="4"/>
  <c r="Y2431" i="4"/>
  <c r="R2431" i="4"/>
  <c r="Q2431" i="4"/>
  <c r="AF2430" i="4"/>
  <c r="Y2430" i="4"/>
  <c r="R2430" i="4"/>
  <c r="Q2430" i="4"/>
  <c r="AF2429" i="4"/>
  <c r="Y2429" i="4"/>
  <c r="R2429" i="4"/>
  <c r="Q2429" i="4"/>
  <c r="AF2428" i="4"/>
  <c r="Y2428" i="4"/>
  <c r="R2428" i="4"/>
  <c r="Q2428" i="4"/>
  <c r="AF2427" i="4"/>
  <c r="Y2427" i="4"/>
  <c r="R2427" i="4"/>
  <c r="Q2427" i="4"/>
  <c r="AF2426" i="4"/>
  <c r="Y2426" i="4"/>
  <c r="R2426" i="4"/>
  <c r="Q2426" i="4"/>
  <c r="AF2425" i="4"/>
  <c r="Y2425" i="4"/>
  <c r="R2425" i="4"/>
  <c r="Q2425" i="4"/>
  <c r="AF2424" i="4"/>
  <c r="Y2424" i="4"/>
  <c r="R2424" i="4"/>
  <c r="Q2424" i="4"/>
  <c r="AF2423" i="4"/>
  <c r="Y2423" i="4"/>
  <c r="R2423" i="4"/>
  <c r="Q2423" i="4"/>
  <c r="AF2422" i="4"/>
  <c r="Y2422" i="4"/>
  <c r="R2422" i="4"/>
  <c r="Q2422" i="4"/>
  <c r="AF2421" i="4"/>
  <c r="Y2421" i="4"/>
  <c r="R2421" i="4"/>
  <c r="Q2421" i="4"/>
  <c r="AF2420" i="4"/>
  <c r="Y2420" i="4"/>
  <c r="R2420" i="4"/>
  <c r="Q2420" i="4"/>
  <c r="AF2419" i="4"/>
  <c r="Y2419" i="4"/>
  <c r="R2419" i="4"/>
  <c r="Q2419" i="4"/>
  <c r="AF2418" i="4"/>
  <c r="Y2418" i="4"/>
  <c r="R2418" i="4"/>
  <c r="Q2418" i="4"/>
  <c r="AF2417" i="4"/>
  <c r="Y2417" i="4"/>
  <c r="R2417" i="4"/>
  <c r="Q2417" i="4"/>
  <c r="AF2416" i="4"/>
  <c r="Y2416" i="4"/>
  <c r="R2416" i="4"/>
  <c r="Q2416" i="4"/>
  <c r="AF2415" i="4"/>
  <c r="Y2415" i="4"/>
  <c r="R2415" i="4"/>
  <c r="Q2415" i="4"/>
  <c r="AF2414" i="4"/>
  <c r="Y2414" i="4"/>
  <c r="R2414" i="4"/>
  <c r="Q2414" i="4"/>
  <c r="AF2413" i="4"/>
  <c r="Y2413" i="4"/>
  <c r="R2413" i="4"/>
  <c r="Q2413" i="4"/>
  <c r="AF2412" i="4"/>
  <c r="Y2412" i="4"/>
  <c r="R2412" i="4"/>
  <c r="Q2412" i="4"/>
  <c r="AF2411" i="4"/>
  <c r="Y2411" i="4"/>
  <c r="R2411" i="4"/>
  <c r="Q2411" i="4"/>
  <c r="AF2410" i="4"/>
  <c r="Y2410" i="4"/>
  <c r="R2410" i="4"/>
  <c r="Q2410" i="4"/>
  <c r="AF2409" i="4"/>
  <c r="Y2409" i="4"/>
  <c r="R2409" i="4"/>
  <c r="Q2409" i="4"/>
  <c r="AF2408" i="4"/>
  <c r="Y2408" i="4"/>
  <c r="R2408" i="4"/>
  <c r="Q2408" i="4"/>
  <c r="AF2407" i="4"/>
  <c r="Y2407" i="4"/>
  <c r="R2407" i="4"/>
  <c r="Q2407" i="4"/>
  <c r="AF2406" i="4"/>
  <c r="Y2406" i="4"/>
  <c r="R2406" i="4"/>
  <c r="Q2406" i="4"/>
  <c r="AF2405" i="4"/>
  <c r="Y2405" i="4"/>
  <c r="R2405" i="4"/>
  <c r="Q2405" i="4"/>
  <c r="AF2404" i="4"/>
  <c r="Y2404" i="4"/>
  <c r="R2404" i="4"/>
  <c r="Q2404" i="4"/>
  <c r="AF2403" i="4"/>
  <c r="Y2403" i="4"/>
  <c r="R2403" i="4"/>
  <c r="Q2403" i="4"/>
  <c r="AF2402" i="4"/>
  <c r="Y2402" i="4"/>
  <c r="R2402" i="4"/>
  <c r="Q2402" i="4"/>
  <c r="AF2401" i="4"/>
  <c r="Y2401" i="4"/>
  <c r="R2401" i="4"/>
  <c r="Q2401" i="4"/>
  <c r="AF2400" i="4"/>
  <c r="Y2400" i="4"/>
  <c r="R2400" i="4"/>
  <c r="Q2400" i="4"/>
  <c r="AF2399" i="4"/>
  <c r="Y2399" i="4"/>
  <c r="R2399" i="4"/>
  <c r="Q2399" i="4"/>
  <c r="AF2398" i="4"/>
  <c r="Y2398" i="4"/>
  <c r="R2398" i="4"/>
  <c r="Q2398" i="4"/>
  <c r="AF2397" i="4"/>
  <c r="Y2397" i="4"/>
  <c r="R2397" i="4"/>
  <c r="Q2397" i="4"/>
  <c r="AF2396" i="4"/>
  <c r="Y2396" i="4"/>
  <c r="R2396" i="4"/>
  <c r="Q2396" i="4"/>
  <c r="AF2395" i="4"/>
  <c r="Y2395" i="4"/>
  <c r="R2395" i="4"/>
  <c r="Q2395" i="4"/>
  <c r="AF2394" i="4"/>
  <c r="Y2394" i="4"/>
  <c r="R2394" i="4"/>
  <c r="Q2394" i="4"/>
  <c r="AF2393" i="4"/>
  <c r="Y2393" i="4"/>
  <c r="R2393" i="4"/>
  <c r="Q2393" i="4"/>
  <c r="AF2392" i="4"/>
  <c r="Y2392" i="4"/>
  <c r="R2392" i="4"/>
  <c r="Q2392" i="4"/>
  <c r="AF2391" i="4"/>
  <c r="Y2391" i="4"/>
  <c r="R2391" i="4"/>
  <c r="Q2391" i="4"/>
  <c r="AF2390" i="4"/>
  <c r="Y2390" i="4"/>
  <c r="R2390" i="4"/>
  <c r="Q2390" i="4"/>
  <c r="AF2389" i="4"/>
  <c r="Y2389" i="4"/>
  <c r="R2389" i="4"/>
  <c r="Q2389" i="4"/>
  <c r="AF2388" i="4"/>
  <c r="Y2388" i="4"/>
  <c r="R2388" i="4"/>
  <c r="Q2388" i="4"/>
  <c r="AF2387" i="4"/>
  <c r="Y2387" i="4"/>
  <c r="R2387" i="4"/>
  <c r="Q2387" i="4"/>
  <c r="AF2386" i="4"/>
  <c r="Y2386" i="4"/>
  <c r="R2386" i="4"/>
  <c r="Q2386" i="4"/>
  <c r="AF2385" i="4"/>
  <c r="Y2385" i="4"/>
  <c r="R2385" i="4"/>
  <c r="Q2385" i="4"/>
  <c r="AF2384" i="4"/>
  <c r="Y2384" i="4"/>
  <c r="R2384" i="4"/>
  <c r="Q2384" i="4"/>
  <c r="AF2383" i="4"/>
  <c r="Y2383" i="4"/>
  <c r="R2383" i="4"/>
  <c r="Q2383" i="4"/>
  <c r="AF2382" i="4"/>
  <c r="Y2382" i="4"/>
  <c r="R2382" i="4"/>
  <c r="Q2382" i="4"/>
  <c r="AF2381" i="4"/>
  <c r="Y2381" i="4"/>
  <c r="R2381" i="4"/>
  <c r="Q2381" i="4"/>
  <c r="AF2380" i="4"/>
  <c r="Y2380" i="4"/>
  <c r="R2380" i="4"/>
  <c r="Q2380" i="4"/>
  <c r="AF2379" i="4"/>
  <c r="Y2379" i="4"/>
  <c r="R2379" i="4"/>
  <c r="Q2379" i="4"/>
  <c r="AF2378" i="4"/>
  <c r="Y2378" i="4"/>
  <c r="R2378" i="4"/>
  <c r="Q2378" i="4"/>
  <c r="AF2377" i="4"/>
  <c r="Y2377" i="4"/>
  <c r="R2377" i="4"/>
  <c r="Q2377" i="4"/>
  <c r="AF2376" i="4"/>
  <c r="Y2376" i="4"/>
  <c r="R2376" i="4"/>
  <c r="Q2376" i="4"/>
  <c r="AF2375" i="4"/>
  <c r="Y2375" i="4"/>
  <c r="R2375" i="4"/>
  <c r="Q2375" i="4"/>
  <c r="AF2374" i="4"/>
  <c r="Y2374" i="4"/>
  <c r="R2374" i="4"/>
  <c r="Q2374" i="4"/>
  <c r="AF2373" i="4"/>
  <c r="Y2373" i="4"/>
  <c r="R2373" i="4"/>
  <c r="Q2373" i="4"/>
  <c r="AF2372" i="4"/>
  <c r="Y2372" i="4"/>
  <c r="R2372" i="4"/>
  <c r="Q2372" i="4"/>
  <c r="AF2371" i="4"/>
  <c r="Y2371" i="4"/>
  <c r="R2371" i="4"/>
  <c r="Q2371" i="4"/>
  <c r="AF2370" i="4"/>
  <c r="Y2370" i="4"/>
  <c r="R2370" i="4"/>
  <c r="Q2370" i="4"/>
  <c r="AF2369" i="4"/>
  <c r="Y2369" i="4"/>
  <c r="R2369" i="4"/>
  <c r="Q2369" i="4"/>
  <c r="AF2368" i="4"/>
  <c r="Y2368" i="4"/>
  <c r="R2368" i="4"/>
  <c r="Q2368" i="4"/>
  <c r="AF2367" i="4"/>
  <c r="Y2367" i="4"/>
  <c r="R2367" i="4"/>
  <c r="Q2367" i="4"/>
  <c r="AF2366" i="4"/>
  <c r="Y2366" i="4"/>
  <c r="R2366" i="4"/>
  <c r="Q2366" i="4"/>
  <c r="AF2365" i="4"/>
  <c r="Y2365" i="4"/>
  <c r="R2365" i="4"/>
  <c r="Q2365" i="4"/>
  <c r="AF2364" i="4"/>
  <c r="Y2364" i="4"/>
  <c r="R2364" i="4"/>
  <c r="Q2364" i="4"/>
  <c r="AF2363" i="4"/>
  <c r="Y2363" i="4"/>
  <c r="R2363" i="4"/>
  <c r="Q2363" i="4"/>
  <c r="AF2362" i="4"/>
  <c r="Y2362" i="4"/>
  <c r="R2362" i="4"/>
  <c r="Q2362" i="4"/>
  <c r="AF2361" i="4"/>
  <c r="Y2361" i="4"/>
  <c r="R2361" i="4"/>
  <c r="Q2361" i="4"/>
  <c r="AF2360" i="4"/>
  <c r="Y2360" i="4"/>
  <c r="R2360" i="4"/>
  <c r="Q2360" i="4"/>
  <c r="AF2359" i="4"/>
  <c r="Y2359" i="4"/>
  <c r="R2359" i="4"/>
  <c r="Q2359" i="4"/>
  <c r="AF2358" i="4"/>
  <c r="Y2358" i="4"/>
  <c r="R2358" i="4"/>
  <c r="Q2358" i="4"/>
  <c r="AF2357" i="4"/>
  <c r="Y2357" i="4"/>
  <c r="R2357" i="4"/>
  <c r="Q2357" i="4"/>
  <c r="AF2356" i="4"/>
  <c r="Y2356" i="4"/>
  <c r="R2356" i="4"/>
  <c r="Q2356" i="4"/>
  <c r="AF2355" i="4"/>
  <c r="Y2355" i="4"/>
  <c r="R2355" i="4"/>
  <c r="Q2355" i="4"/>
  <c r="AF2354" i="4"/>
  <c r="Y2354" i="4"/>
  <c r="R2354" i="4"/>
  <c r="Q2354" i="4"/>
  <c r="AF2353" i="4"/>
  <c r="Y2353" i="4"/>
  <c r="R2353" i="4"/>
  <c r="Q2353" i="4"/>
  <c r="AF2352" i="4"/>
  <c r="Y2352" i="4"/>
  <c r="R2352" i="4"/>
  <c r="Q2352" i="4"/>
  <c r="AF2351" i="4"/>
  <c r="Y2351" i="4"/>
  <c r="R2351" i="4"/>
  <c r="Q2351" i="4"/>
  <c r="AF2350" i="4"/>
  <c r="Y2350" i="4"/>
  <c r="R2350" i="4"/>
  <c r="Q2350" i="4"/>
  <c r="AF2349" i="4"/>
  <c r="Y2349" i="4"/>
  <c r="R2349" i="4"/>
  <c r="Q2349" i="4"/>
  <c r="AF2348" i="4"/>
  <c r="Y2348" i="4"/>
  <c r="R2348" i="4"/>
  <c r="Q2348" i="4"/>
  <c r="AF2347" i="4"/>
  <c r="Y2347" i="4"/>
  <c r="R2347" i="4"/>
  <c r="Q2347" i="4"/>
  <c r="AF2346" i="4"/>
  <c r="Y2346" i="4"/>
  <c r="R2346" i="4"/>
  <c r="Q2346" i="4"/>
  <c r="AF2345" i="4"/>
  <c r="Y2345" i="4"/>
  <c r="R2345" i="4"/>
  <c r="Q2345" i="4"/>
  <c r="AF2344" i="4"/>
  <c r="Y2344" i="4"/>
  <c r="R2344" i="4"/>
  <c r="Q2344" i="4"/>
  <c r="AF2343" i="4"/>
  <c r="Y2343" i="4"/>
  <c r="R2343" i="4"/>
  <c r="Q2343" i="4"/>
  <c r="AF2342" i="4"/>
  <c r="Y2342" i="4"/>
  <c r="R2342" i="4"/>
  <c r="Q2342" i="4"/>
  <c r="AF2341" i="4"/>
  <c r="Y2341" i="4"/>
  <c r="R2341" i="4"/>
  <c r="Q2341" i="4"/>
  <c r="AF2340" i="4"/>
  <c r="Y2340" i="4"/>
  <c r="R2340" i="4"/>
  <c r="Q2340" i="4"/>
  <c r="AF2339" i="4"/>
  <c r="Y2339" i="4"/>
  <c r="R2339" i="4"/>
  <c r="Q2339" i="4"/>
  <c r="AF2338" i="4"/>
  <c r="Y2338" i="4"/>
  <c r="R2338" i="4"/>
  <c r="Q2338" i="4"/>
  <c r="AF2337" i="4"/>
  <c r="Y2337" i="4"/>
  <c r="R2337" i="4"/>
  <c r="Q2337" i="4"/>
  <c r="AF2336" i="4"/>
  <c r="Y2336" i="4"/>
  <c r="R2336" i="4"/>
  <c r="Q2336" i="4"/>
  <c r="AF2335" i="4"/>
  <c r="Y2335" i="4"/>
  <c r="R2335" i="4"/>
  <c r="Q2335" i="4"/>
  <c r="AF2334" i="4"/>
  <c r="Y2334" i="4"/>
  <c r="R2334" i="4"/>
  <c r="Q2334" i="4"/>
  <c r="AF2333" i="4"/>
  <c r="Y2333" i="4"/>
  <c r="R2333" i="4"/>
  <c r="Q2333" i="4"/>
  <c r="AF2332" i="4"/>
  <c r="Y2332" i="4"/>
  <c r="R2332" i="4"/>
  <c r="Q2332" i="4"/>
  <c r="AF2331" i="4"/>
  <c r="Y2331" i="4"/>
  <c r="R2331" i="4"/>
  <c r="Q2331" i="4"/>
  <c r="AF2330" i="4"/>
  <c r="Y2330" i="4"/>
  <c r="R2330" i="4"/>
  <c r="Q2330" i="4"/>
  <c r="AF2329" i="4"/>
  <c r="Y2329" i="4"/>
  <c r="R2329" i="4"/>
  <c r="Q2329" i="4"/>
  <c r="AF2328" i="4"/>
  <c r="Y2328" i="4"/>
  <c r="R2328" i="4"/>
  <c r="Q2328" i="4"/>
  <c r="AF2327" i="4"/>
  <c r="Y2327" i="4"/>
  <c r="R2327" i="4"/>
  <c r="Q2327" i="4"/>
  <c r="AF2326" i="4"/>
  <c r="Y2326" i="4"/>
  <c r="R2326" i="4"/>
  <c r="Q2326" i="4"/>
  <c r="AF2325" i="4"/>
  <c r="Y2325" i="4"/>
  <c r="R2325" i="4"/>
  <c r="Q2325" i="4"/>
  <c r="AF2324" i="4"/>
  <c r="Y2324" i="4"/>
  <c r="R2324" i="4"/>
  <c r="Q2324" i="4"/>
  <c r="AF2323" i="4"/>
  <c r="Y2323" i="4"/>
  <c r="R2323" i="4"/>
  <c r="Q2323" i="4"/>
  <c r="AF2322" i="4"/>
  <c r="Y2322" i="4"/>
  <c r="R2322" i="4"/>
  <c r="Q2322" i="4"/>
  <c r="AF2321" i="4"/>
  <c r="Y2321" i="4"/>
  <c r="R2321" i="4"/>
  <c r="Q2321" i="4"/>
  <c r="AF2320" i="4"/>
  <c r="Y2320" i="4"/>
  <c r="R2320" i="4"/>
  <c r="Q2320" i="4"/>
  <c r="AF2319" i="4"/>
  <c r="Y2319" i="4"/>
  <c r="R2319" i="4"/>
  <c r="Q2319" i="4"/>
  <c r="AF2318" i="4"/>
  <c r="Y2318" i="4"/>
  <c r="R2318" i="4"/>
  <c r="Q2318" i="4"/>
  <c r="AF2317" i="4"/>
  <c r="Y2317" i="4"/>
  <c r="R2317" i="4"/>
  <c r="Q2317" i="4"/>
  <c r="AF2316" i="4"/>
  <c r="Y2316" i="4"/>
  <c r="R2316" i="4"/>
  <c r="Q2316" i="4"/>
  <c r="AF2315" i="4"/>
  <c r="Y2315" i="4"/>
  <c r="R2315" i="4"/>
  <c r="Q2315" i="4"/>
  <c r="AF2314" i="4"/>
  <c r="Y2314" i="4"/>
  <c r="R2314" i="4"/>
  <c r="Q2314" i="4"/>
  <c r="AF2313" i="4"/>
  <c r="Y2313" i="4"/>
  <c r="R2313" i="4"/>
  <c r="Q2313" i="4"/>
  <c r="AF2312" i="4"/>
  <c r="Y2312" i="4"/>
  <c r="R2312" i="4"/>
  <c r="Q2312" i="4"/>
  <c r="AF2311" i="4"/>
  <c r="Y2311" i="4"/>
  <c r="R2311" i="4"/>
  <c r="Q2311" i="4"/>
  <c r="AF2310" i="4"/>
  <c r="Y2310" i="4"/>
  <c r="R2310" i="4"/>
  <c r="Q2310" i="4"/>
  <c r="AF2309" i="4"/>
  <c r="Y2309" i="4"/>
  <c r="R2309" i="4"/>
  <c r="Q2309" i="4"/>
  <c r="AF2308" i="4"/>
  <c r="Y2308" i="4"/>
  <c r="R2308" i="4"/>
  <c r="Q2308" i="4"/>
  <c r="AF2307" i="4"/>
  <c r="Y2307" i="4"/>
  <c r="R2307" i="4"/>
  <c r="Q2307" i="4"/>
  <c r="AF2306" i="4"/>
  <c r="Y2306" i="4"/>
  <c r="R2306" i="4"/>
  <c r="Q2306" i="4"/>
  <c r="AF2305" i="4"/>
  <c r="Y2305" i="4"/>
  <c r="R2305" i="4"/>
  <c r="Q2305" i="4"/>
  <c r="AF2304" i="4"/>
  <c r="Y2304" i="4"/>
  <c r="R2304" i="4"/>
  <c r="Q2304" i="4"/>
  <c r="AF2303" i="4"/>
  <c r="Y2303" i="4"/>
  <c r="R2303" i="4"/>
  <c r="Q2303" i="4"/>
  <c r="AF2302" i="4"/>
  <c r="Y2302" i="4"/>
  <c r="R2302" i="4"/>
  <c r="Q2302" i="4"/>
  <c r="AF2301" i="4"/>
  <c r="Y2301" i="4"/>
  <c r="R2301" i="4"/>
  <c r="Q2301" i="4"/>
  <c r="AF2300" i="4"/>
  <c r="Y2300" i="4"/>
  <c r="R2300" i="4"/>
  <c r="Q2300" i="4"/>
  <c r="AF2299" i="4"/>
  <c r="Y2299" i="4"/>
  <c r="R2299" i="4"/>
  <c r="Q2299" i="4"/>
  <c r="AF2298" i="4"/>
  <c r="Y2298" i="4"/>
  <c r="R2298" i="4"/>
  <c r="Q2298" i="4"/>
  <c r="AF2297" i="4"/>
  <c r="Y2297" i="4"/>
  <c r="R2297" i="4"/>
  <c r="Q2297" i="4"/>
  <c r="AF2296" i="4"/>
  <c r="Y2296" i="4"/>
  <c r="R2296" i="4"/>
  <c r="Q2296" i="4"/>
  <c r="AF2295" i="4"/>
  <c r="Y2295" i="4"/>
  <c r="R2295" i="4"/>
  <c r="Q2295" i="4"/>
  <c r="AF2294" i="4"/>
  <c r="Y2294" i="4"/>
  <c r="R2294" i="4"/>
  <c r="Q2294" i="4"/>
  <c r="AF2293" i="4"/>
  <c r="Y2293" i="4"/>
  <c r="R2293" i="4"/>
  <c r="Q2293" i="4"/>
  <c r="AF2292" i="4"/>
  <c r="Y2292" i="4"/>
  <c r="R2292" i="4"/>
  <c r="Q2292" i="4"/>
  <c r="AF2291" i="4"/>
  <c r="Y2291" i="4"/>
  <c r="R2291" i="4"/>
  <c r="Q2291" i="4"/>
  <c r="AF2290" i="4"/>
  <c r="Y2290" i="4"/>
  <c r="R2290" i="4"/>
  <c r="Q2290" i="4"/>
  <c r="AF2289" i="4"/>
  <c r="Y2289" i="4"/>
  <c r="R2289" i="4"/>
  <c r="Q2289" i="4"/>
  <c r="AF2288" i="4"/>
  <c r="Y2288" i="4"/>
  <c r="R2288" i="4"/>
  <c r="Q2288" i="4"/>
  <c r="AF2287" i="4"/>
  <c r="Y2287" i="4"/>
  <c r="R2287" i="4"/>
  <c r="Q2287" i="4"/>
  <c r="AF2286" i="4"/>
  <c r="Y2286" i="4"/>
  <c r="R2286" i="4"/>
  <c r="Q2286" i="4"/>
  <c r="AF2285" i="4"/>
  <c r="Y2285" i="4"/>
  <c r="R2285" i="4"/>
  <c r="Q2285" i="4"/>
  <c r="AF2284" i="4"/>
  <c r="Y2284" i="4"/>
  <c r="R2284" i="4"/>
  <c r="Q2284" i="4"/>
  <c r="AF2283" i="4"/>
  <c r="Y2283" i="4"/>
  <c r="R2283" i="4"/>
  <c r="Q2283" i="4"/>
  <c r="AF2282" i="4"/>
  <c r="Y2282" i="4"/>
  <c r="R2282" i="4"/>
  <c r="Q2282" i="4"/>
  <c r="AF2281" i="4"/>
  <c r="Y2281" i="4"/>
  <c r="R2281" i="4"/>
  <c r="Q2281" i="4"/>
  <c r="AF2280" i="4"/>
  <c r="Y2280" i="4"/>
  <c r="R2280" i="4"/>
  <c r="Q2280" i="4"/>
  <c r="AF2279" i="4"/>
  <c r="Y2279" i="4"/>
  <c r="R2279" i="4"/>
  <c r="Q2279" i="4"/>
  <c r="AF2278" i="4"/>
  <c r="Y2278" i="4"/>
  <c r="R2278" i="4"/>
  <c r="Q2278" i="4"/>
  <c r="AF2277" i="4"/>
  <c r="Y2277" i="4"/>
  <c r="R2277" i="4"/>
  <c r="Q2277" i="4"/>
  <c r="AF2276" i="4"/>
  <c r="Y2276" i="4"/>
  <c r="R2276" i="4"/>
  <c r="Q2276" i="4"/>
  <c r="AF2275" i="4"/>
  <c r="Y2275" i="4"/>
  <c r="R2275" i="4"/>
  <c r="Q2275" i="4"/>
  <c r="AF2274" i="4"/>
  <c r="Y2274" i="4"/>
  <c r="R2274" i="4"/>
  <c r="Q2274" i="4"/>
  <c r="AF2273" i="4"/>
  <c r="Y2273" i="4"/>
  <c r="R2273" i="4"/>
  <c r="Q2273" i="4"/>
  <c r="AF2272" i="4"/>
  <c r="Y2272" i="4"/>
  <c r="R2272" i="4"/>
  <c r="Q2272" i="4"/>
  <c r="AF2271" i="4"/>
  <c r="Y2271" i="4"/>
  <c r="R2271" i="4"/>
  <c r="Q2271" i="4"/>
  <c r="AF2270" i="4"/>
  <c r="Y2270" i="4"/>
  <c r="R2270" i="4"/>
  <c r="Q2270" i="4"/>
  <c r="AF2269" i="4"/>
  <c r="Y2269" i="4"/>
  <c r="R2269" i="4"/>
  <c r="Q2269" i="4"/>
  <c r="AF2268" i="4"/>
  <c r="Y2268" i="4"/>
  <c r="R2268" i="4"/>
  <c r="Q2268" i="4"/>
  <c r="AF2267" i="4"/>
  <c r="Y2267" i="4"/>
  <c r="R2267" i="4"/>
  <c r="Q2267" i="4"/>
  <c r="AF2266" i="4"/>
  <c r="Y2266" i="4"/>
  <c r="R2266" i="4"/>
  <c r="Q2266" i="4"/>
  <c r="AF2265" i="4"/>
  <c r="Y2265" i="4"/>
  <c r="R2265" i="4"/>
  <c r="Q2265" i="4"/>
  <c r="AF2264" i="4"/>
  <c r="Y2264" i="4"/>
  <c r="R2264" i="4"/>
  <c r="Q2264" i="4"/>
  <c r="AF2263" i="4"/>
  <c r="Y2263" i="4"/>
  <c r="R2263" i="4"/>
  <c r="Q2263" i="4"/>
  <c r="AF2262" i="4"/>
  <c r="Y2262" i="4"/>
  <c r="R2262" i="4"/>
  <c r="Q2262" i="4"/>
  <c r="AF2261" i="4"/>
  <c r="Y2261" i="4"/>
  <c r="R2261" i="4"/>
  <c r="Q2261" i="4"/>
  <c r="AF2260" i="4"/>
  <c r="Y2260" i="4"/>
  <c r="R2260" i="4"/>
  <c r="Q2260" i="4"/>
  <c r="AF2259" i="4"/>
  <c r="Y2259" i="4"/>
  <c r="R2259" i="4"/>
  <c r="Q2259" i="4"/>
  <c r="AF2258" i="4"/>
  <c r="Y2258" i="4"/>
  <c r="R2258" i="4"/>
  <c r="Q2258" i="4"/>
  <c r="AF2257" i="4"/>
  <c r="Y2257" i="4"/>
  <c r="R2257" i="4"/>
  <c r="Q2257" i="4"/>
  <c r="AF2256" i="4"/>
  <c r="Y2256" i="4"/>
  <c r="R2256" i="4"/>
  <c r="Q2256" i="4"/>
  <c r="AF2255" i="4"/>
  <c r="Y2255" i="4"/>
  <c r="R2255" i="4"/>
  <c r="Q2255" i="4"/>
  <c r="AF2254" i="4"/>
  <c r="Y2254" i="4"/>
  <c r="R2254" i="4"/>
  <c r="Q2254" i="4"/>
  <c r="AF2253" i="4"/>
  <c r="Y2253" i="4"/>
  <c r="R2253" i="4"/>
  <c r="Q2253" i="4"/>
  <c r="AF2252" i="4"/>
  <c r="Y2252" i="4"/>
  <c r="R2252" i="4"/>
  <c r="Q2252" i="4"/>
  <c r="AF2251" i="4"/>
  <c r="Y2251" i="4"/>
  <c r="R2251" i="4"/>
  <c r="Q2251" i="4"/>
  <c r="AF2250" i="4"/>
  <c r="Y2250" i="4"/>
  <c r="R2250" i="4"/>
  <c r="Q2250" i="4"/>
  <c r="AF2249" i="4"/>
  <c r="Y2249" i="4"/>
  <c r="R2249" i="4"/>
  <c r="Q2249" i="4"/>
  <c r="AF2248" i="4"/>
  <c r="Y2248" i="4"/>
  <c r="R2248" i="4"/>
  <c r="Q2248" i="4"/>
  <c r="AF2247" i="4"/>
  <c r="Y2247" i="4"/>
  <c r="R2247" i="4"/>
  <c r="Q2247" i="4"/>
  <c r="AF2246" i="4"/>
  <c r="Y2246" i="4"/>
  <c r="R2246" i="4"/>
  <c r="Q2246" i="4"/>
  <c r="AF2245" i="4"/>
  <c r="Y2245" i="4"/>
  <c r="R2245" i="4"/>
  <c r="Q2245" i="4"/>
  <c r="AF2244" i="4"/>
  <c r="Y2244" i="4"/>
  <c r="R2244" i="4"/>
  <c r="Q2244" i="4"/>
  <c r="AF2243" i="4"/>
  <c r="Y2243" i="4"/>
  <c r="R2243" i="4"/>
  <c r="Q2243" i="4"/>
  <c r="AF2242" i="4"/>
  <c r="Y2242" i="4"/>
  <c r="R2242" i="4"/>
  <c r="Q2242" i="4"/>
  <c r="AF2241" i="4"/>
  <c r="Y2241" i="4"/>
  <c r="R2241" i="4"/>
  <c r="Q2241" i="4"/>
  <c r="AF2240" i="4"/>
  <c r="Y2240" i="4"/>
  <c r="R2240" i="4"/>
  <c r="Q2240" i="4"/>
  <c r="AF2239" i="4"/>
  <c r="Y2239" i="4"/>
  <c r="R2239" i="4"/>
  <c r="Q2239" i="4"/>
  <c r="AF2238" i="4"/>
  <c r="Y2238" i="4"/>
  <c r="R2238" i="4"/>
  <c r="Q2238" i="4"/>
  <c r="AF2237" i="4"/>
  <c r="Y2237" i="4"/>
  <c r="R2237" i="4"/>
  <c r="Q2237" i="4"/>
  <c r="AF2236" i="4"/>
  <c r="Y2236" i="4"/>
  <c r="R2236" i="4"/>
  <c r="Q2236" i="4"/>
  <c r="AF2235" i="4"/>
  <c r="Y2235" i="4"/>
  <c r="R2235" i="4"/>
  <c r="Q2235" i="4"/>
  <c r="AF2234" i="4"/>
  <c r="Y2234" i="4"/>
  <c r="R2234" i="4"/>
  <c r="Q2234" i="4"/>
  <c r="AF2233" i="4"/>
  <c r="Y2233" i="4"/>
  <c r="R2233" i="4"/>
  <c r="Q2233" i="4"/>
  <c r="AF2232" i="4"/>
  <c r="Y2232" i="4"/>
  <c r="R2232" i="4"/>
  <c r="Q2232" i="4"/>
  <c r="AF2231" i="4"/>
  <c r="Y2231" i="4"/>
  <c r="R2231" i="4"/>
  <c r="Q2231" i="4"/>
  <c r="AF2230" i="4"/>
  <c r="Y2230" i="4"/>
  <c r="R2230" i="4"/>
  <c r="Q2230" i="4"/>
  <c r="AF2229" i="4"/>
  <c r="Y2229" i="4"/>
  <c r="R2229" i="4"/>
  <c r="Q2229" i="4"/>
  <c r="AF2228" i="4"/>
  <c r="Y2228" i="4"/>
  <c r="R2228" i="4"/>
  <c r="Q2228" i="4"/>
  <c r="AF2227" i="4"/>
  <c r="Y2227" i="4"/>
  <c r="R2227" i="4"/>
  <c r="Q2227" i="4"/>
  <c r="AF2226" i="4"/>
  <c r="Y2226" i="4"/>
  <c r="R2226" i="4"/>
  <c r="Q2226" i="4"/>
  <c r="AF2225" i="4"/>
  <c r="Y2225" i="4"/>
  <c r="R2225" i="4"/>
  <c r="Q2225" i="4"/>
  <c r="AF2224" i="4"/>
  <c r="Y2224" i="4"/>
  <c r="R2224" i="4"/>
  <c r="Q2224" i="4"/>
  <c r="AF2223" i="4"/>
  <c r="Y2223" i="4"/>
  <c r="R2223" i="4"/>
  <c r="Q2223" i="4"/>
  <c r="AF2222" i="4"/>
  <c r="Y2222" i="4"/>
  <c r="R2222" i="4"/>
  <c r="Q2222" i="4"/>
  <c r="AF2221" i="4"/>
  <c r="Y2221" i="4"/>
  <c r="R2221" i="4"/>
  <c r="Q2221" i="4"/>
  <c r="AF2220" i="4"/>
  <c r="Y2220" i="4"/>
  <c r="R2220" i="4"/>
  <c r="Q2220" i="4"/>
  <c r="AF2219" i="4"/>
  <c r="Y2219" i="4"/>
  <c r="R2219" i="4"/>
  <c r="Q2219" i="4"/>
  <c r="AF2218" i="4"/>
  <c r="Y2218" i="4"/>
  <c r="R2218" i="4"/>
  <c r="Q2218" i="4"/>
  <c r="AF2217" i="4"/>
  <c r="Y2217" i="4"/>
  <c r="R2217" i="4"/>
  <c r="Q2217" i="4"/>
  <c r="AF2216" i="4"/>
  <c r="Y2216" i="4"/>
  <c r="R2216" i="4"/>
  <c r="Q2216" i="4"/>
  <c r="AF2215" i="4"/>
  <c r="Y2215" i="4"/>
  <c r="R2215" i="4"/>
  <c r="Q2215" i="4"/>
  <c r="AF2214" i="4"/>
  <c r="Y2214" i="4"/>
  <c r="R2214" i="4"/>
  <c r="Q2214" i="4"/>
  <c r="AF2213" i="4"/>
  <c r="Y2213" i="4"/>
  <c r="R2213" i="4"/>
  <c r="Q2213" i="4"/>
  <c r="AF2212" i="4"/>
  <c r="Y2212" i="4"/>
  <c r="R2212" i="4"/>
  <c r="Q2212" i="4"/>
  <c r="AF2211" i="4"/>
  <c r="Y2211" i="4"/>
  <c r="R2211" i="4"/>
  <c r="Q2211" i="4"/>
  <c r="AF2210" i="4"/>
  <c r="Y2210" i="4"/>
  <c r="R2210" i="4"/>
  <c r="Q2210" i="4"/>
  <c r="AF2209" i="4"/>
  <c r="Y2209" i="4"/>
  <c r="R2209" i="4"/>
  <c r="Q2209" i="4"/>
  <c r="AF2208" i="4"/>
  <c r="Y2208" i="4"/>
  <c r="R2208" i="4"/>
  <c r="Q2208" i="4"/>
  <c r="AF2207" i="4"/>
  <c r="Y2207" i="4"/>
  <c r="R2207" i="4"/>
  <c r="Q2207" i="4"/>
  <c r="AF2206" i="4"/>
  <c r="Y2206" i="4"/>
  <c r="R2206" i="4"/>
  <c r="Q2206" i="4"/>
  <c r="AF2205" i="4"/>
  <c r="Y2205" i="4"/>
  <c r="R2205" i="4"/>
  <c r="Q2205" i="4"/>
  <c r="AF2204" i="4"/>
  <c r="Y2204" i="4"/>
  <c r="R2204" i="4"/>
  <c r="Q2204" i="4"/>
  <c r="AF2203" i="4"/>
  <c r="Y2203" i="4"/>
  <c r="R2203" i="4"/>
  <c r="Q2203" i="4"/>
  <c r="AF2202" i="4"/>
  <c r="Y2202" i="4"/>
  <c r="R2202" i="4"/>
  <c r="Q2202" i="4"/>
  <c r="AF2201" i="4"/>
  <c r="Y2201" i="4"/>
  <c r="R2201" i="4"/>
  <c r="Q2201" i="4"/>
  <c r="AF2200" i="4"/>
  <c r="Y2200" i="4"/>
  <c r="R2200" i="4"/>
  <c r="Q2200" i="4"/>
  <c r="AF2199" i="4"/>
  <c r="Y2199" i="4"/>
  <c r="R2199" i="4"/>
  <c r="Q2199" i="4"/>
  <c r="AF2198" i="4"/>
  <c r="Y2198" i="4"/>
  <c r="R2198" i="4"/>
  <c r="Q2198" i="4"/>
  <c r="AF2197" i="4"/>
  <c r="Y2197" i="4"/>
  <c r="R2197" i="4"/>
  <c r="Q2197" i="4"/>
  <c r="AF2196" i="4"/>
  <c r="Y2196" i="4"/>
  <c r="R2196" i="4"/>
  <c r="Q2196" i="4"/>
  <c r="AF2195" i="4"/>
  <c r="Y2195" i="4"/>
  <c r="R2195" i="4"/>
  <c r="Q2195" i="4"/>
  <c r="AF2194" i="4"/>
  <c r="Y2194" i="4"/>
  <c r="R2194" i="4"/>
  <c r="Q2194" i="4"/>
  <c r="AF2193" i="4"/>
  <c r="Y2193" i="4"/>
  <c r="R2193" i="4"/>
  <c r="Q2193" i="4"/>
  <c r="AF2192" i="4"/>
  <c r="Y2192" i="4"/>
  <c r="R2192" i="4"/>
  <c r="Q2192" i="4"/>
  <c r="AF2191" i="4"/>
  <c r="Y2191" i="4"/>
  <c r="R2191" i="4"/>
  <c r="Q2191" i="4"/>
  <c r="AF2190" i="4"/>
  <c r="Y2190" i="4"/>
  <c r="R2190" i="4"/>
  <c r="Q2190" i="4"/>
  <c r="AF2189" i="4"/>
  <c r="Y2189" i="4"/>
  <c r="R2189" i="4"/>
  <c r="Q2189" i="4"/>
  <c r="AF2188" i="4"/>
  <c r="Y2188" i="4"/>
  <c r="R2188" i="4"/>
  <c r="Q2188" i="4"/>
  <c r="AF2187" i="4"/>
  <c r="Y2187" i="4"/>
  <c r="R2187" i="4"/>
  <c r="Q2187" i="4"/>
  <c r="AF2186" i="4"/>
  <c r="Y2186" i="4"/>
  <c r="R2186" i="4"/>
  <c r="Q2186" i="4"/>
  <c r="AF2185" i="4"/>
  <c r="Y2185" i="4"/>
  <c r="R2185" i="4"/>
  <c r="Q2185" i="4"/>
  <c r="AF2184" i="4"/>
  <c r="Y2184" i="4"/>
  <c r="R2184" i="4"/>
  <c r="Q2184" i="4"/>
  <c r="AF2183" i="4"/>
  <c r="Y2183" i="4"/>
  <c r="R2183" i="4"/>
  <c r="Q2183" i="4"/>
  <c r="AF2182" i="4"/>
  <c r="Y2182" i="4"/>
  <c r="R2182" i="4"/>
  <c r="Q2182" i="4"/>
  <c r="AF2181" i="4"/>
  <c r="Y2181" i="4"/>
  <c r="R2181" i="4"/>
  <c r="Q2181" i="4"/>
  <c r="AF2180" i="4"/>
  <c r="Y2180" i="4"/>
  <c r="R2180" i="4"/>
  <c r="Q2180" i="4"/>
  <c r="AF2179" i="4"/>
  <c r="Y2179" i="4"/>
  <c r="R2179" i="4"/>
  <c r="Q2179" i="4"/>
  <c r="AF2178" i="4"/>
  <c r="Y2178" i="4"/>
  <c r="R2178" i="4"/>
  <c r="Q2178" i="4"/>
  <c r="AF2177" i="4"/>
  <c r="Y2177" i="4"/>
  <c r="R2177" i="4"/>
  <c r="Q2177" i="4"/>
  <c r="AF2176" i="4"/>
  <c r="Y2176" i="4"/>
  <c r="R2176" i="4"/>
  <c r="Q2176" i="4"/>
  <c r="AF2175" i="4"/>
  <c r="Y2175" i="4"/>
  <c r="R2175" i="4"/>
  <c r="Q2175" i="4"/>
  <c r="AF2174" i="4"/>
  <c r="Y2174" i="4"/>
  <c r="R2174" i="4"/>
  <c r="Q2174" i="4"/>
  <c r="AF2173" i="4"/>
  <c r="Y2173" i="4"/>
  <c r="R2173" i="4"/>
  <c r="Q2173" i="4"/>
  <c r="AF2172" i="4"/>
  <c r="Y2172" i="4"/>
  <c r="R2172" i="4"/>
  <c r="Q2172" i="4"/>
  <c r="AF2171" i="4"/>
  <c r="Y2171" i="4"/>
  <c r="R2171" i="4"/>
  <c r="Q2171" i="4"/>
  <c r="AF2170" i="4"/>
  <c r="Y2170" i="4"/>
  <c r="R2170" i="4"/>
  <c r="Q2170" i="4"/>
  <c r="AF2169" i="4"/>
  <c r="Y2169" i="4"/>
  <c r="R2169" i="4"/>
  <c r="Q2169" i="4"/>
  <c r="AF2168" i="4"/>
  <c r="Y2168" i="4"/>
  <c r="R2168" i="4"/>
  <c r="Q2168" i="4"/>
  <c r="AF2167" i="4"/>
  <c r="Y2167" i="4"/>
  <c r="R2167" i="4"/>
  <c r="Q2167" i="4"/>
  <c r="AF2166" i="4"/>
  <c r="Y2166" i="4"/>
  <c r="R2166" i="4"/>
  <c r="Q2166" i="4"/>
  <c r="AF2165" i="4"/>
  <c r="Y2165" i="4"/>
  <c r="R2165" i="4"/>
  <c r="Q2165" i="4"/>
  <c r="AF2164" i="4"/>
  <c r="Y2164" i="4"/>
  <c r="R2164" i="4"/>
  <c r="Q2164" i="4"/>
  <c r="AF2163" i="4"/>
  <c r="Y2163" i="4"/>
  <c r="R2163" i="4"/>
  <c r="Q2163" i="4"/>
  <c r="AF2162" i="4"/>
  <c r="Y2162" i="4"/>
  <c r="R2162" i="4"/>
  <c r="Q2162" i="4"/>
  <c r="AF2161" i="4"/>
  <c r="Y2161" i="4"/>
  <c r="R2161" i="4"/>
  <c r="Q2161" i="4"/>
  <c r="AF2160" i="4"/>
  <c r="Y2160" i="4"/>
  <c r="R2160" i="4"/>
  <c r="Q2160" i="4"/>
  <c r="AF2159" i="4"/>
  <c r="Y2159" i="4"/>
  <c r="R2159" i="4"/>
  <c r="Q2159" i="4"/>
  <c r="AF2158" i="4"/>
  <c r="Y2158" i="4"/>
  <c r="R2158" i="4"/>
  <c r="Q2158" i="4"/>
  <c r="AF2157" i="4"/>
  <c r="Y2157" i="4"/>
  <c r="R2157" i="4"/>
  <c r="Q2157" i="4"/>
  <c r="AF2156" i="4"/>
  <c r="Y2156" i="4"/>
  <c r="R2156" i="4"/>
  <c r="Q2156" i="4"/>
  <c r="AF2155" i="4"/>
  <c r="Y2155" i="4"/>
  <c r="R2155" i="4"/>
  <c r="Q2155" i="4"/>
  <c r="AF2154" i="4"/>
  <c r="Y2154" i="4"/>
  <c r="R2154" i="4"/>
  <c r="Q2154" i="4"/>
  <c r="AF2153" i="4"/>
  <c r="Y2153" i="4"/>
  <c r="R2153" i="4"/>
  <c r="Q2153" i="4"/>
  <c r="AF2152" i="4"/>
  <c r="Y2152" i="4"/>
  <c r="R2152" i="4"/>
  <c r="Q2152" i="4"/>
  <c r="AF2151" i="4"/>
  <c r="Y2151" i="4"/>
  <c r="R2151" i="4"/>
  <c r="Q2151" i="4"/>
  <c r="AF2150" i="4"/>
  <c r="Y2150" i="4"/>
  <c r="R2150" i="4"/>
  <c r="Q2150" i="4"/>
  <c r="AF2149" i="4"/>
  <c r="Y2149" i="4"/>
  <c r="R2149" i="4"/>
  <c r="Q2149" i="4"/>
  <c r="AF2148" i="4"/>
  <c r="Y2148" i="4"/>
  <c r="R2148" i="4"/>
  <c r="Q2148" i="4"/>
  <c r="AF2147" i="4"/>
  <c r="Y2147" i="4"/>
  <c r="R2147" i="4"/>
  <c r="Q2147" i="4"/>
  <c r="AF2146" i="4"/>
  <c r="Y2146" i="4"/>
  <c r="R2146" i="4"/>
  <c r="Q2146" i="4"/>
  <c r="AF2145" i="4"/>
  <c r="Y2145" i="4"/>
  <c r="R2145" i="4"/>
  <c r="Q2145" i="4"/>
  <c r="AF2144" i="4"/>
  <c r="Y2144" i="4"/>
  <c r="R2144" i="4"/>
  <c r="Q2144" i="4"/>
  <c r="AF2143" i="4"/>
  <c r="Y2143" i="4"/>
  <c r="R2143" i="4"/>
  <c r="Q2143" i="4"/>
  <c r="AF2142" i="4"/>
  <c r="Y2142" i="4"/>
  <c r="R2142" i="4"/>
  <c r="Q2142" i="4"/>
  <c r="AF2141" i="4"/>
  <c r="Y2141" i="4"/>
  <c r="R2141" i="4"/>
  <c r="Q2141" i="4"/>
  <c r="AF2140" i="4"/>
  <c r="Y2140" i="4"/>
  <c r="R2140" i="4"/>
  <c r="Q2140" i="4"/>
  <c r="AF2139" i="4"/>
  <c r="Y2139" i="4"/>
  <c r="R2139" i="4"/>
  <c r="Q2139" i="4"/>
  <c r="AF2138" i="4"/>
  <c r="Y2138" i="4"/>
  <c r="R2138" i="4"/>
  <c r="Q2138" i="4"/>
  <c r="AF2137" i="4"/>
  <c r="Y2137" i="4"/>
  <c r="R2137" i="4"/>
  <c r="Q2137" i="4"/>
  <c r="AF2136" i="4"/>
  <c r="Y2136" i="4"/>
  <c r="R2136" i="4"/>
  <c r="Q2136" i="4"/>
  <c r="AF2135" i="4"/>
  <c r="Y2135" i="4"/>
  <c r="R2135" i="4"/>
  <c r="Q2135" i="4"/>
  <c r="AF2134" i="4"/>
  <c r="Y2134" i="4"/>
  <c r="R2134" i="4"/>
  <c r="Q2134" i="4"/>
  <c r="AF2133" i="4"/>
  <c r="Y2133" i="4"/>
  <c r="R2133" i="4"/>
  <c r="Q2133" i="4"/>
  <c r="AF2132" i="4"/>
  <c r="Y2132" i="4"/>
  <c r="R2132" i="4"/>
  <c r="Q2132" i="4"/>
  <c r="AF2131" i="4"/>
  <c r="Y2131" i="4"/>
  <c r="R2131" i="4"/>
  <c r="Q2131" i="4"/>
  <c r="AF2130" i="4"/>
  <c r="Y2130" i="4"/>
  <c r="R2130" i="4"/>
  <c r="Q2130" i="4"/>
  <c r="AF2129" i="4"/>
  <c r="Y2129" i="4"/>
  <c r="R2129" i="4"/>
  <c r="Q2129" i="4"/>
  <c r="AF2128" i="4"/>
  <c r="Y2128" i="4"/>
  <c r="R2128" i="4"/>
  <c r="Q2128" i="4"/>
  <c r="AF2127" i="4"/>
  <c r="Y2127" i="4"/>
  <c r="R2127" i="4"/>
  <c r="Q2127" i="4"/>
  <c r="AF2126" i="4"/>
  <c r="Y2126" i="4"/>
  <c r="R2126" i="4"/>
  <c r="Q2126" i="4"/>
  <c r="AF2125" i="4"/>
  <c r="Y2125" i="4"/>
  <c r="R2125" i="4"/>
  <c r="Q2125" i="4"/>
  <c r="AF2124" i="4"/>
  <c r="Y2124" i="4"/>
  <c r="R2124" i="4"/>
  <c r="Q2124" i="4"/>
  <c r="AF2123" i="4"/>
  <c r="Y2123" i="4"/>
  <c r="R2123" i="4"/>
  <c r="Q2123" i="4"/>
  <c r="AF2122" i="4"/>
  <c r="Y2122" i="4"/>
  <c r="R2122" i="4"/>
  <c r="Q2122" i="4"/>
  <c r="AF2121" i="4"/>
  <c r="Y2121" i="4"/>
  <c r="R2121" i="4"/>
  <c r="Q2121" i="4"/>
  <c r="AF2120" i="4"/>
  <c r="Y2120" i="4"/>
  <c r="R2120" i="4"/>
  <c r="Q2120" i="4"/>
  <c r="AF2119" i="4"/>
  <c r="Y2119" i="4"/>
  <c r="R2119" i="4"/>
  <c r="Q2119" i="4"/>
  <c r="AF2118" i="4"/>
  <c r="Y2118" i="4"/>
  <c r="R2118" i="4"/>
  <c r="Q2118" i="4"/>
  <c r="AF2117" i="4"/>
  <c r="Y2117" i="4"/>
  <c r="R2117" i="4"/>
  <c r="Q2117" i="4"/>
  <c r="AF2116" i="4"/>
  <c r="Y2116" i="4"/>
  <c r="R2116" i="4"/>
  <c r="Q2116" i="4"/>
  <c r="AF2115" i="4"/>
  <c r="Y2115" i="4"/>
  <c r="R2115" i="4"/>
  <c r="Q2115" i="4"/>
  <c r="AF2114" i="4"/>
  <c r="Y2114" i="4"/>
  <c r="R2114" i="4"/>
  <c r="Q2114" i="4"/>
  <c r="AF2113" i="4"/>
  <c r="Y2113" i="4"/>
  <c r="R2113" i="4"/>
  <c r="Q2113" i="4"/>
  <c r="AF2112" i="4"/>
  <c r="Y2112" i="4"/>
  <c r="R2112" i="4"/>
  <c r="Q2112" i="4"/>
  <c r="AF2111" i="4"/>
  <c r="Y2111" i="4"/>
  <c r="R2111" i="4"/>
  <c r="Q2111" i="4"/>
  <c r="AF2110" i="4"/>
  <c r="Y2110" i="4"/>
  <c r="R2110" i="4"/>
  <c r="Q2110" i="4"/>
  <c r="AF2109" i="4"/>
  <c r="Y2109" i="4"/>
  <c r="R2109" i="4"/>
  <c r="Q2109" i="4"/>
  <c r="AF2108" i="4"/>
  <c r="Y2108" i="4"/>
  <c r="R2108" i="4"/>
  <c r="Q2108" i="4"/>
  <c r="AF2107" i="4"/>
  <c r="Y2107" i="4"/>
  <c r="R2107" i="4"/>
  <c r="Q2107" i="4"/>
  <c r="AF2106" i="4"/>
  <c r="Y2106" i="4"/>
  <c r="R2106" i="4"/>
  <c r="Q2106" i="4"/>
  <c r="AF2105" i="4"/>
  <c r="Y2105" i="4"/>
  <c r="R2105" i="4"/>
  <c r="Q2105" i="4"/>
  <c r="AF2104" i="4"/>
  <c r="Y2104" i="4"/>
  <c r="R2104" i="4"/>
  <c r="Q2104" i="4"/>
  <c r="AF2103" i="4"/>
  <c r="Y2103" i="4"/>
  <c r="R2103" i="4"/>
  <c r="Q2103" i="4"/>
  <c r="AF2102" i="4"/>
  <c r="Y2102" i="4"/>
  <c r="R2102" i="4"/>
  <c r="Q2102" i="4"/>
  <c r="AF2101" i="4"/>
  <c r="Y2101" i="4"/>
  <c r="R2101" i="4"/>
  <c r="Q2101" i="4"/>
  <c r="AF2100" i="4"/>
  <c r="Y2100" i="4"/>
  <c r="R2100" i="4"/>
  <c r="Q2100" i="4"/>
  <c r="AF2099" i="4"/>
  <c r="Y2099" i="4"/>
  <c r="R2099" i="4"/>
  <c r="Q2099" i="4"/>
  <c r="AF2098" i="4"/>
  <c r="Y2098" i="4"/>
  <c r="R2098" i="4"/>
  <c r="Q2098" i="4"/>
  <c r="AF2097" i="4"/>
  <c r="Y2097" i="4"/>
  <c r="R2097" i="4"/>
  <c r="Q2097" i="4"/>
  <c r="AF2096" i="4"/>
  <c r="Y2096" i="4"/>
  <c r="R2096" i="4"/>
  <c r="Q2096" i="4"/>
  <c r="AF2095" i="4"/>
  <c r="Y2095" i="4"/>
  <c r="R2095" i="4"/>
  <c r="Q2095" i="4"/>
  <c r="AF2094" i="4"/>
  <c r="Y2094" i="4"/>
  <c r="R2094" i="4"/>
  <c r="Q2094" i="4"/>
  <c r="AF2093" i="4"/>
  <c r="Y2093" i="4"/>
  <c r="R2093" i="4"/>
  <c r="Q2093" i="4"/>
  <c r="AF2092" i="4"/>
  <c r="Y2092" i="4"/>
  <c r="R2092" i="4"/>
  <c r="Q2092" i="4"/>
  <c r="AF2091" i="4"/>
  <c r="Y2091" i="4"/>
  <c r="R2091" i="4"/>
  <c r="Q2091" i="4"/>
  <c r="AF2090" i="4"/>
  <c r="Y2090" i="4"/>
  <c r="R2090" i="4"/>
  <c r="Q2090" i="4"/>
  <c r="AF2089" i="4"/>
  <c r="Y2089" i="4"/>
  <c r="R2089" i="4"/>
  <c r="Q2089" i="4"/>
  <c r="AF2088" i="4"/>
  <c r="Y2088" i="4"/>
  <c r="R2088" i="4"/>
  <c r="Q2088" i="4"/>
  <c r="AF2087" i="4"/>
  <c r="Y2087" i="4"/>
  <c r="R2087" i="4"/>
  <c r="Q2087" i="4"/>
  <c r="AF2086" i="4"/>
  <c r="Y2086" i="4"/>
  <c r="R2086" i="4"/>
  <c r="Q2086" i="4"/>
  <c r="AF2085" i="4"/>
  <c r="Y2085" i="4"/>
  <c r="R2085" i="4"/>
  <c r="Q2085" i="4"/>
  <c r="AF2084" i="4"/>
  <c r="Y2084" i="4"/>
  <c r="R2084" i="4"/>
  <c r="Q2084" i="4"/>
  <c r="AF2083" i="4"/>
  <c r="Y2083" i="4"/>
  <c r="R2083" i="4"/>
  <c r="Q2083" i="4"/>
  <c r="AF2082" i="4"/>
  <c r="Y2082" i="4"/>
  <c r="R2082" i="4"/>
  <c r="Q2082" i="4"/>
  <c r="AF2081" i="4"/>
  <c r="Y2081" i="4"/>
  <c r="R2081" i="4"/>
  <c r="Q2081" i="4"/>
  <c r="AF2080" i="4"/>
  <c r="Y2080" i="4"/>
  <c r="R2080" i="4"/>
  <c r="Q2080" i="4"/>
  <c r="AF2079" i="4"/>
  <c r="Y2079" i="4"/>
  <c r="R2079" i="4"/>
  <c r="Q2079" i="4"/>
  <c r="AF2078" i="4"/>
  <c r="Y2078" i="4"/>
  <c r="R2078" i="4"/>
  <c r="Q2078" i="4"/>
  <c r="AF2077" i="4"/>
  <c r="Y2077" i="4"/>
  <c r="R2077" i="4"/>
  <c r="Q2077" i="4"/>
  <c r="AF2076" i="4"/>
  <c r="Y2076" i="4"/>
  <c r="R2076" i="4"/>
  <c r="Q2076" i="4"/>
  <c r="AF2075" i="4"/>
  <c r="Y2075" i="4"/>
  <c r="R2075" i="4"/>
  <c r="Q2075" i="4"/>
  <c r="AF2074" i="4"/>
  <c r="Y2074" i="4"/>
  <c r="R2074" i="4"/>
  <c r="Q2074" i="4"/>
  <c r="AF2073" i="4"/>
  <c r="Y2073" i="4"/>
  <c r="R2073" i="4"/>
  <c r="Q2073" i="4"/>
  <c r="AF2072" i="4"/>
  <c r="Y2072" i="4"/>
  <c r="R2072" i="4"/>
  <c r="Q2072" i="4"/>
  <c r="AF2071" i="4"/>
  <c r="Y2071" i="4"/>
  <c r="R2071" i="4"/>
  <c r="Q2071" i="4"/>
  <c r="AF2070" i="4"/>
  <c r="Y2070" i="4"/>
  <c r="R2070" i="4"/>
  <c r="Q2070" i="4"/>
  <c r="AF2069" i="4"/>
  <c r="Y2069" i="4"/>
  <c r="R2069" i="4"/>
  <c r="Q2069" i="4"/>
  <c r="AF2068" i="4"/>
  <c r="Y2068" i="4"/>
  <c r="R2068" i="4"/>
  <c r="Q2068" i="4"/>
  <c r="AF2067" i="4"/>
  <c r="Y2067" i="4"/>
  <c r="R2067" i="4"/>
  <c r="Q2067" i="4"/>
  <c r="AF2066" i="4"/>
  <c r="Y2066" i="4"/>
  <c r="R2066" i="4"/>
  <c r="Q2066" i="4"/>
  <c r="AF2065" i="4"/>
  <c r="Y2065" i="4"/>
  <c r="R2065" i="4"/>
  <c r="Q2065" i="4"/>
  <c r="AF2064" i="4"/>
  <c r="Y2064" i="4"/>
  <c r="R2064" i="4"/>
  <c r="Q2064" i="4"/>
  <c r="AF2063" i="4"/>
  <c r="Y2063" i="4"/>
  <c r="R2063" i="4"/>
  <c r="Q2063" i="4"/>
  <c r="AF2062" i="4"/>
  <c r="Y2062" i="4"/>
  <c r="R2062" i="4"/>
  <c r="Q2062" i="4"/>
  <c r="AF2061" i="4"/>
  <c r="Y2061" i="4"/>
  <c r="R2061" i="4"/>
  <c r="Q2061" i="4"/>
  <c r="AF2060" i="4"/>
  <c r="Y2060" i="4"/>
  <c r="R2060" i="4"/>
  <c r="Q2060" i="4"/>
  <c r="AF2059" i="4"/>
  <c r="Y2059" i="4"/>
  <c r="R2059" i="4"/>
  <c r="Q2059" i="4"/>
  <c r="AF2058" i="4"/>
  <c r="Y2058" i="4"/>
  <c r="R2058" i="4"/>
  <c r="Q2058" i="4"/>
  <c r="AF2057" i="4"/>
  <c r="Y2057" i="4"/>
  <c r="R2057" i="4"/>
  <c r="Q2057" i="4"/>
  <c r="AF2056" i="4"/>
  <c r="Y2056" i="4"/>
  <c r="R2056" i="4"/>
  <c r="Q2056" i="4"/>
  <c r="AF2055" i="4"/>
  <c r="Y2055" i="4"/>
  <c r="R2055" i="4"/>
  <c r="Q2055" i="4"/>
  <c r="AF2054" i="4"/>
  <c r="Y2054" i="4"/>
  <c r="R2054" i="4"/>
  <c r="Q2054" i="4"/>
  <c r="AF2053" i="4"/>
  <c r="Y2053" i="4"/>
  <c r="R2053" i="4"/>
  <c r="Q2053" i="4"/>
  <c r="AF2052" i="4"/>
  <c r="Y2052" i="4"/>
  <c r="R2052" i="4"/>
  <c r="Q2052" i="4"/>
  <c r="AF2051" i="4"/>
  <c r="Y2051" i="4"/>
  <c r="R2051" i="4"/>
  <c r="Q2051" i="4"/>
  <c r="AF2050" i="4"/>
  <c r="Y2050" i="4"/>
  <c r="R2050" i="4"/>
  <c r="Q2050" i="4"/>
  <c r="AF2049" i="4"/>
  <c r="Y2049" i="4"/>
  <c r="R2049" i="4"/>
  <c r="Q2049" i="4"/>
  <c r="AF2048" i="4"/>
  <c r="Y2048" i="4"/>
  <c r="R2048" i="4"/>
  <c r="Q2048" i="4"/>
  <c r="AF2047" i="4"/>
  <c r="Y2047" i="4"/>
  <c r="R2047" i="4"/>
  <c r="Q2047" i="4"/>
  <c r="AF2046" i="4"/>
  <c r="Y2046" i="4"/>
  <c r="R2046" i="4"/>
  <c r="Q2046" i="4"/>
  <c r="AF2045" i="4"/>
  <c r="Y2045" i="4"/>
  <c r="R2045" i="4"/>
  <c r="Q2045" i="4"/>
  <c r="AF2044" i="4"/>
  <c r="Y2044" i="4"/>
  <c r="R2044" i="4"/>
  <c r="Q2044" i="4"/>
  <c r="AF2043" i="4"/>
  <c r="Y2043" i="4"/>
  <c r="R2043" i="4"/>
  <c r="Q2043" i="4"/>
  <c r="AF2042" i="4"/>
  <c r="Y2042" i="4"/>
  <c r="R2042" i="4"/>
  <c r="Q2042" i="4"/>
  <c r="AF2041" i="4"/>
  <c r="Y2041" i="4"/>
  <c r="R2041" i="4"/>
  <c r="Q2041" i="4"/>
  <c r="AF2040" i="4"/>
  <c r="Y2040" i="4"/>
  <c r="R2040" i="4"/>
  <c r="Q2040" i="4"/>
  <c r="AF2039" i="4"/>
  <c r="Y2039" i="4"/>
  <c r="R2039" i="4"/>
  <c r="Q2039" i="4"/>
  <c r="AF2038" i="4"/>
  <c r="Y2038" i="4"/>
  <c r="R2038" i="4"/>
  <c r="Q2038" i="4"/>
  <c r="AF2037" i="4"/>
  <c r="Y2037" i="4"/>
  <c r="R2037" i="4"/>
  <c r="Q2037" i="4"/>
  <c r="AF2036" i="4"/>
  <c r="Y2036" i="4"/>
  <c r="R2036" i="4"/>
  <c r="Q2036" i="4"/>
  <c r="AF2035" i="4"/>
  <c r="Y2035" i="4"/>
  <c r="R2035" i="4"/>
  <c r="Q2035" i="4"/>
  <c r="AF2034" i="4"/>
  <c r="Y2034" i="4"/>
  <c r="R2034" i="4"/>
  <c r="Q2034" i="4"/>
  <c r="AF2033" i="4"/>
  <c r="Y2033" i="4"/>
  <c r="R2033" i="4"/>
  <c r="Q2033" i="4"/>
  <c r="AF2032" i="4"/>
  <c r="Y2032" i="4"/>
  <c r="R2032" i="4"/>
  <c r="Q2032" i="4"/>
  <c r="AF2031" i="4"/>
  <c r="Y2031" i="4"/>
  <c r="R2031" i="4"/>
  <c r="Q2031" i="4"/>
  <c r="AF2030" i="4"/>
  <c r="Y2030" i="4"/>
  <c r="R2030" i="4"/>
  <c r="Q2030" i="4"/>
  <c r="AF2029" i="4"/>
  <c r="Y2029" i="4"/>
  <c r="R2029" i="4"/>
  <c r="Q2029" i="4"/>
  <c r="AF2028" i="4"/>
  <c r="Y2028" i="4"/>
  <c r="R2028" i="4"/>
  <c r="Q2028" i="4"/>
  <c r="AF2027" i="4"/>
  <c r="Y2027" i="4"/>
  <c r="R2027" i="4"/>
  <c r="Q2027" i="4"/>
  <c r="AF2026" i="4"/>
  <c r="Y2026" i="4"/>
  <c r="R2026" i="4"/>
  <c r="Q2026" i="4"/>
  <c r="AF2025" i="4"/>
  <c r="Y2025" i="4"/>
  <c r="R2025" i="4"/>
  <c r="Q2025" i="4"/>
  <c r="AF2024" i="4"/>
  <c r="Y2024" i="4"/>
  <c r="R2024" i="4"/>
  <c r="Q2024" i="4"/>
  <c r="AF2023" i="4"/>
  <c r="Y2023" i="4"/>
  <c r="R2023" i="4"/>
  <c r="Q2023" i="4"/>
  <c r="AF2022" i="4"/>
  <c r="Y2022" i="4"/>
  <c r="R2022" i="4"/>
  <c r="Q2022" i="4"/>
  <c r="AF2021" i="4"/>
  <c r="Y2021" i="4"/>
  <c r="R2021" i="4"/>
  <c r="Q2021" i="4"/>
  <c r="AF2020" i="4"/>
  <c r="Y2020" i="4"/>
  <c r="R2020" i="4"/>
  <c r="Q2020" i="4"/>
  <c r="AF2019" i="4"/>
  <c r="Y2019" i="4"/>
  <c r="R2019" i="4"/>
  <c r="Q2019" i="4"/>
  <c r="AF2018" i="4"/>
  <c r="Y2018" i="4"/>
  <c r="R2018" i="4"/>
  <c r="Q2018" i="4"/>
  <c r="AF2017" i="4"/>
  <c r="Y2017" i="4"/>
  <c r="R2017" i="4"/>
  <c r="Q2017" i="4"/>
  <c r="AF2016" i="4"/>
  <c r="Y2016" i="4"/>
  <c r="R2016" i="4"/>
  <c r="Q2016" i="4"/>
  <c r="AF2015" i="4"/>
  <c r="Y2015" i="4"/>
  <c r="R2015" i="4"/>
  <c r="Q2015" i="4"/>
  <c r="AF2014" i="4"/>
  <c r="Y2014" i="4"/>
  <c r="R2014" i="4"/>
  <c r="Q2014" i="4"/>
  <c r="AF2013" i="4"/>
  <c r="Y2013" i="4"/>
  <c r="R2013" i="4"/>
  <c r="Q2013" i="4"/>
  <c r="AF2012" i="4"/>
  <c r="Y2012" i="4"/>
  <c r="R2012" i="4"/>
  <c r="Q2012" i="4"/>
  <c r="AF2011" i="4"/>
  <c r="Y2011" i="4"/>
  <c r="R2011" i="4"/>
  <c r="Q2011" i="4"/>
  <c r="AF2010" i="4"/>
  <c r="Y2010" i="4"/>
  <c r="R2010" i="4"/>
  <c r="Q2010" i="4"/>
  <c r="AF2009" i="4"/>
  <c r="Y2009" i="4"/>
  <c r="R2009" i="4"/>
  <c r="Q2009" i="4"/>
  <c r="AF2008" i="4"/>
  <c r="Y2008" i="4"/>
  <c r="R2008" i="4"/>
  <c r="Q2008" i="4"/>
  <c r="AF2007" i="4"/>
  <c r="Y2007" i="4"/>
  <c r="R2007" i="4"/>
  <c r="Q2007" i="4"/>
  <c r="AF2006" i="4"/>
  <c r="Y2006" i="4"/>
  <c r="R2006" i="4"/>
  <c r="Q2006" i="4"/>
  <c r="AF2005" i="4"/>
  <c r="Y2005" i="4"/>
  <c r="R2005" i="4"/>
  <c r="Q2005" i="4"/>
  <c r="AF2004" i="4"/>
  <c r="Y2004" i="4"/>
  <c r="R2004" i="4"/>
  <c r="Q2004" i="4"/>
  <c r="AF2003" i="4"/>
  <c r="Y2003" i="4"/>
  <c r="R2003" i="4"/>
  <c r="Q2003" i="4"/>
  <c r="AF2002" i="4"/>
  <c r="Y2002" i="4"/>
  <c r="R2002" i="4"/>
  <c r="Q2002" i="4"/>
  <c r="AF2001" i="4"/>
  <c r="Y2001" i="4"/>
  <c r="R2001" i="4"/>
  <c r="Q2001" i="4"/>
  <c r="AF2000" i="4"/>
  <c r="Y2000" i="4"/>
  <c r="R2000" i="4"/>
  <c r="Q2000" i="4"/>
  <c r="AF1999" i="4"/>
  <c r="Y1999" i="4"/>
  <c r="R1999" i="4"/>
  <c r="Q1999" i="4"/>
  <c r="AF1998" i="4"/>
  <c r="Y1998" i="4"/>
  <c r="R1998" i="4"/>
  <c r="Q1998" i="4"/>
  <c r="AF1997" i="4"/>
  <c r="Y1997" i="4"/>
  <c r="R1997" i="4"/>
  <c r="Q1997" i="4"/>
  <c r="AF1996" i="4"/>
  <c r="Y1996" i="4"/>
  <c r="R1996" i="4"/>
  <c r="Q1996" i="4"/>
  <c r="AF1995" i="4"/>
  <c r="Y1995" i="4"/>
  <c r="R1995" i="4"/>
  <c r="Q1995" i="4"/>
  <c r="AF1994" i="4"/>
  <c r="Y1994" i="4"/>
  <c r="R1994" i="4"/>
  <c r="Q1994" i="4"/>
  <c r="AF1993" i="4"/>
  <c r="Y1993" i="4"/>
  <c r="R1993" i="4"/>
  <c r="Q1993" i="4"/>
  <c r="AF1992" i="4"/>
  <c r="Y1992" i="4"/>
  <c r="R1992" i="4"/>
  <c r="Q1992" i="4"/>
  <c r="AF1991" i="4"/>
  <c r="Y1991" i="4"/>
  <c r="R1991" i="4"/>
  <c r="Q1991" i="4"/>
  <c r="AF1990" i="4"/>
  <c r="Y1990" i="4"/>
  <c r="R1990" i="4"/>
  <c r="Q1990" i="4"/>
  <c r="AF1989" i="4"/>
  <c r="Y1989" i="4"/>
  <c r="R1989" i="4"/>
  <c r="Q1989" i="4"/>
  <c r="AF1988" i="4"/>
  <c r="Y1988" i="4"/>
  <c r="R1988" i="4"/>
  <c r="Q1988" i="4"/>
  <c r="AF1987" i="4"/>
  <c r="Y1987" i="4"/>
  <c r="R1987" i="4"/>
  <c r="Q1987" i="4"/>
  <c r="AF1986" i="4"/>
  <c r="Y1986" i="4"/>
  <c r="R1986" i="4"/>
  <c r="Q1986" i="4"/>
  <c r="AF1985" i="4"/>
  <c r="Y1985" i="4"/>
  <c r="R1985" i="4"/>
  <c r="Q1985" i="4"/>
  <c r="AF1984" i="4"/>
  <c r="Y1984" i="4"/>
  <c r="R1984" i="4"/>
  <c r="Q1984" i="4"/>
  <c r="AF1983" i="4"/>
  <c r="Y1983" i="4"/>
  <c r="R1983" i="4"/>
  <c r="Q1983" i="4"/>
  <c r="AF1982" i="4"/>
  <c r="Y1982" i="4"/>
  <c r="R1982" i="4"/>
  <c r="Q1982" i="4"/>
  <c r="AF1981" i="4"/>
  <c r="Y1981" i="4"/>
  <c r="R1981" i="4"/>
  <c r="Q1981" i="4"/>
  <c r="AF1980" i="4"/>
  <c r="Y1980" i="4"/>
  <c r="R1980" i="4"/>
  <c r="Q1980" i="4"/>
  <c r="AF1979" i="4"/>
  <c r="Y1979" i="4"/>
  <c r="R1979" i="4"/>
  <c r="Q1979" i="4"/>
  <c r="AF1978" i="4"/>
  <c r="Y1978" i="4"/>
  <c r="R1978" i="4"/>
  <c r="Q1978" i="4"/>
  <c r="AF1977" i="4"/>
  <c r="Y1977" i="4"/>
  <c r="R1977" i="4"/>
  <c r="Q1977" i="4"/>
  <c r="AF1976" i="4"/>
  <c r="Y1976" i="4"/>
  <c r="R1976" i="4"/>
  <c r="Q1976" i="4"/>
  <c r="AF1975" i="4"/>
  <c r="Y1975" i="4"/>
  <c r="R1975" i="4"/>
  <c r="Q1975" i="4"/>
  <c r="AF1974" i="4"/>
  <c r="Y1974" i="4"/>
  <c r="R1974" i="4"/>
  <c r="Q1974" i="4"/>
  <c r="AF1973" i="4"/>
  <c r="Y1973" i="4"/>
  <c r="R1973" i="4"/>
  <c r="Q1973" i="4"/>
  <c r="AF1972" i="4"/>
  <c r="Y1972" i="4"/>
  <c r="R1972" i="4"/>
  <c r="Q1972" i="4"/>
  <c r="AF1971" i="4"/>
  <c r="Y1971" i="4"/>
  <c r="R1971" i="4"/>
  <c r="Q1971" i="4"/>
  <c r="AF1970" i="4"/>
  <c r="Y1970" i="4"/>
  <c r="R1970" i="4"/>
  <c r="Q1970" i="4"/>
  <c r="AF1969" i="4"/>
  <c r="Y1969" i="4"/>
  <c r="R1969" i="4"/>
  <c r="Q1969" i="4"/>
  <c r="AF1968" i="4"/>
  <c r="Y1968" i="4"/>
  <c r="R1968" i="4"/>
  <c r="Q1968" i="4"/>
  <c r="AF1967" i="4"/>
  <c r="Y1967" i="4"/>
  <c r="R1967" i="4"/>
  <c r="Q1967" i="4"/>
  <c r="AF1966" i="4"/>
  <c r="Y1966" i="4"/>
  <c r="R1966" i="4"/>
  <c r="Q1966" i="4"/>
  <c r="AF1965" i="4"/>
  <c r="Y1965" i="4"/>
  <c r="R1965" i="4"/>
  <c r="Q1965" i="4"/>
  <c r="AF1964" i="4"/>
  <c r="Y1964" i="4"/>
  <c r="R1964" i="4"/>
  <c r="Q1964" i="4"/>
  <c r="AF1963" i="4"/>
  <c r="Y1963" i="4"/>
  <c r="R1963" i="4"/>
  <c r="Q1963" i="4"/>
  <c r="AF1962" i="4"/>
  <c r="Y1962" i="4"/>
  <c r="R1962" i="4"/>
  <c r="Q1962" i="4"/>
  <c r="AF1961" i="4"/>
  <c r="Y1961" i="4"/>
  <c r="R1961" i="4"/>
  <c r="Q1961" i="4"/>
  <c r="AF1960" i="4"/>
  <c r="Y1960" i="4"/>
  <c r="R1960" i="4"/>
  <c r="Q1960" i="4"/>
  <c r="AF1959" i="4"/>
  <c r="Y1959" i="4"/>
  <c r="R1959" i="4"/>
  <c r="Q1959" i="4"/>
  <c r="AF1958" i="4"/>
  <c r="Y1958" i="4"/>
  <c r="R1958" i="4"/>
  <c r="Q1958" i="4"/>
  <c r="AF1957" i="4"/>
  <c r="Y1957" i="4"/>
  <c r="R1957" i="4"/>
  <c r="Q1957" i="4"/>
  <c r="AF1956" i="4"/>
  <c r="Y1956" i="4"/>
  <c r="R1956" i="4"/>
  <c r="Q1956" i="4"/>
  <c r="AF1955" i="4"/>
  <c r="Y1955" i="4"/>
  <c r="R1955" i="4"/>
  <c r="Q1955" i="4"/>
  <c r="AF1954" i="4"/>
  <c r="Y1954" i="4"/>
  <c r="R1954" i="4"/>
  <c r="Q1954" i="4"/>
  <c r="AF1953" i="4"/>
  <c r="Y1953" i="4"/>
  <c r="R1953" i="4"/>
  <c r="Q1953" i="4"/>
  <c r="AF1952" i="4"/>
  <c r="Y1952" i="4"/>
  <c r="R1952" i="4"/>
  <c r="Q1952" i="4"/>
  <c r="AF1951" i="4"/>
  <c r="Y1951" i="4"/>
  <c r="R1951" i="4"/>
  <c r="Q1951" i="4"/>
  <c r="AF1950" i="4"/>
  <c r="Y1950" i="4"/>
  <c r="R1950" i="4"/>
  <c r="Q1950" i="4"/>
  <c r="AF1949" i="4"/>
  <c r="Y1949" i="4"/>
  <c r="R1949" i="4"/>
  <c r="Q1949" i="4"/>
  <c r="AF1948" i="4"/>
  <c r="Y1948" i="4"/>
  <c r="R1948" i="4"/>
  <c r="Q1948" i="4"/>
  <c r="AF1947" i="4"/>
  <c r="Y1947" i="4"/>
  <c r="R1947" i="4"/>
  <c r="Q1947" i="4"/>
  <c r="AF1946" i="4"/>
  <c r="Y1946" i="4"/>
  <c r="R1946" i="4"/>
  <c r="Q1946" i="4"/>
  <c r="AF1945" i="4"/>
  <c r="Y1945" i="4"/>
  <c r="R1945" i="4"/>
  <c r="Q1945" i="4"/>
  <c r="AF1944" i="4"/>
  <c r="Y1944" i="4"/>
  <c r="R1944" i="4"/>
  <c r="Q1944" i="4"/>
  <c r="AF1943" i="4"/>
  <c r="Y1943" i="4"/>
  <c r="R1943" i="4"/>
  <c r="Q1943" i="4"/>
  <c r="AF1942" i="4"/>
  <c r="Y1942" i="4"/>
  <c r="R1942" i="4"/>
  <c r="Q1942" i="4"/>
  <c r="AF1941" i="4"/>
  <c r="Y1941" i="4"/>
  <c r="R1941" i="4"/>
  <c r="Q1941" i="4"/>
  <c r="AF1940" i="4"/>
  <c r="Y1940" i="4"/>
  <c r="R1940" i="4"/>
  <c r="Q1940" i="4"/>
  <c r="AF1939" i="4"/>
  <c r="Y1939" i="4"/>
  <c r="R1939" i="4"/>
  <c r="Q1939" i="4"/>
  <c r="AF1938" i="4"/>
  <c r="Y1938" i="4"/>
  <c r="R1938" i="4"/>
  <c r="Q1938" i="4"/>
  <c r="AF1937" i="4"/>
  <c r="Y1937" i="4"/>
  <c r="R1937" i="4"/>
  <c r="Q1937" i="4"/>
  <c r="AF1936" i="4"/>
  <c r="Y1936" i="4"/>
  <c r="R1936" i="4"/>
  <c r="Q1936" i="4"/>
  <c r="AF1935" i="4"/>
  <c r="Y1935" i="4"/>
  <c r="R1935" i="4"/>
  <c r="Q1935" i="4"/>
  <c r="AF1934" i="4"/>
  <c r="Y1934" i="4"/>
  <c r="R1934" i="4"/>
  <c r="Q1934" i="4"/>
  <c r="AF1933" i="4"/>
  <c r="Y1933" i="4"/>
  <c r="R1933" i="4"/>
  <c r="Q1933" i="4"/>
  <c r="AF1932" i="4"/>
  <c r="Y1932" i="4"/>
  <c r="R1932" i="4"/>
  <c r="Q1932" i="4"/>
  <c r="AF1931" i="4"/>
  <c r="Y1931" i="4"/>
  <c r="R1931" i="4"/>
  <c r="Q1931" i="4"/>
  <c r="AF1930" i="4"/>
  <c r="Y1930" i="4"/>
  <c r="R1930" i="4"/>
  <c r="Q1930" i="4"/>
  <c r="AF1929" i="4"/>
  <c r="Y1929" i="4"/>
  <c r="R1929" i="4"/>
  <c r="Q1929" i="4"/>
  <c r="AF1928" i="4"/>
  <c r="Y1928" i="4"/>
  <c r="R1928" i="4"/>
  <c r="Q1928" i="4"/>
  <c r="AF1927" i="4"/>
  <c r="Y1927" i="4"/>
  <c r="R1927" i="4"/>
  <c r="Q1927" i="4"/>
  <c r="AF1926" i="4"/>
  <c r="Y1926" i="4"/>
  <c r="R1926" i="4"/>
  <c r="Q1926" i="4"/>
  <c r="AF1925" i="4"/>
  <c r="Y1925" i="4"/>
  <c r="R1925" i="4"/>
  <c r="Q1925" i="4"/>
  <c r="AF1924" i="4"/>
  <c r="Y1924" i="4"/>
  <c r="R1924" i="4"/>
  <c r="Q1924" i="4"/>
  <c r="AF1923" i="4"/>
  <c r="Y1923" i="4"/>
  <c r="R1923" i="4"/>
  <c r="Q1923" i="4"/>
  <c r="AF1922" i="4"/>
  <c r="Y1922" i="4"/>
  <c r="R1922" i="4"/>
  <c r="Q1922" i="4"/>
  <c r="AF1921" i="4"/>
  <c r="Y1921" i="4"/>
  <c r="R1921" i="4"/>
  <c r="Q1921" i="4"/>
  <c r="AF1920" i="4"/>
  <c r="Y1920" i="4"/>
  <c r="R1920" i="4"/>
  <c r="Q1920" i="4"/>
  <c r="AF1919" i="4"/>
  <c r="Y1919" i="4"/>
  <c r="R1919" i="4"/>
  <c r="Q1919" i="4"/>
  <c r="AF1918" i="4"/>
  <c r="Y1918" i="4"/>
  <c r="R1918" i="4"/>
  <c r="Q1918" i="4"/>
  <c r="AF1917" i="4"/>
  <c r="Y1917" i="4"/>
  <c r="R1917" i="4"/>
  <c r="Q1917" i="4"/>
  <c r="AF1916" i="4"/>
  <c r="Y1916" i="4"/>
  <c r="R1916" i="4"/>
  <c r="Q1916" i="4"/>
  <c r="AF1915" i="4"/>
  <c r="Y1915" i="4"/>
  <c r="R1915" i="4"/>
  <c r="Q1915" i="4"/>
  <c r="AF1914" i="4"/>
  <c r="Y1914" i="4"/>
  <c r="R1914" i="4"/>
  <c r="Q1914" i="4"/>
  <c r="AF1913" i="4"/>
  <c r="Y1913" i="4"/>
  <c r="R1913" i="4"/>
  <c r="Q1913" i="4"/>
  <c r="AF1912" i="4"/>
  <c r="Y1912" i="4"/>
  <c r="R1912" i="4"/>
  <c r="Q1912" i="4"/>
  <c r="AF1911" i="4"/>
  <c r="Y1911" i="4"/>
  <c r="R1911" i="4"/>
  <c r="Q1911" i="4"/>
  <c r="AF1910" i="4"/>
  <c r="Y1910" i="4"/>
  <c r="R1910" i="4"/>
  <c r="Q1910" i="4"/>
  <c r="AF1909" i="4"/>
  <c r="Y1909" i="4"/>
  <c r="R1909" i="4"/>
  <c r="Q1909" i="4"/>
  <c r="AF1908" i="4"/>
  <c r="Y1908" i="4"/>
  <c r="R1908" i="4"/>
  <c r="Q1908" i="4"/>
  <c r="AF1907" i="4"/>
  <c r="Y1907" i="4"/>
  <c r="R1907" i="4"/>
  <c r="Q1907" i="4"/>
  <c r="AF1906" i="4"/>
  <c r="Y1906" i="4"/>
  <c r="R1906" i="4"/>
  <c r="Q1906" i="4"/>
  <c r="AF1905" i="4"/>
  <c r="Y1905" i="4"/>
  <c r="R1905" i="4"/>
  <c r="Q1905" i="4"/>
  <c r="AF1904" i="4"/>
  <c r="Y1904" i="4"/>
  <c r="R1904" i="4"/>
  <c r="Q1904" i="4"/>
  <c r="AF1903" i="4"/>
  <c r="Y1903" i="4"/>
  <c r="R1903" i="4"/>
  <c r="Q1903" i="4"/>
  <c r="AF1902" i="4"/>
  <c r="Y1902" i="4"/>
  <c r="R1902" i="4"/>
  <c r="Q1902" i="4"/>
  <c r="AF1901" i="4"/>
  <c r="Y1901" i="4"/>
  <c r="R1901" i="4"/>
  <c r="Q1901" i="4"/>
  <c r="AF1900" i="4"/>
  <c r="Y1900" i="4"/>
  <c r="R1900" i="4"/>
  <c r="Q1900" i="4"/>
  <c r="AF1899" i="4"/>
  <c r="Y1899" i="4"/>
  <c r="R1899" i="4"/>
  <c r="Q1899" i="4"/>
  <c r="AF1898" i="4"/>
  <c r="Y1898" i="4"/>
  <c r="R1898" i="4"/>
  <c r="Q1898" i="4"/>
  <c r="AF1897" i="4"/>
  <c r="Y1897" i="4"/>
  <c r="R1897" i="4"/>
  <c r="Q1897" i="4"/>
  <c r="AF1896" i="4"/>
  <c r="Y1896" i="4"/>
  <c r="R1896" i="4"/>
  <c r="Q1896" i="4"/>
  <c r="AF1895" i="4"/>
  <c r="Y1895" i="4"/>
  <c r="R1895" i="4"/>
  <c r="Q1895" i="4"/>
  <c r="AF1894" i="4"/>
  <c r="Y1894" i="4"/>
  <c r="R1894" i="4"/>
  <c r="Q1894" i="4"/>
  <c r="AF1893" i="4"/>
  <c r="Y1893" i="4"/>
  <c r="R1893" i="4"/>
  <c r="Q1893" i="4"/>
  <c r="AF1892" i="4"/>
  <c r="Y1892" i="4"/>
  <c r="R1892" i="4"/>
  <c r="Q1892" i="4"/>
  <c r="AF1891" i="4"/>
  <c r="Y1891" i="4"/>
  <c r="R1891" i="4"/>
  <c r="Q1891" i="4"/>
  <c r="AF1890" i="4"/>
  <c r="Y1890" i="4"/>
  <c r="R1890" i="4"/>
  <c r="Q1890" i="4"/>
  <c r="AF1889" i="4"/>
  <c r="Y1889" i="4"/>
  <c r="R1889" i="4"/>
  <c r="Q1889" i="4"/>
  <c r="AF1888" i="4"/>
  <c r="Y1888" i="4"/>
  <c r="R1888" i="4"/>
  <c r="Q1888" i="4"/>
  <c r="AF1887" i="4"/>
  <c r="Y1887" i="4"/>
  <c r="R1887" i="4"/>
  <c r="Q1887" i="4"/>
  <c r="AF1886" i="4"/>
  <c r="Y1886" i="4"/>
  <c r="R1886" i="4"/>
  <c r="Q1886" i="4"/>
  <c r="AF1885" i="4"/>
  <c r="Y1885" i="4"/>
  <c r="R1885" i="4"/>
  <c r="Q1885" i="4"/>
  <c r="AF1884" i="4"/>
  <c r="Y1884" i="4"/>
  <c r="R1884" i="4"/>
  <c r="Q1884" i="4"/>
  <c r="AF1883" i="4"/>
  <c r="Y1883" i="4"/>
  <c r="R1883" i="4"/>
  <c r="Q1883" i="4"/>
  <c r="AF1882" i="4"/>
  <c r="Y1882" i="4"/>
  <c r="R1882" i="4"/>
  <c r="Q1882" i="4"/>
  <c r="AF1881" i="4"/>
  <c r="Y1881" i="4"/>
  <c r="R1881" i="4"/>
  <c r="Q1881" i="4"/>
  <c r="AF1880" i="4"/>
  <c r="Y1880" i="4"/>
  <c r="R1880" i="4"/>
  <c r="Q1880" i="4"/>
  <c r="AF1879" i="4"/>
  <c r="Y1879" i="4"/>
  <c r="R1879" i="4"/>
  <c r="Q1879" i="4"/>
  <c r="AF1878" i="4"/>
  <c r="Y1878" i="4"/>
  <c r="R1878" i="4"/>
  <c r="Q1878" i="4"/>
  <c r="AF1877" i="4"/>
  <c r="Y1877" i="4"/>
  <c r="R1877" i="4"/>
  <c r="Q1877" i="4"/>
  <c r="AF1876" i="4"/>
  <c r="Y1876" i="4"/>
  <c r="R1876" i="4"/>
  <c r="Q1876" i="4"/>
  <c r="AF1875" i="4"/>
  <c r="Y1875" i="4"/>
  <c r="R1875" i="4"/>
  <c r="Q1875" i="4"/>
  <c r="AF1874" i="4"/>
  <c r="Y1874" i="4"/>
  <c r="R1874" i="4"/>
  <c r="Q1874" i="4"/>
  <c r="AF1873" i="4"/>
  <c r="Y1873" i="4"/>
  <c r="R1873" i="4"/>
  <c r="Q1873" i="4"/>
  <c r="AF1872" i="4"/>
  <c r="Y1872" i="4"/>
  <c r="R1872" i="4"/>
  <c r="Q1872" i="4"/>
  <c r="AF1871" i="4"/>
  <c r="Y1871" i="4"/>
  <c r="R1871" i="4"/>
  <c r="Q1871" i="4"/>
  <c r="AF1870" i="4"/>
  <c r="Y1870" i="4"/>
  <c r="R1870" i="4"/>
  <c r="Q1870" i="4"/>
  <c r="AF1869" i="4"/>
  <c r="Y1869" i="4"/>
  <c r="R1869" i="4"/>
  <c r="Q1869" i="4"/>
  <c r="AF1868" i="4"/>
  <c r="Y1868" i="4"/>
  <c r="R1868" i="4"/>
  <c r="Q1868" i="4"/>
  <c r="AF1867" i="4"/>
  <c r="Y1867" i="4"/>
  <c r="R1867" i="4"/>
  <c r="Q1867" i="4"/>
  <c r="AF1866" i="4"/>
  <c r="Y1866" i="4"/>
  <c r="R1866" i="4"/>
  <c r="Q1866" i="4"/>
  <c r="AF1865" i="4"/>
  <c r="Y1865" i="4"/>
  <c r="R1865" i="4"/>
  <c r="Q1865" i="4"/>
  <c r="AF1864" i="4"/>
  <c r="Y1864" i="4"/>
  <c r="R1864" i="4"/>
  <c r="Q1864" i="4"/>
  <c r="AF1863" i="4"/>
  <c r="Y1863" i="4"/>
  <c r="R1863" i="4"/>
  <c r="Q1863" i="4"/>
  <c r="AF1862" i="4"/>
  <c r="Y1862" i="4"/>
  <c r="R1862" i="4"/>
  <c r="Q1862" i="4"/>
  <c r="AF1861" i="4"/>
  <c r="Y1861" i="4"/>
  <c r="R1861" i="4"/>
  <c r="Q1861" i="4"/>
  <c r="AF1860" i="4"/>
  <c r="Y1860" i="4"/>
  <c r="R1860" i="4"/>
  <c r="Q1860" i="4"/>
  <c r="AF1859" i="4"/>
  <c r="Y1859" i="4"/>
  <c r="R1859" i="4"/>
  <c r="Q1859" i="4"/>
  <c r="AF1858" i="4"/>
  <c r="Y1858" i="4"/>
  <c r="R1858" i="4"/>
  <c r="Q1858" i="4"/>
  <c r="AF1857" i="4"/>
  <c r="Y1857" i="4"/>
  <c r="R1857" i="4"/>
  <c r="Q1857" i="4"/>
  <c r="AF1856" i="4"/>
  <c r="Y1856" i="4"/>
  <c r="R1856" i="4"/>
  <c r="Q1856" i="4"/>
  <c r="AF1855" i="4"/>
  <c r="Y1855" i="4"/>
  <c r="R1855" i="4"/>
  <c r="Q1855" i="4"/>
  <c r="AF1854" i="4"/>
  <c r="Y1854" i="4"/>
  <c r="R1854" i="4"/>
  <c r="Q1854" i="4"/>
  <c r="AF1853" i="4"/>
  <c r="Y1853" i="4"/>
  <c r="R1853" i="4"/>
  <c r="Q1853" i="4"/>
  <c r="AF1852" i="4"/>
  <c r="Y1852" i="4"/>
  <c r="R1852" i="4"/>
  <c r="Q1852" i="4"/>
  <c r="AF1851" i="4"/>
  <c r="Y1851" i="4"/>
  <c r="R1851" i="4"/>
  <c r="Q1851" i="4"/>
  <c r="AF1850" i="4"/>
  <c r="Y1850" i="4"/>
  <c r="R1850" i="4"/>
  <c r="Q1850" i="4"/>
  <c r="AF1849" i="4"/>
  <c r="Y1849" i="4"/>
  <c r="R1849" i="4"/>
  <c r="Q1849" i="4"/>
  <c r="AF1848" i="4"/>
  <c r="Y1848" i="4"/>
  <c r="R1848" i="4"/>
  <c r="Q1848" i="4"/>
  <c r="AF1847" i="4"/>
  <c r="Y1847" i="4"/>
  <c r="R1847" i="4"/>
  <c r="Q1847" i="4"/>
  <c r="AF1846" i="4"/>
  <c r="Y1846" i="4"/>
  <c r="R1846" i="4"/>
  <c r="Q1846" i="4"/>
  <c r="AF1845" i="4"/>
  <c r="Y1845" i="4"/>
  <c r="R1845" i="4"/>
  <c r="Q1845" i="4"/>
  <c r="AF1844" i="4"/>
  <c r="Y1844" i="4"/>
  <c r="R1844" i="4"/>
  <c r="Q1844" i="4"/>
  <c r="AF1843" i="4"/>
  <c r="Y1843" i="4"/>
  <c r="R1843" i="4"/>
  <c r="Q1843" i="4"/>
  <c r="AF1842" i="4"/>
  <c r="Y1842" i="4"/>
  <c r="R1842" i="4"/>
  <c r="Q1842" i="4"/>
  <c r="AF1841" i="4"/>
  <c r="Y1841" i="4"/>
  <c r="R1841" i="4"/>
  <c r="Q1841" i="4"/>
  <c r="AF1840" i="4"/>
  <c r="Y1840" i="4"/>
  <c r="R1840" i="4"/>
  <c r="Q1840" i="4"/>
  <c r="AF1839" i="4"/>
  <c r="Y1839" i="4"/>
  <c r="R1839" i="4"/>
  <c r="Q1839" i="4"/>
  <c r="AF1838" i="4"/>
  <c r="Y1838" i="4"/>
  <c r="R1838" i="4"/>
  <c r="Q1838" i="4"/>
  <c r="AF1837" i="4"/>
  <c r="Y1837" i="4"/>
  <c r="R1837" i="4"/>
  <c r="Q1837" i="4"/>
  <c r="AF1836" i="4"/>
  <c r="Y1836" i="4"/>
  <c r="R1836" i="4"/>
  <c r="Q1836" i="4"/>
  <c r="AF1835" i="4"/>
  <c r="Y1835" i="4"/>
  <c r="R1835" i="4"/>
  <c r="Q1835" i="4"/>
  <c r="AF1834" i="4"/>
  <c r="Y1834" i="4"/>
  <c r="R1834" i="4"/>
  <c r="Q1834" i="4"/>
  <c r="AF1833" i="4"/>
  <c r="Y1833" i="4"/>
  <c r="R1833" i="4"/>
  <c r="Q1833" i="4"/>
  <c r="AF1832" i="4"/>
  <c r="Y1832" i="4"/>
  <c r="R1832" i="4"/>
  <c r="Q1832" i="4"/>
  <c r="AF1831" i="4"/>
  <c r="Y1831" i="4"/>
  <c r="R1831" i="4"/>
  <c r="Q1831" i="4"/>
  <c r="AF1830" i="4"/>
  <c r="Y1830" i="4"/>
  <c r="R1830" i="4"/>
  <c r="Q1830" i="4"/>
  <c r="AF1829" i="4"/>
  <c r="Y1829" i="4"/>
  <c r="R1829" i="4"/>
  <c r="Q1829" i="4"/>
  <c r="AF1828" i="4"/>
  <c r="Y1828" i="4"/>
  <c r="R1828" i="4"/>
  <c r="Q1828" i="4"/>
  <c r="AF1827" i="4"/>
  <c r="Y1827" i="4"/>
  <c r="R1827" i="4"/>
  <c r="Q1827" i="4"/>
  <c r="AF1826" i="4"/>
  <c r="Y1826" i="4"/>
  <c r="R1826" i="4"/>
  <c r="Q1826" i="4"/>
  <c r="AF1825" i="4"/>
  <c r="Y1825" i="4"/>
  <c r="R1825" i="4"/>
  <c r="Q1825" i="4"/>
  <c r="AF1824" i="4"/>
  <c r="Y1824" i="4"/>
  <c r="R1824" i="4"/>
  <c r="Q1824" i="4"/>
  <c r="AF1823" i="4"/>
  <c r="Y1823" i="4"/>
  <c r="R1823" i="4"/>
  <c r="Q1823" i="4"/>
  <c r="AF1822" i="4"/>
  <c r="Y1822" i="4"/>
  <c r="R1822" i="4"/>
  <c r="Q1822" i="4"/>
  <c r="AF1821" i="4"/>
  <c r="Y1821" i="4"/>
  <c r="R1821" i="4"/>
  <c r="Q1821" i="4"/>
  <c r="AF1820" i="4"/>
  <c r="Y1820" i="4"/>
  <c r="R1820" i="4"/>
  <c r="Q1820" i="4"/>
  <c r="AF1819" i="4"/>
  <c r="Y1819" i="4"/>
  <c r="R1819" i="4"/>
  <c r="Q1819" i="4"/>
  <c r="AF1818" i="4"/>
  <c r="Y1818" i="4"/>
  <c r="R1818" i="4"/>
  <c r="Q1818" i="4"/>
  <c r="AF1817" i="4"/>
  <c r="Y1817" i="4"/>
  <c r="R1817" i="4"/>
  <c r="Q1817" i="4"/>
  <c r="AF1816" i="4"/>
  <c r="Y1816" i="4"/>
  <c r="R1816" i="4"/>
  <c r="Q1816" i="4"/>
  <c r="AF1815" i="4"/>
  <c r="Y1815" i="4"/>
  <c r="R1815" i="4"/>
  <c r="Q1815" i="4"/>
  <c r="AF1814" i="4"/>
  <c r="Y1814" i="4"/>
  <c r="R1814" i="4"/>
  <c r="Q1814" i="4"/>
  <c r="AF1813" i="4"/>
  <c r="Y1813" i="4"/>
  <c r="R1813" i="4"/>
  <c r="Q1813" i="4"/>
  <c r="AF1812" i="4"/>
  <c r="Y1812" i="4"/>
  <c r="R1812" i="4"/>
  <c r="Q1812" i="4"/>
  <c r="AF1811" i="4"/>
  <c r="Y1811" i="4"/>
  <c r="R1811" i="4"/>
  <c r="Q1811" i="4"/>
  <c r="AF1810" i="4"/>
  <c r="Y1810" i="4"/>
  <c r="R1810" i="4"/>
  <c r="Q1810" i="4"/>
  <c r="AF1809" i="4"/>
  <c r="Y1809" i="4"/>
  <c r="R1809" i="4"/>
  <c r="Q1809" i="4"/>
  <c r="AF1808" i="4"/>
  <c r="Y1808" i="4"/>
  <c r="R1808" i="4"/>
  <c r="Q1808" i="4"/>
  <c r="AF1807" i="4"/>
  <c r="Y1807" i="4"/>
  <c r="R1807" i="4"/>
  <c r="Q1807" i="4"/>
  <c r="AF1806" i="4"/>
  <c r="Y1806" i="4"/>
  <c r="R1806" i="4"/>
  <c r="Q1806" i="4"/>
  <c r="AF1805" i="4"/>
  <c r="Y1805" i="4"/>
  <c r="R1805" i="4"/>
  <c r="Q1805" i="4"/>
  <c r="AF1804" i="4"/>
  <c r="Y1804" i="4"/>
  <c r="R1804" i="4"/>
  <c r="Q1804" i="4"/>
  <c r="AF1803" i="4"/>
  <c r="Y1803" i="4"/>
  <c r="R1803" i="4"/>
  <c r="Q1803" i="4"/>
  <c r="AF1802" i="4"/>
  <c r="Y1802" i="4"/>
  <c r="R1802" i="4"/>
  <c r="Q1802" i="4"/>
  <c r="AF1801" i="4"/>
  <c r="Y1801" i="4"/>
  <c r="R1801" i="4"/>
  <c r="Q1801" i="4"/>
  <c r="AF1800" i="4"/>
  <c r="Y1800" i="4"/>
  <c r="R1800" i="4"/>
  <c r="Q1800" i="4"/>
  <c r="AF1799" i="4"/>
  <c r="Y1799" i="4"/>
  <c r="R1799" i="4"/>
  <c r="Q1799" i="4"/>
  <c r="AF1798" i="4"/>
  <c r="Y1798" i="4"/>
  <c r="R1798" i="4"/>
  <c r="Q1798" i="4"/>
  <c r="AF1797" i="4"/>
  <c r="Y1797" i="4"/>
  <c r="R1797" i="4"/>
  <c r="Q1797" i="4"/>
  <c r="AF1796" i="4"/>
  <c r="Y1796" i="4"/>
  <c r="R1796" i="4"/>
  <c r="Q1796" i="4"/>
  <c r="AF1795" i="4"/>
  <c r="Y1795" i="4"/>
  <c r="R1795" i="4"/>
  <c r="Q1795" i="4"/>
  <c r="AF1794" i="4"/>
  <c r="Y1794" i="4"/>
  <c r="R1794" i="4"/>
  <c r="Q1794" i="4"/>
  <c r="AF1793" i="4"/>
  <c r="Y1793" i="4"/>
  <c r="R1793" i="4"/>
  <c r="Q1793" i="4"/>
  <c r="AF1792" i="4"/>
  <c r="Y1792" i="4"/>
  <c r="R1792" i="4"/>
  <c r="Q1792" i="4"/>
  <c r="AF1791" i="4"/>
  <c r="Y1791" i="4"/>
  <c r="R1791" i="4"/>
  <c r="Q1791" i="4"/>
  <c r="AF1790" i="4"/>
  <c r="Y1790" i="4"/>
  <c r="R1790" i="4"/>
  <c r="Q1790" i="4"/>
  <c r="AF1789" i="4"/>
  <c r="Y1789" i="4"/>
  <c r="R1789" i="4"/>
  <c r="Q1789" i="4"/>
  <c r="AF1788" i="4"/>
  <c r="Y1788" i="4"/>
  <c r="R1788" i="4"/>
  <c r="Q1788" i="4"/>
  <c r="AF1787" i="4"/>
  <c r="Y1787" i="4"/>
  <c r="R1787" i="4"/>
  <c r="Q1787" i="4"/>
  <c r="AF1786" i="4"/>
  <c r="Y1786" i="4"/>
  <c r="R1786" i="4"/>
  <c r="Q1786" i="4"/>
  <c r="AF1785" i="4"/>
  <c r="Y1785" i="4"/>
  <c r="R1785" i="4"/>
  <c r="Q1785" i="4"/>
  <c r="AF1784" i="4"/>
  <c r="Y1784" i="4"/>
  <c r="R1784" i="4"/>
  <c r="Q1784" i="4"/>
  <c r="AF1783" i="4"/>
  <c r="Y1783" i="4"/>
  <c r="R1783" i="4"/>
  <c r="Q1783" i="4"/>
  <c r="AF1782" i="4"/>
  <c r="Y1782" i="4"/>
  <c r="R1782" i="4"/>
  <c r="Q1782" i="4"/>
  <c r="AF1781" i="4"/>
  <c r="Y1781" i="4"/>
  <c r="R1781" i="4"/>
  <c r="Q1781" i="4"/>
  <c r="AF1780" i="4"/>
  <c r="Y1780" i="4"/>
  <c r="R1780" i="4"/>
  <c r="Q1780" i="4"/>
  <c r="AF1779" i="4"/>
  <c r="Y1779" i="4"/>
  <c r="R1779" i="4"/>
  <c r="Q1779" i="4"/>
  <c r="AF1778" i="4"/>
  <c r="Y1778" i="4"/>
  <c r="R1778" i="4"/>
  <c r="Q1778" i="4"/>
  <c r="AF1777" i="4"/>
  <c r="Y1777" i="4"/>
  <c r="R1777" i="4"/>
  <c r="Q1777" i="4"/>
  <c r="AF1776" i="4"/>
  <c r="Y1776" i="4"/>
  <c r="R1776" i="4"/>
  <c r="Q1776" i="4"/>
  <c r="AF1775" i="4"/>
  <c r="Y1775" i="4"/>
  <c r="R1775" i="4"/>
  <c r="Q1775" i="4"/>
  <c r="AF1774" i="4"/>
  <c r="Y1774" i="4"/>
  <c r="R1774" i="4"/>
  <c r="Q1774" i="4"/>
  <c r="AF1773" i="4"/>
  <c r="Y1773" i="4"/>
  <c r="R1773" i="4"/>
  <c r="Q1773" i="4"/>
  <c r="AF1772" i="4"/>
  <c r="Y1772" i="4"/>
  <c r="R1772" i="4"/>
  <c r="Q1772" i="4"/>
  <c r="AF1771" i="4"/>
  <c r="Y1771" i="4"/>
  <c r="R1771" i="4"/>
  <c r="Q1771" i="4"/>
  <c r="AF1770" i="4"/>
  <c r="Y1770" i="4"/>
  <c r="R1770" i="4"/>
  <c r="Q1770" i="4"/>
  <c r="AF1769" i="4"/>
  <c r="Y1769" i="4"/>
  <c r="R1769" i="4"/>
  <c r="Q1769" i="4"/>
  <c r="AF1768" i="4"/>
  <c r="Y1768" i="4"/>
  <c r="R1768" i="4"/>
  <c r="Q1768" i="4"/>
  <c r="AF1767" i="4"/>
  <c r="Y1767" i="4"/>
  <c r="R1767" i="4"/>
  <c r="Q1767" i="4"/>
  <c r="AF1766" i="4"/>
  <c r="Y1766" i="4"/>
  <c r="R1766" i="4"/>
  <c r="Q1766" i="4"/>
  <c r="AF1765" i="4"/>
  <c r="Y1765" i="4"/>
  <c r="R1765" i="4"/>
  <c r="Q1765" i="4"/>
  <c r="AF1764" i="4"/>
  <c r="Y1764" i="4"/>
  <c r="R1764" i="4"/>
  <c r="Q1764" i="4"/>
  <c r="AF1763" i="4"/>
  <c r="Y1763" i="4"/>
  <c r="R1763" i="4"/>
  <c r="Q1763" i="4"/>
  <c r="AF1762" i="4"/>
  <c r="Y1762" i="4"/>
  <c r="R1762" i="4"/>
  <c r="Q1762" i="4"/>
  <c r="AF1761" i="4"/>
  <c r="Y1761" i="4"/>
  <c r="R1761" i="4"/>
  <c r="Q1761" i="4"/>
  <c r="AF1760" i="4"/>
  <c r="Y1760" i="4"/>
  <c r="R1760" i="4"/>
  <c r="Q1760" i="4"/>
  <c r="AF1759" i="4"/>
  <c r="Y1759" i="4"/>
  <c r="R1759" i="4"/>
  <c r="Q1759" i="4"/>
  <c r="AF1758" i="4"/>
  <c r="Y1758" i="4"/>
  <c r="R1758" i="4"/>
  <c r="Q1758" i="4"/>
  <c r="AF1757" i="4"/>
  <c r="Y1757" i="4"/>
  <c r="R1757" i="4"/>
  <c r="Q1757" i="4"/>
  <c r="AF1756" i="4"/>
  <c r="Y1756" i="4"/>
  <c r="R1756" i="4"/>
  <c r="Q1756" i="4"/>
  <c r="AF1755" i="4"/>
  <c r="Y1755" i="4"/>
  <c r="R1755" i="4"/>
  <c r="Q1755" i="4"/>
  <c r="AF1754" i="4"/>
  <c r="Y1754" i="4"/>
  <c r="R1754" i="4"/>
  <c r="Q1754" i="4"/>
  <c r="AF1753" i="4"/>
  <c r="Y1753" i="4"/>
  <c r="R1753" i="4"/>
  <c r="Q1753" i="4"/>
  <c r="AF1752" i="4"/>
  <c r="Y1752" i="4"/>
  <c r="R1752" i="4"/>
  <c r="Q1752" i="4"/>
  <c r="AF1751" i="4"/>
  <c r="Y1751" i="4"/>
  <c r="R1751" i="4"/>
  <c r="Q1751" i="4"/>
  <c r="AF1750" i="4"/>
  <c r="Y1750" i="4"/>
  <c r="R1750" i="4"/>
  <c r="Q1750" i="4"/>
  <c r="AF1749" i="4"/>
  <c r="Y1749" i="4"/>
  <c r="R1749" i="4"/>
  <c r="Q1749" i="4"/>
  <c r="AF1748" i="4"/>
  <c r="Y1748" i="4"/>
  <c r="R1748" i="4"/>
  <c r="Q1748" i="4"/>
  <c r="AF1747" i="4"/>
  <c r="Y1747" i="4"/>
  <c r="R1747" i="4"/>
  <c r="Q1747" i="4"/>
  <c r="AF1746" i="4"/>
  <c r="Y1746" i="4"/>
  <c r="R1746" i="4"/>
  <c r="Q1746" i="4"/>
  <c r="AF1745" i="4"/>
  <c r="Y1745" i="4"/>
  <c r="R1745" i="4"/>
  <c r="Q1745" i="4"/>
  <c r="AF1744" i="4"/>
  <c r="Y1744" i="4"/>
  <c r="R1744" i="4"/>
  <c r="Q1744" i="4"/>
  <c r="AF1743" i="4"/>
  <c r="Y1743" i="4"/>
  <c r="R1743" i="4"/>
  <c r="Q1743" i="4"/>
  <c r="AF1742" i="4"/>
  <c r="Y1742" i="4"/>
  <c r="R1742" i="4"/>
  <c r="Q1742" i="4"/>
  <c r="AF1741" i="4"/>
  <c r="Y1741" i="4"/>
  <c r="R1741" i="4"/>
  <c r="Q1741" i="4"/>
  <c r="AF1740" i="4"/>
  <c r="Y1740" i="4"/>
  <c r="R1740" i="4"/>
  <c r="Q1740" i="4"/>
  <c r="AF1739" i="4"/>
  <c r="Y1739" i="4"/>
  <c r="R1739" i="4"/>
  <c r="Q1739" i="4"/>
  <c r="AF1738" i="4"/>
  <c r="Y1738" i="4"/>
  <c r="R1738" i="4"/>
  <c r="Q1738" i="4"/>
  <c r="AF1737" i="4"/>
  <c r="Y1737" i="4"/>
  <c r="R1737" i="4"/>
  <c r="Q1737" i="4"/>
  <c r="AF1736" i="4"/>
  <c r="Y1736" i="4"/>
  <c r="R1736" i="4"/>
  <c r="Q1736" i="4"/>
  <c r="AF1735" i="4"/>
  <c r="Y1735" i="4"/>
  <c r="R1735" i="4"/>
  <c r="Q1735" i="4"/>
  <c r="AF1734" i="4"/>
  <c r="Y1734" i="4"/>
  <c r="R1734" i="4"/>
  <c r="Q1734" i="4"/>
  <c r="AF1733" i="4"/>
  <c r="Y1733" i="4"/>
  <c r="R1733" i="4"/>
  <c r="Q1733" i="4"/>
  <c r="AF1732" i="4"/>
  <c r="Y1732" i="4"/>
  <c r="R1732" i="4"/>
  <c r="Q1732" i="4"/>
  <c r="AF1731" i="4"/>
  <c r="Y1731" i="4"/>
  <c r="R1731" i="4"/>
  <c r="Q1731" i="4"/>
  <c r="AF1730" i="4"/>
  <c r="Y1730" i="4"/>
  <c r="R1730" i="4"/>
  <c r="Q1730" i="4"/>
  <c r="AF1729" i="4"/>
  <c r="Y1729" i="4"/>
  <c r="R1729" i="4"/>
  <c r="Q1729" i="4"/>
  <c r="AF1728" i="4"/>
  <c r="Y1728" i="4"/>
  <c r="R1728" i="4"/>
  <c r="Q1728" i="4"/>
  <c r="AF1727" i="4"/>
  <c r="Y1727" i="4"/>
  <c r="R1727" i="4"/>
  <c r="Q1727" i="4"/>
  <c r="AF1726" i="4"/>
  <c r="Y1726" i="4"/>
  <c r="R1726" i="4"/>
  <c r="Q1726" i="4"/>
  <c r="AF1725" i="4"/>
  <c r="Y1725" i="4"/>
  <c r="R1725" i="4"/>
  <c r="Q1725" i="4"/>
  <c r="AF1724" i="4"/>
  <c r="Y1724" i="4"/>
  <c r="R1724" i="4"/>
  <c r="Q1724" i="4"/>
  <c r="AF1723" i="4"/>
  <c r="Y1723" i="4"/>
  <c r="R1723" i="4"/>
  <c r="Q1723" i="4"/>
  <c r="AF1722" i="4"/>
  <c r="Y1722" i="4"/>
  <c r="R1722" i="4"/>
  <c r="Q1722" i="4"/>
  <c r="AF1721" i="4"/>
  <c r="Y1721" i="4"/>
  <c r="R1721" i="4"/>
  <c r="Q1721" i="4"/>
  <c r="AF1720" i="4"/>
  <c r="Y1720" i="4"/>
  <c r="R1720" i="4"/>
  <c r="Q1720" i="4"/>
  <c r="AF1719" i="4"/>
  <c r="Y1719" i="4"/>
  <c r="R1719" i="4"/>
  <c r="Q1719" i="4"/>
  <c r="AF1718" i="4"/>
  <c r="Y1718" i="4"/>
  <c r="R1718" i="4"/>
  <c r="Q1718" i="4"/>
  <c r="AF1717" i="4"/>
  <c r="Y1717" i="4"/>
  <c r="R1717" i="4"/>
  <c r="Q1717" i="4"/>
  <c r="AF1716" i="4"/>
  <c r="Y1716" i="4"/>
  <c r="R1716" i="4"/>
  <c r="Q1716" i="4"/>
  <c r="AF1715" i="4"/>
  <c r="Y1715" i="4"/>
  <c r="R1715" i="4"/>
  <c r="Q1715" i="4"/>
  <c r="AF1714" i="4"/>
  <c r="Y1714" i="4"/>
  <c r="R1714" i="4"/>
  <c r="Q1714" i="4"/>
  <c r="AF1713" i="4"/>
  <c r="Y1713" i="4"/>
  <c r="R1713" i="4"/>
  <c r="Q1713" i="4"/>
  <c r="AF1712" i="4"/>
  <c r="Y1712" i="4"/>
  <c r="R1712" i="4"/>
  <c r="Q1712" i="4"/>
  <c r="AF1711" i="4"/>
  <c r="Y1711" i="4"/>
  <c r="R1711" i="4"/>
  <c r="Q1711" i="4"/>
  <c r="AF1710" i="4"/>
  <c r="Y1710" i="4"/>
  <c r="R1710" i="4"/>
  <c r="Q1710" i="4"/>
  <c r="AF1709" i="4"/>
  <c r="Y1709" i="4"/>
  <c r="R1709" i="4"/>
  <c r="Q1709" i="4"/>
  <c r="AF1708" i="4"/>
  <c r="Y1708" i="4"/>
  <c r="R1708" i="4"/>
  <c r="Q1708" i="4"/>
  <c r="AF1707" i="4"/>
  <c r="Y1707" i="4"/>
  <c r="R1707" i="4"/>
  <c r="Q1707" i="4"/>
  <c r="AF1706" i="4"/>
  <c r="Y1706" i="4"/>
  <c r="R1706" i="4"/>
  <c r="Q1706" i="4"/>
  <c r="AF1705" i="4"/>
  <c r="Y1705" i="4"/>
  <c r="R1705" i="4"/>
  <c r="Q1705" i="4"/>
  <c r="AF1704" i="4"/>
  <c r="Y1704" i="4"/>
  <c r="R1704" i="4"/>
  <c r="Q1704" i="4"/>
  <c r="AF1703" i="4"/>
  <c r="Y1703" i="4"/>
  <c r="R1703" i="4"/>
  <c r="Q1703" i="4"/>
  <c r="AF1702" i="4"/>
  <c r="Y1702" i="4"/>
  <c r="R1702" i="4"/>
  <c r="Q1702" i="4"/>
  <c r="AF1701" i="4"/>
  <c r="Y1701" i="4"/>
  <c r="R1701" i="4"/>
  <c r="Q1701" i="4"/>
  <c r="AF1700" i="4"/>
  <c r="Y1700" i="4"/>
  <c r="R1700" i="4"/>
  <c r="Q1700" i="4"/>
  <c r="AF1699" i="4"/>
  <c r="Y1699" i="4"/>
  <c r="R1699" i="4"/>
  <c r="Q1699" i="4"/>
  <c r="AF1698" i="4"/>
  <c r="Y1698" i="4"/>
  <c r="R1698" i="4"/>
  <c r="Q1698" i="4"/>
  <c r="AF1697" i="4"/>
  <c r="Y1697" i="4"/>
  <c r="R1697" i="4"/>
  <c r="Q1697" i="4"/>
  <c r="AF1696" i="4"/>
  <c r="Y1696" i="4"/>
  <c r="R1696" i="4"/>
  <c r="Q1696" i="4"/>
  <c r="AF1695" i="4"/>
  <c r="Y1695" i="4"/>
  <c r="R1695" i="4"/>
  <c r="Q1695" i="4"/>
  <c r="AF1694" i="4"/>
  <c r="Y1694" i="4"/>
  <c r="R1694" i="4"/>
  <c r="Q1694" i="4"/>
  <c r="AF1693" i="4"/>
  <c r="Y1693" i="4"/>
  <c r="R1693" i="4"/>
  <c r="Q1693" i="4"/>
  <c r="AF1692" i="4"/>
  <c r="Y1692" i="4"/>
  <c r="R1692" i="4"/>
  <c r="Q1692" i="4"/>
  <c r="AF1691" i="4"/>
  <c r="Y1691" i="4"/>
  <c r="R1691" i="4"/>
  <c r="Q1691" i="4"/>
  <c r="AF1690" i="4"/>
  <c r="Y1690" i="4"/>
  <c r="R1690" i="4"/>
  <c r="Q1690" i="4"/>
  <c r="AF1689" i="4"/>
  <c r="Y1689" i="4"/>
  <c r="R1689" i="4"/>
  <c r="Q1689" i="4"/>
  <c r="AF1688" i="4"/>
  <c r="Y1688" i="4"/>
  <c r="R1688" i="4"/>
  <c r="Q1688" i="4"/>
  <c r="AF1687" i="4"/>
  <c r="Y1687" i="4"/>
  <c r="R1687" i="4"/>
  <c r="Q1687" i="4"/>
  <c r="AF1686" i="4"/>
  <c r="Y1686" i="4"/>
  <c r="R1686" i="4"/>
  <c r="Q1686" i="4"/>
  <c r="AF1685" i="4"/>
  <c r="Y1685" i="4"/>
  <c r="R1685" i="4"/>
  <c r="Q1685" i="4"/>
  <c r="AF1684" i="4"/>
  <c r="Y1684" i="4"/>
  <c r="R1684" i="4"/>
  <c r="Q1684" i="4"/>
  <c r="AF1683" i="4"/>
  <c r="Y1683" i="4"/>
  <c r="R1683" i="4"/>
  <c r="Q1683" i="4"/>
  <c r="AF1682" i="4"/>
  <c r="Y1682" i="4"/>
  <c r="R1682" i="4"/>
  <c r="Q1682" i="4"/>
  <c r="AF1681" i="4"/>
  <c r="Y1681" i="4"/>
  <c r="R1681" i="4"/>
  <c r="Q1681" i="4"/>
  <c r="AF1680" i="4"/>
  <c r="Y1680" i="4"/>
  <c r="R1680" i="4"/>
  <c r="Q1680" i="4"/>
  <c r="AF1679" i="4"/>
  <c r="Y1679" i="4"/>
  <c r="R1679" i="4"/>
  <c r="Q1679" i="4"/>
  <c r="AF1678" i="4"/>
  <c r="Y1678" i="4"/>
  <c r="R1678" i="4"/>
  <c r="Q1678" i="4"/>
  <c r="AF1677" i="4"/>
  <c r="Y1677" i="4"/>
  <c r="R1677" i="4"/>
  <c r="Q1677" i="4"/>
  <c r="AF1676" i="4"/>
  <c r="Y1676" i="4"/>
  <c r="R1676" i="4"/>
  <c r="Q1676" i="4"/>
  <c r="AF1675" i="4"/>
  <c r="Y1675" i="4"/>
  <c r="R1675" i="4"/>
  <c r="Q1675" i="4"/>
  <c r="AF1674" i="4"/>
  <c r="Y1674" i="4"/>
  <c r="R1674" i="4"/>
  <c r="Q1674" i="4"/>
  <c r="AF1673" i="4"/>
  <c r="Y1673" i="4"/>
  <c r="R1673" i="4"/>
  <c r="Q1673" i="4"/>
  <c r="AF1672" i="4"/>
  <c r="Y1672" i="4"/>
  <c r="R1672" i="4"/>
  <c r="Q1672" i="4"/>
  <c r="AF1671" i="4"/>
  <c r="Y1671" i="4"/>
  <c r="R1671" i="4"/>
  <c r="Q1671" i="4"/>
  <c r="AF1670" i="4"/>
  <c r="Y1670" i="4"/>
  <c r="R1670" i="4"/>
  <c r="Q1670" i="4"/>
  <c r="AF1669" i="4"/>
  <c r="Y1669" i="4"/>
  <c r="R1669" i="4"/>
  <c r="Q1669" i="4"/>
  <c r="AF1668" i="4"/>
  <c r="Y1668" i="4"/>
  <c r="R1668" i="4"/>
  <c r="Q1668" i="4"/>
  <c r="AF1667" i="4"/>
  <c r="Y1667" i="4"/>
  <c r="R1667" i="4"/>
  <c r="Q1667" i="4"/>
  <c r="AF1666" i="4"/>
  <c r="Y1666" i="4"/>
  <c r="R1666" i="4"/>
  <c r="Q1666" i="4"/>
  <c r="AF1665" i="4"/>
  <c r="Y1665" i="4"/>
  <c r="R1665" i="4"/>
  <c r="Q1665" i="4"/>
  <c r="AF1664" i="4"/>
  <c r="Y1664" i="4"/>
  <c r="R1664" i="4"/>
  <c r="Q1664" i="4"/>
  <c r="AF1663" i="4"/>
  <c r="Y1663" i="4"/>
  <c r="R1663" i="4"/>
  <c r="Q1663" i="4"/>
  <c r="AF1662" i="4"/>
  <c r="Y1662" i="4"/>
  <c r="R1662" i="4"/>
  <c r="Q1662" i="4"/>
  <c r="AF1661" i="4"/>
  <c r="Y1661" i="4"/>
  <c r="R1661" i="4"/>
  <c r="Q1661" i="4"/>
  <c r="AF1660" i="4"/>
  <c r="Y1660" i="4"/>
  <c r="R1660" i="4"/>
  <c r="Q1660" i="4"/>
  <c r="AF1659" i="4"/>
  <c r="Y1659" i="4"/>
  <c r="R1659" i="4"/>
  <c r="Q1659" i="4"/>
  <c r="AF1658" i="4"/>
  <c r="Y1658" i="4"/>
  <c r="R1658" i="4"/>
  <c r="Q1658" i="4"/>
  <c r="AF1657" i="4"/>
  <c r="Y1657" i="4"/>
  <c r="R1657" i="4"/>
  <c r="Q1657" i="4"/>
  <c r="AF1656" i="4"/>
  <c r="Y1656" i="4"/>
  <c r="R1656" i="4"/>
  <c r="Q1656" i="4"/>
  <c r="AF1655" i="4"/>
  <c r="Y1655" i="4"/>
  <c r="R1655" i="4"/>
  <c r="Q1655" i="4"/>
  <c r="AF1654" i="4"/>
  <c r="Y1654" i="4"/>
  <c r="R1654" i="4"/>
  <c r="Q1654" i="4"/>
  <c r="AF1653" i="4"/>
  <c r="Y1653" i="4"/>
  <c r="R1653" i="4"/>
  <c r="Q1653" i="4"/>
  <c r="AF1652" i="4"/>
  <c r="Y1652" i="4"/>
  <c r="R1652" i="4"/>
  <c r="Q1652" i="4"/>
  <c r="AF1651" i="4"/>
  <c r="Y1651" i="4"/>
  <c r="R1651" i="4"/>
  <c r="Q1651" i="4"/>
  <c r="AF1650" i="4"/>
  <c r="Y1650" i="4"/>
  <c r="R1650" i="4"/>
  <c r="Q1650" i="4"/>
  <c r="AF1649" i="4"/>
  <c r="Y1649" i="4"/>
  <c r="R1649" i="4"/>
  <c r="Q1649" i="4"/>
  <c r="AF1648" i="4"/>
  <c r="Y1648" i="4"/>
  <c r="R1648" i="4"/>
  <c r="Q1648" i="4"/>
  <c r="AF1647" i="4"/>
  <c r="Y1647" i="4"/>
  <c r="R1647" i="4"/>
  <c r="Q1647" i="4"/>
  <c r="AF1646" i="4"/>
  <c r="Y1646" i="4"/>
  <c r="R1646" i="4"/>
  <c r="Q1646" i="4"/>
  <c r="AF1645" i="4"/>
  <c r="Y1645" i="4"/>
  <c r="R1645" i="4"/>
  <c r="Q1645" i="4"/>
  <c r="AF1644" i="4"/>
  <c r="Y1644" i="4"/>
  <c r="R1644" i="4"/>
  <c r="Q1644" i="4"/>
  <c r="AF1643" i="4"/>
  <c r="Y1643" i="4"/>
  <c r="R1643" i="4"/>
  <c r="Q1643" i="4"/>
  <c r="AF1642" i="4"/>
  <c r="Y1642" i="4"/>
  <c r="R1642" i="4"/>
  <c r="Q1642" i="4"/>
  <c r="AF1641" i="4"/>
  <c r="Y1641" i="4"/>
  <c r="R1641" i="4"/>
  <c r="Q1641" i="4"/>
  <c r="AF1640" i="4"/>
  <c r="Y1640" i="4"/>
  <c r="R1640" i="4"/>
  <c r="Q1640" i="4"/>
  <c r="AF1639" i="4"/>
  <c r="Y1639" i="4"/>
  <c r="R1639" i="4"/>
  <c r="Q1639" i="4"/>
  <c r="AF1638" i="4"/>
  <c r="Y1638" i="4"/>
  <c r="R1638" i="4"/>
  <c r="Q1638" i="4"/>
  <c r="AF1637" i="4"/>
  <c r="Y1637" i="4"/>
  <c r="R1637" i="4"/>
  <c r="Q1637" i="4"/>
  <c r="AF1636" i="4"/>
  <c r="Y1636" i="4"/>
  <c r="R1636" i="4"/>
  <c r="Q1636" i="4"/>
  <c r="AF1635" i="4"/>
  <c r="Y1635" i="4"/>
  <c r="R1635" i="4"/>
  <c r="Q1635" i="4"/>
  <c r="AF1634" i="4"/>
  <c r="Y1634" i="4"/>
  <c r="R1634" i="4"/>
  <c r="Q1634" i="4"/>
  <c r="AF1633" i="4"/>
  <c r="Y1633" i="4"/>
  <c r="R1633" i="4"/>
  <c r="Q1633" i="4"/>
  <c r="AF1632" i="4"/>
  <c r="Y1632" i="4"/>
  <c r="R1632" i="4"/>
  <c r="Q1632" i="4"/>
  <c r="AF1631" i="4"/>
  <c r="Y1631" i="4"/>
  <c r="R1631" i="4"/>
  <c r="Q1631" i="4"/>
  <c r="AF1630" i="4"/>
  <c r="Y1630" i="4"/>
  <c r="R1630" i="4"/>
  <c r="Q1630" i="4"/>
  <c r="AF1629" i="4"/>
  <c r="Y1629" i="4"/>
  <c r="R1629" i="4"/>
  <c r="Q1629" i="4"/>
  <c r="AF1628" i="4"/>
  <c r="Y1628" i="4"/>
  <c r="R1628" i="4"/>
  <c r="Q1628" i="4"/>
  <c r="AF1627" i="4"/>
  <c r="Y1627" i="4"/>
  <c r="R1627" i="4"/>
  <c r="Q1627" i="4"/>
  <c r="AF1626" i="4"/>
  <c r="Y1626" i="4"/>
  <c r="R1626" i="4"/>
  <c r="Q1626" i="4"/>
  <c r="AF1625" i="4"/>
  <c r="Y1625" i="4"/>
  <c r="R1625" i="4"/>
  <c r="Q1625" i="4"/>
  <c r="AF1624" i="4"/>
  <c r="Y1624" i="4"/>
  <c r="R1624" i="4"/>
  <c r="Q1624" i="4"/>
  <c r="AF1623" i="4"/>
  <c r="Y1623" i="4"/>
  <c r="R1623" i="4"/>
  <c r="Q1623" i="4"/>
  <c r="AF1622" i="4"/>
  <c r="Y1622" i="4"/>
  <c r="R1622" i="4"/>
  <c r="Q1622" i="4"/>
  <c r="AF1621" i="4"/>
  <c r="Y1621" i="4"/>
  <c r="R1621" i="4"/>
  <c r="Q1621" i="4"/>
  <c r="AF1620" i="4"/>
  <c r="Y1620" i="4"/>
  <c r="R1620" i="4"/>
  <c r="Q1620" i="4"/>
  <c r="AF1619" i="4"/>
  <c r="Y1619" i="4"/>
  <c r="R1619" i="4"/>
  <c r="Q1619" i="4"/>
  <c r="AF1618" i="4"/>
  <c r="Y1618" i="4"/>
  <c r="R1618" i="4"/>
  <c r="Q1618" i="4"/>
  <c r="AF1617" i="4"/>
  <c r="Y1617" i="4"/>
  <c r="R1617" i="4"/>
  <c r="Q1617" i="4"/>
  <c r="AF1616" i="4"/>
  <c r="Y1616" i="4"/>
  <c r="R1616" i="4"/>
  <c r="Q1616" i="4"/>
  <c r="AF1615" i="4"/>
  <c r="Y1615" i="4"/>
  <c r="R1615" i="4"/>
  <c r="Q1615" i="4"/>
  <c r="AF1614" i="4"/>
  <c r="Y1614" i="4"/>
  <c r="R1614" i="4"/>
  <c r="Q1614" i="4"/>
  <c r="AF1613" i="4"/>
  <c r="Y1613" i="4"/>
  <c r="R1613" i="4"/>
  <c r="Q1613" i="4"/>
  <c r="AF1612" i="4"/>
  <c r="Y1612" i="4"/>
  <c r="R1612" i="4"/>
  <c r="Q1612" i="4"/>
  <c r="AF1611" i="4"/>
  <c r="Y1611" i="4"/>
  <c r="R1611" i="4"/>
  <c r="Q1611" i="4"/>
  <c r="AF1610" i="4"/>
  <c r="Y1610" i="4"/>
  <c r="R1610" i="4"/>
  <c r="Q1610" i="4"/>
  <c r="AF1609" i="4"/>
  <c r="Y1609" i="4"/>
  <c r="R1609" i="4"/>
  <c r="Q1609" i="4"/>
  <c r="AF1608" i="4"/>
  <c r="Y1608" i="4"/>
  <c r="R1608" i="4"/>
  <c r="Q1608" i="4"/>
  <c r="AF1607" i="4"/>
  <c r="Y1607" i="4"/>
  <c r="R1607" i="4"/>
  <c r="Q1607" i="4"/>
  <c r="AF1606" i="4"/>
  <c r="Y1606" i="4"/>
  <c r="R1606" i="4"/>
  <c r="Q1606" i="4"/>
  <c r="AF1605" i="4"/>
  <c r="Y1605" i="4"/>
  <c r="R1605" i="4"/>
  <c r="Q1605" i="4"/>
  <c r="AF1604" i="4"/>
  <c r="Y1604" i="4"/>
  <c r="R1604" i="4"/>
  <c r="Q1604" i="4"/>
  <c r="AF1603" i="4"/>
  <c r="Y1603" i="4"/>
  <c r="R1603" i="4"/>
  <c r="Q1603" i="4"/>
  <c r="AF1602" i="4"/>
  <c r="Y1602" i="4"/>
  <c r="R1602" i="4"/>
  <c r="Q1602" i="4"/>
  <c r="AF1601" i="4"/>
  <c r="Y1601" i="4"/>
  <c r="R1601" i="4"/>
  <c r="Q1601" i="4"/>
  <c r="AF1600" i="4"/>
  <c r="Y1600" i="4"/>
  <c r="R1600" i="4"/>
  <c r="Q1600" i="4"/>
  <c r="AF1599" i="4"/>
  <c r="Y1599" i="4"/>
  <c r="R1599" i="4"/>
  <c r="Q1599" i="4"/>
  <c r="AF1598" i="4"/>
  <c r="Y1598" i="4"/>
  <c r="R1598" i="4"/>
  <c r="Q1598" i="4"/>
  <c r="AF1597" i="4"/>
  <c r="Y1597" i="4"/>
  <c r="R1597" i="4"/>
  <c r="Q1597" i="4"/>
  <c r="AF1596" i="4"/>
  <c r="Y1596" i="4"/>
  <c r="R1596" i="4"/>
  <c r="Q1596" i="4"/>
  <c r="AF1595" i="4"/>
  <c r="Y1595" i="4"/>
  <c r="R1595" i="4"/>
  <c r="Q1595" i="4"/>
  <c r="AF1594" i="4"/>
  <c r="Y1594" i="4"/>
  <c r="R1594" i="4"/>
  <c r="Q1594" i="4"/>
  <c r="AF1593" i="4"/>
  <c r="Y1593" i="4"/>
  <c r="R1593" i="4"/>
  <c r="Q1593" i="4"/>
  <c r="AF1592" i="4"/>
  <c r="Y1592" i="4"/>
  <c r="R1592" i="4"/>
  <c r="Q1592" i="4"/>
  <c r="AF1591" i="4"/>
  <c r="Y1591" i="4"/>
  <c r="R1591" i="4"/>
  <c r="Q1591" i="4"/>
  <c r="AF1590" i="4"/>
  <c r="Y1590" i="4"/>
  <c r="R1590" i="4"/>
  <c r="Q1590" i="4"/>
  <c r="AF1589" i="4"/>
  <c r="Y1589" i="4"/>
  <c r="R1589" i="4"/>
  <c r="Q1589" i="4"/>
  <c r="AF1588" i="4"/>
  <c r="Y1588" i="4"/>
  <c r="R1588" i="4"/>
  <c r="Q1588" i="4"/>
  <c r="AF1587" i="4"/>
  <c r="Y1587" i="4"/>
  <c r="R1587" i="4"/>
  <c r="Q1587" i="4"/>
  <c r="AF1586" i="4"/>
  <c r="Y1586" i="4"/>
  <c r="R1586" i="4"/>
  <c r="Q1586" i="4"/>
  <c r="AF1585" i="4"/>
  <c r="Y1585" i="4"/>
  <c r="R1585" i="4"/>
  <c r="Q1585" i="4"/>
  <c r="AF1584" i="4"/>
  <c r="Y1584" i="4"/>
  <c r="R1584" i="4"/>
  <c r="Q1584" i="4"/>
  <c r="AF1583" i="4"/>
  <c r="Y1583" i="4"/>
  <c r="R1583" i="4"/>
  <c r="Q1583" i="4"/>
  <c r="AF1582" i="4"/>
  <c r="Y1582" i="4"/>
  <c r="R1582" i="4"/>
  <c r="Q1582" i="4"/>
  <c r="AF1581" i="4"/>
  <c r="Y1581" i="4"/>
  <c r="R1581" i="4"/>
  <c r="Q1581" i="4"/>
  <c r="AF1580" i="4"/>
  <c r="Y1580" i="4"/>
  <c r="R1580" i="4"/>
  <c r="Q1580" i="4"/>
  <c r="AF1579" i="4"/>
  <c r="Y1579" i="4"/>
  <c r="R1579" i="4"/>
  <c r="Q1579" i="4"/>
  <c r="AF1578" i="4"/>
  <c r="Y1578" i="4"/>
  <c r="R1578" i="4"/>
  <c r="Q1578" i="4"/>
  <c r="AF1577" i="4"/>
  <c r="Y1577" i="4"/>
  <c r="R1577" i="4"/>
  <c r="Q1577" i="4"/>
  <c r="AF1576" i="4"/>
  <c r="Y1576" i="4"/>
  <c r="R1576" i="4"/>
  <c r="Q1576" i="4"/>
  <c r="AF1575" i="4"/>
  <c r="Y1575" i="4"/>
  <c r="R1575" i="4"/>
  <c r="Q1575" i="4"/>
  <c r="AF1574" i="4"/>
  <c r="Y1574" i="4"/>
  <c r="R1574" i="4"/>
  <c r="Q1574" i="4"/>
  <c r="AF1573" i="4"/>
  <c r="Y1573" i="4"/>
  <c r="R1573" i="4"/>
  <c r="Q1573" i="4"/>
  <c r="AF1572" i="4"/>
  <c r="Y1572" i="4"/>
  <c r="R1572" i="4"/>
  <c r="Q1572" i="4"/>
  <c r="AF1571" i="4"/>
  <c r="Y1571" i="4"/>
  <c r="R1571" i="4"/>
  <c r="Q1571" i="4"/>
  <c r="AF1570" i="4"/>
  <c r="Y1570" i="4"/>
  <c r="R1570" i="4"/>
  <c r="Q1570" i="4"/>
  <c r="AF1569" i="4"/>
  <c r="Y1569" i="4"/>
  <c r="R1569" i="4"/>
  <c r="Q1569" i="4"/>
  <c r="AF1568" i="4"/>
  <c r="Y1568" i="4"/>
  <c r="R1568" i="4"/>
  <c r="Q1568" i="4"/>
  <c r="AF1567" i="4"/>
  <c r="Y1567" i="4"/>
  <c r="R1567" i="4"/>
  <c r="Q1567" i="4"/>
  <c r="AF1566" i="4"/>
  <c r="Y1566" i="4"/>
  <c r="R1566" i="4"/>
  <c r="Q1566" i="4"/>
  <c r="AF1565" i="4"/>
  <c r="Y1565" i="4"/>
  <c r="R1565" i="4"/>
  <c r="Q1565" i="4"/>
  <c r="AF1564" i="4"/>
  <c r="Y1564" i="4"/>
  <c r="R1564" i="4"/>
  <c r="Q1564" i="4"/>
  <c r="AF1563" i="4"/>
  <c r="Y1563" i="4"/>
  <c r="R1563" i="4"/>
  <c r="Q1563" i="4"/>
  <c r="AF1562" i="4"/>
  <c r="Y1562" i="4"/>
  <c r="R1562" i="4"/>
  <c r="Q1562" i="4"/>
  <c r="AF1561" i="4"/>
  <c r="Y1561" i="4"/>
  <c r="R1561" i="4"/>
  <c r="Q1561" i="4"/>
  <c r="AF1560" i="4"/>
  <c r="Y1560" i="4"/>
  <c r="R1560" i="4"/>
  <c r="Q1560" i="4"/>
  <c r="AF1559" i="4"/>
  <c r="Y1559" i="4"/>
  <c r="R1559" i="4"/>
  <c r="Q1559" i="4"/>
  <c r="AF1558" i="4"/>
  <c r="Y1558" i="4"/>
  <c r="R1558" i="4"/>
  <c r="Q1558" i="4"/>
  <c r="AF1557" i="4"/>
  <c r="Y1557" i="4"/>
  <c r="R1557" i="4"/>
  <c r="Q1557" i="4"/>
  <c r="AF1556" i="4"/>
  <c r="Y1556" i="4"/>
  <c r="R1556" i="4"/>
  <c r="Q1556" i="4"/>
  <c r="AF1555" i="4"/>
  <c r="Y1555" i="4"/>
  <c r="R1555" i="4"/>
  <c r="Q1555" i="4"/>
  <c r="AF1554" i="4"/>
  <c r="Y1554" i="4"/>
  <c r="R1554" i="4"/>
  <c r="Q1554" i="4"/>
  <c r="AF1553" i="4"/>
  <c r="Y1553" i="4"/>
  <c r="R1553" i="4"/>
  <c r="Q1553" i="4"/>
  <c r="AF1552" i="4"/>
  <c r="Y1552" i="4"/>
  <c r="R1552" i="4"/>
  <c r="Q1552" i="4"/>
  <c r="AF1551" i="4"/>
  <c r="Y1551" i="4"/>
  <c r="R1551" i="4"/>
  <c r="Q1551" i="4"/>
  <c r="AF1550" i="4"/>
  <c r="Y1550" i="4"/>
  <c r="R1550" i="4"/>
  <c r="Q1550" i="4"/>
  <c r="AF1549" i="4"/>
  <c r="Y1549" i="4"/>
  <c r="R1549" i="4"/>
  <c r="Q1549" i="4"/>
  <c r="AF1548" i="4"/>
  <c r="Y1548" i="4"/>
  <c r="R1548" i="4"/>
  <c r="Q1548" i="4"/>
  <c r="AF1547" i="4"/>
  <c r="Y1547" i="4"/>
  <c r="R1547" i="4"/>
  <c r="Q1547" i="4"/>
  <c r="AF1546" i="4"/>
  <c r="Y1546" i="4"/>
  <c r="R1546" i="4"/>
  <c r="Q1546" i="4"/>
  <c r="AF1545" i="4"/>
  <c r="Y1545" i="4"/>
  <c r="R1545" i="4"/>
  <c r="Q1545" i="4"/>
  <c r="AF1544" i="4"/>
  <c r="Y1544" i="4"/>
  <c r="R1544" i="4"/>
  <c r="Q1544" i="4"/>
  <c r="AF1543" i="4"/>
  <c r="Y1543" i="4"/>
  <c r="R1543" i="4"/>
  <c r="Q1543" i="4"/>
  <c r="AF1542" i="4"/>
  <c r="Y1542" i="4"/>
  <c r="R1542" i="4"/>
  <c r="Q1542" i="4"/>
  <c r="AF1541" i="4"/>
  <c r="Y1541" i="4"/>
  <c r="R1541" i="4"/>
  <c r="Q1541" i="4"/>
  <c r="AF1540" i="4"/>
  <c r="Y1540" i="4"/>
  <c r="R1540" i="4"/>
  <c r="Q1540" i="4"/>
  <c r="AF1539" i="4"/>
  <c r="Y1539" i="4"/>
  <c r="R1539" i="4"/>
  <c r="Q1539" i="4"/>
  <c r="AF1538" i="4"/>
  <c r="Y1538" i="4"/>
  <c r="R1538" i="4"/>
  <c r="Q1538" i="4"/>
  <c r="AF1537" i="4"/>
  <c r="Y1537" i="4"/>
  <c r="R1537" i="4"/>
  <c r="Q1537" i="4"/>
  <c r="AF1536" i="4"/>
  <c r="Y1536" i="4"/>
  <c r="R1536" i="4"/>
  <c r="Q1536" i="4"/>
  <c r="AF1535" i="4"/>
  <c r="Y1535" i="4"/>
  <c r="R1535" i="4"/>
  <c r="Q1535" i="4"/>
  <c r="AF1534" i="4"/>
  <c r="Y1534" i="4"/>
  <c r="R1534" i="4"/>
  <c r="Q1534" i="4"/>
  <c r="AF1533" i="4"/>
  <c r="Y1533" i="4"/>
  <c r="R1533" i="4"/>
  <c r="Q1533" i="4"/>
  <c r="AF1532" i="4"/>
  <c r="Y1532" i="4"/>
  <c r="R1532" i="4"/>
  <c r="Q1532" i="4"/>
  <c r="AF1531" i="4"/>
  <c r="Y1531" i="4"/>
  <c r="R1531" i="4"/>
  <c r="Q1531" i="4"/>
  <c r="AF1530" i="4"/>
  <c r="Y1530" i="4"/>
  <c r="R1530" i="4"/>
  <c r="Q1530" i="4"/>
  <c r="AF1529" i="4"/>
  <c r="Y1529" i="4"/>
  <c r="R1529" i="4"/>
  <c r="Q1529" i="4"/>
  <c r="AF1528" i="4"/>
  <c r="Y1528" i="4"/>
  <c r="R1528" i="4"/>
  <c r="Q1528" i="4"/>
  <c r="AF1527" i="4"/>
  <c r="Y1527" i="4"/>
  <c r="R1527" i="4"/>
  <c r="Q1527" i="4"/>
  <c r="AF1526" i="4"/>
  <c r="Y1526" i="4"/>
  <c r="R1526" i="4"/>
  <c r="Q1526" i="4"/>
  <c r="AF1525" i="4"/>
  <c r="Y1525" i="4"/>
  <c r="R1525" i="4"/>
  <c r="Q1525" i="4"/>
  <c r="AF1524" i="4"/>
  <c r="Y1524" i="4"/>
  <c r="R1524" i="4"/>
  <c r="Q1524" i="4"/>
  <c r="AF1523" i="4"/>
  <c r="Y1523" i="4"/>
  <c r="R1523" i="4"/>
  <c r="Q1523" i="4"/>
  <c r="AF1522" i="4"/>
  <c r="Y1522" i="4"/>
  <c r="R1522" i="4"/>
  <c r="Q1522" i="4"/>
  <c r="AF1521" i="4"/>
  <c r="Y1521" i="4"/>
  <c r="R1521" i="4"/>
  <c r="Q1521" i="4"/>
  <c r="AF1520" i="4"/>
  <c r="Y1520" i="4"/>
  <c r="R1520" i="4"/>
  <c r="Q1520" i="4"/>
  <c r="AF1519" i="4"/>
  <c r="Y1519" i="4"/>
  <c r="R1519" i="4"/>
  <c r="Q1519" i="4"/>
  <c r="AF1518" i="4"/>
  <c r="Y1518" i="4"/>
  <c r="R1518" i="4"/>
  <c r="Q1518" i="4"/>
  <c r="AF1517" i="4"/>
  <c r="Y1517" i="4"/>
  <c r="R1517" i="4"/>
  <c r="Q1517" i="4"/>
  <c r="AF1516" i="4"/>
  <c r="Y1516" i="4"/>
  <c r="R1516" i="4"/>
  <c r="Q1516" i="4"/>
  <c r="AF1515" i="4"/>
  <c r="Y1515" i="4"/>
  <c r="R1515" i="4"/>
  <c r="Q1515" i="4"/>
  <c r="AF1514" i="4"/>
  <c r="Y1514" i="4"/>
  <c r="R1514" i="4"/>
  <c r="Q1514" i="4"/>
  <c r="AF1513" i="4"/>
  <c r="Y1513" i="4"/>
  <c r="R1513" i="4"/>
  <c r="Q1513" i="4"/>
  <c r="AF1512" i="4"/>
  <c r="Y1512" i="4"/>
  <c r="R1512" i="4"/>
  <c r="Q1512" i="4"/>
  <c r="AF1511" i="4"/>
  <c r="Y1511" i="4"/>
  <c r="R1511" i="4"/>
  <c r="Q1511" i="4"/>
  <c r="AF1510" i="4"/>
  <c r="Y1510" i="4"/>
  <c r="R1510" i="4"/>
  <c r="Q1510" i="4"/>
  <c r="AF1509" i="4"/>
  <c r="Y1509" i="4"/>
  <c r="R1509" i="4"/>
  <c r="Q1509" i="4"/>
  <c r="AF1508" i="4"/>
  <c r="Y1508" i="4"/>
  <c r="R1508" i="4"/>
  <c r="Q1508" i="4"/>
  <c r="AF1507" i="4"/>
  <c r="Y1507" i="4"/>
  <c r="R1507" i="4"/>
  <c r="Q1507" i="4"/>
  <c r="AF1506" i="4"/>
  <c r="Y1506" i="4"/>
  <c r="R1506" i="4"/>
  <c r="Q1506" i="4"/>
  <c r="AF1505" i="4"/>
  <c r="Y1505" i="4"/>
  <c r="R1505" i="4"/>
  <c r="Q1505" i="4"/>
  <c r="AF1504" i="4"/>
  <c r="Y1504" i="4"/>
  <c r="R1504" i="4"/>
  <c r="Q1504" i="4"/>
  <c r="AF1503" i="4"/>
  <c r="Y1503" i="4"/>
  <c r="R1503" i="4"/>
  <c r="Q1503" i="4"/>
  <c r="AF1502" i="4"/>
  <c r="Y1502" i="4"/>
  <c r="R1502" i="4"/>
  <c r="Q1502" i="4"/>
  <c r="AF1501" i="4"/>
  <c r="Y1501" i="4"/>
  <c r="R1501" i="4"/>
  <c r="Q1501" i="4"/>
  <c r="AF1500" i="4"/>
  <c r="Y1500" i="4"/>
  <c r="R1500" i="4"/>
  <c r="Q1500" i="4"/>
  <c r="AF1499" i="4"/>
  <c r="Y1499" i="4"/>
  <c r="R1499" i="4"/>
  <c r="Q1499" i="4"/>
  <c r="AF1498" i="4"/>
  <c r="Y1498" i="4"/>
  <c r="R1498" i="4"/>
  <c r="Q1498" i="4"/>
  <c r="AF1497" i="4"/>
  <c r="Y1497" i="4"/>
  <c r="R1497" i="4"/>
  <c r="Q1497" i="4"/>
  <c r="AF1496" i="4"/>
  <c r="Y1496" i="4"/>
  <c r="R1496" i="4"/>
  <c r="Q1496" i="4"/>
  <c r="AF1495" i="4"/>
  <c r="Y1495" i="4"/>
  <c r="R1495" i="4"/>
  <c r="Q1495" i="4"/>
  <c r="AF1494" i="4"/>
  <c r="Y1494" i="4"/>
  <c r="R1494" i="4"/>
  <c r="Q1494" i="4"/>
  <c r="AF1493" i="4"/>
  <c r="Y1493" i="4"/>
  <c r="R1493" i="4"/>
  <c r="Q1493" i="4"/>
  <c r="AF1492" i="4"/>
  <c r="Y1492" i="4"/>
  <c r="R1492" i="4"/>
  <c r="Q1492" i="4"/>
  <c r="AF1491" i="4"/>
  <c r="Y1491" i="4"/>
  <c r="R1491" i="4"/>
  <c r="Q1491" i="4"/>
  <c r="AF1490" i="4"/>
  <c r="Y1490" i="4"/>
  <c r="R1490" i="4"/>
  <c r="Q1490" i="4"/>
  <c r="AF1489" i="4"/>
  <c r="Y1489" i="4"/>
  <c r="R1489" i="4"/>
  <c r="Q1489" i="4"/>
  <c r="AF1488" i="4"/>
  <c r="Y1488" i="4"/>
  <c r="R1488" i="4"/>
  <c r="Q1488" i="4"/>
  <c r="AF1487" i="4"/>
  <c r="Y1487" i="4"/>
  <c r="R1487" i="4"/>
  <c r="Q1487" i="4"/>
  <c r="AF1486" i="4"/>
  <c r="Y1486" i="4"/>
  <c r="R1486" i="4"/>
  <c r="Q1486" i="4"/>
  <c r="AF1485" i="4"/>
  <c r="Y1485" i="4"/>
  <c r="R1485" i="4"/>
  <c r="Q1485" i="4"/>
  <c r="AF1484" i="4"/>
  <c r="Y1484" i="4"/>
  <c r="R1484" i="4"/>
  <c r="Q1484" i="4"/>
  <c r="AF1483" i="4"/>
  <c r="Y1483" i="4"/>
  <c r="R1483" i="4"/>
  <c r="Q1483" i="4"/>
  <c r="AF1482" i="4"/>
  <c r="Y1482" i="4"/>
  <c r="R1482" i="4"/>
  <c r="Q1482" i="4"/>
  <c r="AF1481" i="4"/>
  <c r="Y1481" i="4"/>
  <c r="R1481" i="4"/>
  <c r="Q1481" i="4"/>
  <c r="AF1480" i="4"/>
  <c r="Y1480" i="4"/>
  <c r="R1480" i="4"/>
  <c r="Q1480" i="4"/>
  <c r="AF1479" i="4"/>
  <c r="Y1479" i="4"/>
  <c r="R1479" i="4"/>
  <c r="Q1479" i="4"/>
  <c r="AF1478" i="4"/>
  <c r="Y1478" i="4"/>
  <c r="R1478" i="4"/>
  <c r="Q1478" i="4"/>
  <c r="AF1477" i="4"/>
  <c r="Y1477" i="4"/>
  <c r="R1477" i="4"/>
  <c r="Q1477" i="4"/>
  <c r="AF1476" i="4"/>
  <c r="Y1476" i="4"/>
  <c r="R1476" i="4"/>
  <c r="Q1476" i="4"/>
  <c r="AF1475" i="4"/>
  <c r="Y1475" i="4"/>
  <c r="R1475" i="4"/>
  <c r="Q1475" i="4"/>
  <c r="AF1474" i="4"/>
  <c r="Y1474" i="4"/>
  <c r="R1474" i="4"/>
  <c r="Q1474" i="4"/>
  <c r="AF1473" i="4"/>
  <c r="Y1473" i="4"/>
  <c r="R1473" i="4"/>
  <c r="Q1473" i="4"/>
  <c r="AF1472" i="4"/>
  <c r="Y1472" i="4"/>
  <c r="R1472" i="4"/>
  <c r="Q1472" i="4"/>
  <c r="AF1471" i="4"/>
  <c r="Y1471" i="4"/>
  <c r="R1471" i="4"/>
  <c r="Q1471" i="4"/>
  <c r="AF1470" i="4"/>
  <c r="Y1470" i="4"/>
  <c r="R1470" i="4"/>
  <c r="Q1470" i="4"/>
  <c r="AF1469" i="4"/>
  <c r="Y1469" i="4"/>
  <c r="R1469" i="4"/>
  <c r="Q1469" i="4"/>
  <c r="AF1468" i="4"/>
  <c r="Y1468" i="4"/>
  <c r="R1468" i="4"/>
  <c r="Q1468" i="4"/>
  <c r="AF1467" i="4"/>
  <c r="Y1467" i="4"/>
  <c r="R1467" i="4"/>
  <c r="Q1467" i="4"/>
  <c r="AF1466" i="4"/>
  <c r="Y1466" i="4"/>
  <c r="R1466" i="4"/>
  <c r="Q1466" i="4"/>
  <c r="AF1465" i="4"/>
  <c r="Y1465" i="4"/>
  <c r="R1465" i="4"/>
  <c r="Q1465" i="4"/>
  <c r="AF1464" i="4"/>
  <c r="Y1464" i="4"/>
  <c r="R1464" i="4"/>
  <c r="Q1464" i="4"/>
  <c r="AF1463" i="4"/>
  <c r="Y1463" i="4"/>
  <c r="R1463" i="4"/>
  <c r="Q1463" i="4"/>
  <c r="AF1462" i="4"/>
  <c r="Y1462" i="4"/>
  <c r="R1462" i="4"/>
  <c r="Q1462" i="4"/>
  <c r="AF1461" i="4"/>
  <c r="Y1461" i="4"/>
  <c r="R1461" i="4"/>
  <c r="Q1461" i="4"/>
  <c r="AF1460" i="4"/>
  <c r="Y1460" i="4"/>
  <c r="R1460" i="4"/>
  <c r="Q1460" i="4"/>
  <c r="AF1459" i="4"/>
  <c r="Y1459" i="4"/>
  <c r="R1459" i="4"/>
  <c r="Q1459" i="4"/>
  <c r="AF1458" i="4"/>
  <c r="Y1458" i="4"/>
  <c r="R1458" i="4"/>
  <c r="Q1458" i="4"/>
  <c r="AF1457" i="4"/>
  <c r="Y1457" i="4"/>
  <c r="R1457" i="4"/>
  <c r="Q1457" i="4"/>
  <c r="AF1456" i="4"/>
  <c r="Y1456" i="4"/>
  <c r="R1456" i="4"/>
  <c r="Q1456" i="4"/>
  <c r="AF1455" i="4"/>
  <c r="Y1455" i="4"/>
  <c r="R1455" i="4"/>
  <c r="Q1455" i="4"/>
  <c r="AF1454" i="4"/>
  <c r="Y1454" i="4"/>
  <c r="R1454" i="4"/>
  <c r="Q1454" i="4"/>
  <c r="AF1453" i="4"/>
  <c r="Y1453" i="4"/>
  <c r="R1453" i="4"/>
  <c r="Q1453" i="4"/>
  <c r="AF1452" i="4"/>
  <c r="Y1452" i="4"/>
  <c r="R1452" i="4"/>
  <c r="Q1452" i="4"/>
  <c r="AF1451" i="4"/>
  <c r="Y1451" i="4"/>
  <c r="R1451" i="4"/>
  <c r="Q1451" i="4"/>
  <c r="AF1450" i="4"/>
  <c r="Y1450" i="4"/>
  <c r="R1450" i="4"/>
  <c r="Q1450" i="4"/>
  <c r="AF1449" i="4"/>
  <c r="Y1449" i="4"/>
  <c r="R1449" i="4"/>
  <c r="Q1449" i="4"/>
  <c r="AF1448" i="4"/>
  <c r="Y1448" i="4"/>
  <c r="R1448" i="4"/>
  <c r="Q1448" i="4"/>
  <c r="AF1447" i="4"/>
  <c r="Y1447" i="4"/>
  <c r="R1447" i="4"/>
  <c r="Q1447" i="4"/>
  <c r="AF1446" i="4"/>
  <c r="Y1446" i="4"/>
  <c r="R1446" i="4"/>
  <c r="Q1446" i="4"/>
  <c r="AF1445" i="4"/>
  <c r="Y1445" i="4"/>
  <c r="R1445" i="4"/>
  <c r="Q1445" i="4"/>
  <c r="AF1444" i="4"/>
  <c r="Y1444" i="4"/>
  <c r="R1444" i="4"/>
  <c r="Q1444" i="4"/>
  <c r="AF1443" i="4"/>
  <c r="Y1443" i="4"/>
  <c r="R1443" i="4"/>
  <c r="Q1443" i="4"/>
  <c r="AF1442" i="4"/>
  <c r="Y1442" i="4"/>
  <c r="R1442" i="4"/>
  <c r="Q1442" i="4"/>
  <c r="AF1441" i="4"/>
  <c r="Y1441" i="4"/>
  <c r="R1441" i="4"/>
  <c r="Q1441" i="4"/>
  <c r="AF1440" i="4"/>
  <c r="Y1440" i="4"/>
  <c r="R1440" i="4"/>
  <c r="Q1440" i="4"/>
  <c r="AF1439" i="4"/>
  <c r="Y1439" i="4"/>
  <c r="R1439" i="4"/>
  <c r="Q1439" i="4"/>
  <c r="AF1438" i="4"/>
  <c r="Y1438" i="4"/>
  <c r="R1438" i="4"/>
  <c r="Q1438" i="4"/>
  <c r="AF1437" i="4"/>
  <c r="Y1437" i="4"/>
  <c r="R1437" i="4"/>
  <c r="Q1437" i="4"/>
  <c r="AF1436" i="4"/>
  <c r="Y1436" i="4"/>
  <c r="R1436" i="4"/>
  <c r="Q1436" i="4"/>
  <c r="AF1435" i="4"/>
  <c r="Y1435" i="4"/>
  <c r="R1435" i="4"/>
  <c r="Q1435" i="4"/>
  <c r="AF1434" i="4"/>
  <c r="Y1434" i="4"/>
  <c r="R1434" i="4"/>
  <c r="Q1434" i="4"/>
  <c r="AF1433" i="4"/>
  <c r="Y1433" i="4"/>
  <c r="R1433" i="4"/>
  <c r="Q1433" i="4"/>
  <c r="AF1432" i="4"/>
  <c r="Y1432" i="4"/>
  <c r="R1432" i="4"/>
  <c r="Q1432" i="4"/>
  <c r="AF1431" i="4"/>
  <c r="Y1431" i="4"/>
  <c r="R1431" i="4"/>
  <c r="Q1431" i="4"/>
  <c r="AF1430" i="4"/>
  <c r="Y1430" i="4"/>
  <c r="R1430" i="4"/>
  <c r="Q1430" i="4"/>
  <c r="AF1429" i="4"/>
  <c r="Y1429" i="4"/>
  <c r="R1429" i="4"/>
  <c r="Q1429" i="4"/>
  <c r="AF1428" i="4"/>
  <c r="Y1428" i="4"/>
  <c r="R1428" i="4"/>
  <c r="Q1428" i="4"/>
  <c r="AF1427" i="4"/>
  <c r="Y1427" i="4"/>
  <c r="R1427" i="4"/>
  <c r="Q1427" i="4"/>
  <c r="AF1426" i="4"/>
  <c r="Y1426" i="4"/>
  <c r="R1426" i="4"/>
  <c r="Q1426" i="4"/>
  <c r="AF1425" i="4"/>
  <c r="Y1425" i="4"/>
  <c r="R1425" i="4"/>
  <c r="Q1425" i="4"/>
  <c r="AF1424" i="4"/>
  <c r="Y1424" i="4"/>
  <c r="R1424" i="4"/>
  <c r="Q1424" i="4"/>
  <c r="AF1423" i="4"/>
  <c r="Y1423" i="4"/>
  <c r="R1423" i="4"/>
  <c r="Q1423" i="4"/>
  <c r="AF1422" i="4"/>
  <c r="Y1422" i="4"/>
  <c r="R1422" i="4"/>
  <c r="Q1422" i="4"/>
  <c r="AF1421" i="4"/>
  <c r="Y1421" i="4"/>
  <c r="R1421" i="4"/>
  <c r="Q1421" i="4"/>
  <c r="AF1420" i="4"/>
  <c r="Y1420" i="4"/>
  <c r="R1420" i="4"/>
  <c r="Q1420" i="4"/>
  <c r="AF1419" i="4"/>
  <c r="Y1419" i="4"/>
  <c r="R1419" i="4"/>
  <c r="Q1419" i="4"/>
  <c r="AF1418" i="4"/>
  <c r="Y1418" i="4"/>
  <c r="R1418" i="4"/>
  <c r="Q1418" i="4"/>
  <c r="AF1417" i="4"/>
  <c r="Y1417" i="4"/>
  <c r="R1417" i="4"/>
  <c r="Q1417" i="4"/>
  <c r="AF1416" i="4"/>
  <c r="Y1416" i="4"/>
  <c r="R1416" i="4"/>
  <c r="Q1416" i="4"/>
  <c r="AF1415" i="4"/>
  <c r="Y1415" i="4"/>
  <c r="R1415" i="4"/>
  <c r="Q1415" i="4"/>
  <c r="AF1414" i="4"/>
  <c r="Y1414" i="4"/>
  <c r="R1414" i="4"/>
  <c r="Q1414" i="4"/>
  <c r="AF1413" i="4"/>
  <c r="Y1413" i="4"/>
  <c r="R1413" i="4"/>
  <c r="Q1413" i="4"/>
  <c r="AF1412" i="4"/>
  <c r="Y1412" i="4"/>
  <c r="R1412" i="4"/>
  <c r="Q1412" i="4"/>
  <c r="AF1411" i="4"/>
  <c r="Y1411" i="4"/>
  <c r="R1411" i="4"/>
  <c r="Q1411" i="4"/>
  <c r="AF1410" i="4"/>
  <c r="Y1410" i="4"/>
  <c r="R1410" i="4"/>
  <c r="Q1410" i="4"/>
  <c r="AF1409" i="4"/>
  <c r="Y1409" i="4"/>
  <c r="R1409" i="4"/>
  <c r="Q1409" i="4"/>
  <c r="AF1408" i="4"/>
  <c r="Y1408" i="4"/>
  <c r="R1408" i="4"/>
  <c r="Q1408" i="4"/>
  <c r="AF1407" i="4"/>
  <c r="Y1407" i="4"/>
  <c r="R1407" i="4"/>
  <c r="Q1407" i="4"/>
  <c r="AF1406" i="4"/>
  <c r="Y1406" i="4"/>
  <c r="R1406" i="4"/>
  <c r="Q1406" i="4"/>
  <c r="AF1405" i="4"/>
  <c r="Y1405" i="4"/>
  <c r="R1405" i="4"/>
  <c r="Q1405" i="4"/>
  <c r="AF1404" i="4"/>
  <c r="Y1404" i="4"/>
  <c r="R1404" i="4"/>
  <c r="Q1404" i="4"/>
  <c r="AF1403" i="4"/>
  <c r="Y1403" i="4"/>
  <c r="R1403" i="4"/>
  <c r="Q1403" i="4"/>
  <c r="AF1402" i="4"/>
  <c r="Y1402" i="4"/>
  <c r="R1402" i="4"/>
  <c r="Q1402" i="4"/>
  <c r="AF1401" i="4"/>
  <c r="Y1401" i="4"/>
  <c r="R1401" i="4"/>
  <c r="Q1401" i="4"/>
  <c r="AF1400" i="4"/>
  <c r="Y1400" i="4"/>
  <c r="R1400" i="4"/>
  <c r="Q1400" i="4"/>
  <c r="AF1399" i="4"/>
  <c r="C91" i="5" s="1"/>
  <c r="E91" i="5" s="1"/>
  <c r="Y1399" i="4"/>
  <c r="R1399" i="4"/>
  <c r="Q1399" i="4"/>
  <c r="AF1398" i="4"/>
  <c r="Y1398" i="4"/>
  <c r="R1398" i="4"/>
  <c r="Q1398" i="4"/>
  <c r="AF1397" i="4"/>
  <c r="Y1397" i="4"/>
  <c r="R1397" i="4"/>
  <c r="Q1397" i="4"/>
  <c r="AF1396" i="4"/>
  <c r="Y1396" i="4"/>
  <c r="R1396" i="4"/>
  <c r="Q1396" i="4"/>
  <c r="AF1395" i="4"/>
  <c r="Y1395" i="4"/>
  <c r="R1395" i="4"/>
  <c r="Q1395" i="4"/>
  <c r="AF1394" i="4"/>
  <c r="Y1394" i="4"/>
  <c r="R1394" i="4"/>
  <c r="Q1394" i="4"/>
  <c r="AF1393" i="4"/>
  <c r="Y1393" i="4"/>
  <c r="R1393" i="4"/>
  <c r="Q1393" i="4"/>
  <c r="AF1392" i="4"/>
  <c r="Y1392" i="4"/>
  <c r="R1392" i="4"/>
  <c r="Q1392" i="4"/>
  <c r="AF1391" i="4"/>
  <c r="Y1391" i="4"/>
  <c r="R1391" i="4"/>
  <c r="Q1391" i="4"/>
  <c r="AF1390" i="4"/>
  <c r="Y1390" i="4"/>
  <c r="R1390" i="4"/>
  <c r="Q1390" i="4"/>
  <c r="AF1389" i="4"/>
  <c r="Y1389" i="4"/>
  <c r="R1389" i="4"/>
  <c r="Q1389" i="4"/>
  <c r="AF1388" i="4"/>
  <c r="Y1388" i="4"/>
  <c r="R1388" i="4"/>
  <c r="Q1388" i="4"/>
  <c r="AF1387" i="4"/>
  <c r="Y1387" i="4"/>
  <c r="R1387" i="4"/>
  <c r="Q1387" i="4"/>
  <c r="AF1386" i="4"/>
  <c r="Y1386" i="4"/>
  <c r="R1386" i="4"/>
  <c r="Q1386" i="4"/>
  <c r="AF1385" i="4"/>
  <c r="Y1385" i="4"/>
  <c r="R1385" i="4"/>
  <c r="Q1385" i="4"/>
  <c r="AF1384" i="4"/>
  <c r="Y1384" i="4"/>
  <c r="R1384" i="4"/>
  <c r="Q1384" i="4"/>
  <c r="AF1383" i="4"/>
  <c r="Y1383" i="4"/>
  <c r="R1383" i="4"/>
  <c r="Q1383" i="4"/>
  <c r="AF1382" i="4"/>
  <c r="Y1382" i="4"/>
  <c r="R1382" i="4"/>
  <c r="Q1382" i="4"/>
  <c r="AF1381" i="4"/>
  <c r="Y1381" i="4"/>
  <c r="R1381" i="4"/>
  <c r="Q1381" i="4"/>
  <c r="AF1380" i="4"/>
  <c r="Y1380" i="4"/>
  <c r="R1380" i="4"/>
  <c r="Q1380" i="4"/>
  <c r="AF1379" i="4"/>
  <c r="Y1379" i="4"/>
  <c r="R1379" i="4"/>
  <c r="Q1379" i="4"/>
  <c r="AF1378" i="4"/>
  <c r="Y1378" i="4"/>
  <c r="R1378" i="4"/>
  <c r="Q1378" i="4"/>
  <c r="AF1377" i="4"/>
  <c r="Y1377" i="4"/>
  <c r="R1377" i="4"/>
  <c r="Q1377" i="4"/>
  <c r="AF1376" i="4"/>
  <c r="Y1376" i="4"/>
  <c r="R1376" i="4"/>
  <c r="Q1376" i="4"/>
  <c r="AF1375" i="4"/>
  <c r="Y1375" i="4"/>
  <c r="R1375" i="4"/>
  <c r="Q1375" i="4"/>
  <c r="AF1374" i="4"/>
  <c r="Y1374" i="4"/>
  <c r="R1374" i="4"/>
  <c r="Q1374" i="4"/>
  <c r="AF1373" i="4"/>
  <c r="Y1373" i="4"/>
  <c r="R1373" i="4"/>
  <c r="Q1373" i="4"/>
  <c r="AF1372" i="4"/>
  <c r="Y1372" i="4"/>
  <c r="R1372" i="4"/>
  <c r="Q1372" i="4"/>
  <c r="AF1371" i="4"/>
  <c r="Y1371" i="4"/>
  <c r="R1371" i="4"/>
  <c r="Q1371" i="4"/>
  <c r="AF1370" i="4"/>
  <c r="Y1370" i="4"/>
  <c r="R1370" i="4"/>
  <c r="Q1370" i="4"/>
  <c r="AF1369" i="4"/>
  <c r="Y1369" i="4"/>
  <c r="R1369" i="4"/>
  <c r="Q1369" i="4"/>
  <c r="AF1368" i="4"/>
  <c r="Y1368" i="4"/>
  <c r="R1368" i="4"/>
  <c r="Q1368" i="4"/>
  <c r="AF1367" i="4"/>
  <c r="Y1367" i="4"/>
  <c r="R1367" i="4"/>
  <c r="Q1367" i="4"/>
  <c r="AF1366" i="4"/>
  <c r="Y1366" i="4"/>
  <c r="R1366" i="4"/>
  <c r="Q1366" i="4"/>
  <c r="AF1365" i="4"/>
  <c r="Y1365" i="4"/>
  <c r="R1365" i="4"/>
  <c r="Q1365" i="4"/>
  <c r="AF1364" i="4"/>
  <c r="Y1364" i="4"/>
  <c r="R1364" i="4"/>
  <c r="Q1364" i="4"/>
  <c r="AF1363" i="4"/>
  <c r="Y1363" i="4"/>
  <c r="R1363" i="4"/>
  <c r="Q1363" i="4"/>
  <c r="AF1362" i="4"/>
  <c r="Y1362" i="4"/>
  <c r="R1362" i="4"/>
  <c r="Q1362" i="4"/>
  <c r="AF1361" i="4"/>
  <c r="Y1361" i="4"/>
  <c r="R1361" i="4"/>
  <c r="Q1361" i="4"/>
  <c r="AF1360" i="4"/>
  <c r="Y1360" i="4"/>
  <c r="R1360" i="4"/>
  <c r="Q1360" i="4"/>
  <c r="AF1359" i="4"/>
  <c r="Y1359" i="4"/>
  <c r="R1359" i="4"/>
  <c r="Q1359" i="4"/>
  <c r="AF1358" i="4"/>
  <c r="Y1358" i="4"/>
  <c r="R1358" i="4"/>
  <c r="Q1358" i="4"/>
  <c r="AF1357" i="4"/>
  <c r="Y1357" i="4"/>
  <c r="R1357" i="4"/>
  <c r="Q1357" i="4"/>
  <c r="AF1356" i="4"/>
  <c r="Y1356" i="4"/>
  <c r="R1356" i="4"/>
  <c r="Q1356" i="4"/>
  <c r="AF1355" i="4"/>
  <c r="Y1355" i="4"/>
  <c r="R1355" i="4"/>
  <c r="Q1355" i="4"/>
  <c r="AF1354" i="4"/>
  <c r="Y1354" i="4"/>
  <c r="R1354" i="4"/>
  <c r="Q1354" i="4"/>
  <c r="AF1353" i="4"/>
  <c r="Y1353" i="4"/>
  <c r="R1353" i="4"/>
  <c r="Q1353" i="4"/>
  <c r="AF1352" i="4"/>
  <c r="Y1352" i="4"/>
  <c r="R1352" i="4"/>
  <c r="Q1352" i="4"/>
  <c r="AF1351" i="4"/>
  <c r="Y1351" i="4"/>
  <c r="R1351" i="4"/>
  <c r="Q1351" i="4"/>
  <c r="AF1350" i="4"/>
  <c r="Y1350" i="4"/>
  <c r="R1350" i="4"/>
  <c r="Q1350" i="4"/>
  <c r="AF1349" i="4"/>
  <c r="Y1349" i="4"/>
  <c r="R1349" i="4"/>
  <c r="Q1349" i="4"/>
  <c r="AF1348" i="4"/>
  <c r="Y1348" i="4"/>
  <c r="R1348" i="4"/>
  <c r="Q1348" i="4"/>
  <c r="AF1347" i="4"/>
  <c r="Y1347" i="4"/>
  <c r="R1347" i="4"/>
  <c r="Q1347" i="4"/>
  <c r="AF1346" i="4"/>
  <c r="Y1346" i="4"/>
  <c r="R1346" i="4"/>
  <c r="Q1346" i="4"/>
  <c r="AF1345" i="4"/>
  <c r="Y1345" i="4"/>
  <c r="R1345" i="4"/>
  <c r="Q1345" i="4"/>
  <c r="AF1344" i="4"/>
  <c r="Y1344" i="4"/>
  <c r="R1344" i="4"/>
  <c r="Q1344" i="4"/>
  <c r="AF1343" i="4"/>
  <c r="Y1343" i="4"/>
  <c r="R1343" i="4"/>
  <c r="Q1343" i="4"/>
  <c r="AF1342" i="4"/>
  <c r="Y1342" i="4"/>
  <c r="R1342" i="4"/>
  <c r="Q1342" i="4"/>
  <c r="AF1341" i="4"/>
  <c r="Y1341" i="4"/>
  <c r="R1341" i="4"/>
  <c r="Q1341" i="4"/>
  <c r="AF1340" i="4"/>
  <c r="Y1340" i="4"/>
  <c r="R1340" i="4"/>
  <c r="Q1340" i="4"/>
  <c r="AF1339" i="4"/>
  <c r="Y1339" i="4"/>
  <c r="R1339" i="4"/>
  <c r="Q1339" i="4"/>
  <c r="AF1338" i="4"/>
  <c r="Y1338" i="4"/>
  <c r="R1338" i="4"/>
  <c r="Q1338" i="4"/>
  <c r="AF1337" i="4"/>
  <c r="Y1337" i="4"/>
  <c r="R1337" i="4"/>
  <c r="Q1337" i="4"/>
  <c r="AF1336" i="4"/>
  <c r="Y1336" i="4"/>
  <c r="R1336" i="4"/>
  <c r="Q1336" i="4"/>
  <c r="AF1335" i="4"/>
  <c r="Y1335" i="4"/>
  <c r="R1335" i="4"/>
  <c r="Q1335" i="4"/>
  <c r="AF1334" i="4"/>
  <c r="Y1334" i="4"/>
  <c r="R1334" i="4"/>
  <c r="Q1334" i="4"/>
  <c r="AF1333" i="4"/>
  <c r="Y1333" i="4"/>
  <c r="R1333" i="4"/>
  <c r="Q1333" i="4"/>
  <c r="AF1332" i="4"/>
  <c r="Y1332" i="4"/>
  <c r="R1332" i="4"/>
  <c r="Q1332" i="4"/>
  <c r="AF1331" i="4"/>
  <c r="Y1331" i="4"/>
  <c r="R1331" i="4"/>
  <c r="Q1331" i="4"/>
  <c r="AF1330" i="4"/>
  <c r="Y1330" i="4"/>
  <c r="R1330" i="4"/>
  <c r="Q1330" i="4"/>
  <c r="AF1329" i="4"/>
  <c r="Y1329" i="4"/>
  <c r="R1329" i="4"/>
  <c r="Q1329" i="4"/>
  <c r="AF1328" i="4"/>
  <c r="Y1328" i="4"/>
  <c r="R1328" i="4"/>
  <c r="Q1328" i="4"/>
  <c r="AF1327" i="4"/>
  <c r="Y1327" i="4"/>
  <c r="R1327" i="4"/>
  <c r="Q1327" i="4"/>
  <c r="AF1326" i="4"/>
  <c r="Y1326" i="4"/>
  <c r="R1326" i="4"/>
  <c r="Q1326" i="4"/>
  <c r="AF1325" i="4"/>
  <c r="Y1325" i="4"/>
  <c r="R1325" i="4"/>
  <c r="Q1325" i="4"/>
  <c r="AF1324" i="4"/>
  <c r="Y1324" i="4"/>
  <c r="R1324" i="4"/>
  <c r="Q1324" i="4"/>
  <c r="AF1323" i="4"/>
  <c r="Y1323" i="4"/>
  <c r="R1323" i="4"/>
  <c r="Q1323" i="4"/>
  <c r="AF1322" i="4"/>
  <c r="Y1322" i="4"/>
  <c r="R1322" i="4"/>
  <c r="Q1322" i="4"/>
  <c r="AF1321" i="4"/>
  <c r="Y1321" i="4"/>
  <c r="R1321" i="4"/>
  <c r="Q1321" i="4"/>
  <c r="AF1320" i="4"/>
  <c r="Y1320" i="4"/>
  <c r="R1320" i="4"/>
  <c r="Q1320" i="4"/>
  <c r="AF1319" i="4"/>
  <c r="Y1319" i="4"/>
  <c r="R1319" i="4"/>
  <c r="Q1319" i="4"/>
  <c r="AF1318" i="4"/>
  <c r="Y1318" i="4"/>
  <c r="R1318" i="4"/>
  <c r="Q1318" i="4"/>
  <c r="AF1317" i="4"/>
  <c r="Y1317" i="4"/>
  <c r="R1317" i="4"/>
  <c r="Q1317" i="4"/>
  <c r="AF1316" i="4"/>
  <c r="Y1316" i="4"/>
  <c r="R1316" i="4"/>
  <c r="Q1316" i="4"/>
  <c r="AF1315" i="4"/>
  <c r="Y1315" i="4"/>
  <c r="R1315" i="4"/>
  <c r="Q1315" i="4"/>
  <c r="AF1314" i="4"/>
  <c r="Y1314" i="4"/>
  <c r="R1314" i="4"/>
  <c r="Q1314" i="4"/>
  <c r="AF1313" i="4"/>
  <c r="Y1313" i="4"/>
  <c r="R1313" i="4"/>
  <c r="Q1313" i="4"/>
  <c r="AF1312" i="4"/>
  <c r="Y1312" i="4"/>
  <c r="R1312" i="4"/>
  <c r="Q1312" i="4"/>
  <c r="AF1311" i="4"/>
  <c r="Y1311" i="4"/>
  <c r="R1311" i="4"/>
  <c r="Q1311" i="4"/>
  <c r="AF1310" i="4"/>
  <c r="Y1310" i="4"/>
  <c r="R1310" i="4"/>
  <c r="Q1310" i="4"/>
  <c r="AF1309" i="4"/>
  <c r="Y1309" i="4"/>
  <c r="R1309" i="4"/>
  <c r="Q1309" i="4"/>
  <c r="AF1308" i="4"/>
  <c r="Y1308" i="4"/>
  <c r="R1308" i="4"/>
  <c r="Q1308" i="4"/>
  <c r="AF1307" i="4"/>
  <c r="Y1307" i="4"/>
  <c r="R1307" i="4"/>
  <c r="Q1307" i="4"/>
  <c r="AF1306" i="4"/>
  <c r="Y1306" i="4"/>
  <c r="R1306" i="4"/>
  <c r="Q1306" i="4"/>
  <c r="AF1305" i="4"/>
  <c r="Y1305" i="4"/>
  <c r="R1305" i="4"/>
  <c r="Q1305" i="4"/>
  <c r="AF1304" i="4"/>
  <c r="Y1304" i="4"/>
  <c r="R1304" i="4"/>
  <c r="Q1304" i="4"/>
  <c r="AF1303" i="4"/>
  <c r="Y1303" i="4"/>
  <c r="R1303" i="4"/>
  <c r="Q1303" i="4"/>
  <c r="AF1302" i="4"/>
  <c r="Y1302" i="4"/>
  <c r="R1302" i="4"/>
  <c r="Q1302" i="4"/>
  <c r="AF1301" i="4"/>
  <c r="Y1301" i="4"/>
  <c r="R1301" i="4"/>
  <c r="Q1301" i="4"/>
  <c r="AF1300" i="4"/>
  <c r="Y1300" i="4"/>
  <c r="R1300" i="4"/>
  <c r="Q1300" i="4"/>
  <c r="AF1299" i="4"/>
  <c r="Y1299" i="4"/>
  <c r="R1299" i="4"/>
  <c r="Q1299" i="4"/>
  <c r="AF1298" i="4"/>
  <c r="Y1298" i="4"/>
  <c r="R1298" i="4"/>
  <c r="Q1298" i="4"/>
  <c r="AF1297" i="4"/>
  <c r="Y1297" i="4"/>
  <c r="R1297" i="4"/>
  <c r="Q1297" i="4"/>
  <c r="AF1296" i="4"/>
  <c r="Y1296" i="4"/>
  <c r="R1296" i="4"/>
  <c r="Q1296" i="4"/>
  <c r="AF1295" i="4"/>
  <c r="Y1295" i="4"/>
  <c r="R1295" i="4"/>
  <c r="Q1295" i="4"/>
  <c r="AF1294" i="4"/>
  <c r="Y1294" i="4"/>
  <c r="R1294" i="4"/>
  <c r="Q1294" i="4"/>
  <c r="AF1293" i="4"/>
  <c r="Y1293" i="4"/>
  <c r="R1293" i="4"/>
  <c r="Q1293" i="4"/>
  <c r="AF1292" i="4"/>
  <c r="Y1292" i="4"/>
  <c r="R1292" i="4"/>
  <c r="Q1292" i="4"/>
  <c r="AF1291" i="4"/>
  <c r="Y1291" i="4"/>
  <c r="R1291" i="4"/>
  <c r="Q1291" i="4"/>
  <c r="AF1290" i="4"/>
  <c r="Y1290" i="4"/>
  <c r="R1290" i="4"/>
  <c r="Q1290" i="4"/>
  <c r="AF1289" i="4"/>
  <c r="Y1289" i="4"/>
  <c r="R1289" i="4"/>
  <c r="Q1289" i="4"/>
  <c r="AF1288" i="4"/>
  <c r="Y1288" i="4"/>
  <c r="R1288" i="4"/>
  <c r="Q1288" i="4"/>
  <c r="AF1287" i="4"/>
  <c r="Y1287" i="4"/>
  <c r="R1287" i="4"/>
  <c r="Q1287" i="4"/>
  <c r="AF1286" i="4"/>
  <c r="Y1286" i="4"/>
  <c r="R1286" i="4"/>
  <c r="Q1286" i="4"/>
  <c r="AF1285" i="4"/>
  <c r="Y1285" i="4"/>
  <c r="R1285" i="4"/>
  <c r="Q1285" i="4"/>
  <c r="AF1284" i="4"/>
  <c r="Y1284" i="4"/>
  <c r="R1284" i="4"/>
  <c r="Q1284" i="4"/>
  <c r="AF1283" i="4"/>
  <c r="Y1283" i="4"/>
  <c r="R1283" i="4"/>
  <c r="Q1283" i="4"/>
  <c r="AF1282" i="4"/>
  <c r="Y1282" i="4"/>
  <c r="R1282" i="4"/>
  <c r="Q1282" i="4"/>
  <c r="AF1281" i="4"/>
  <c r="Y1281" i="4"/>
  <c r="R1281" i="4"/>
  <c r="Q1281" i="4"/>
  <c r="AF1280" i="4"/>
  <c r="Y1280" i="4"/>
  <c r="R1280" i="4"/>
  <c r="Q1280" i="4"/>
  <c r="AF1279" i="4"/>
  <c r="Y1279" i="4"/>
  <c r="R1279" i="4"/>
  <c r="Q1279" i="4"/>
  <c r="AF1278" i="4"/>
  <c r="Y1278" i="4"/>
  <c r="R1278" i="4"/>
  <c r="Q1278" i="4"/>
  <c r="AF1277" i="4"/>
  <c r="Y1277" i="4"/>
  <c r="R1277" i="4"/>
  <c r="Q1277" i="4"/>
  <c r="AF1276" i="4"/>
  <c r="Y1276" i="4"/>
  <c r="R1276" i="4"/>
  <c r="Q1276" i="4"/>
  <c r="AF1275" i="4"/>
  <c r="Y1275" i="4"/>
  <c r="R1275" i="4"/>
  <c r="Q1275" i="4"/>
  <c r="AF1274" i="4"/>
  <c r="Y1274" i="4"/>
  <c r="R1274" i="4"/>
  <c r="Q1274" i="4"/>
  <c r="AF1273" i="4"/>
  <c r="Y1273" i="4"/>
  <c r="R1273" i="4"/>
  <c r="Q1273" i="4"/>
  <c r="AF1272" i="4"/>
  <c r="Y1272" i="4"/>
  <c r="R1272" i="4"/>
  <c r="Q1272" i="4"/>
  <c r="AF1271" i="4"/>
  <c r="Y1271" i="4"/>
  <c r="R1271" i="4"/>
  <c r="Q1271" i="4"/>
  <c r="AF1270" i="4"/>
  <c r="Y1270" i="4"/>
  <c r="R1270" i="4"/>
  <c r="Q1270" i="4"/>
  <c r="AF1269" i="4"/>
  <c r="Y1269" i="4"/>
  <c r="R1269" i="4"/>
  <c r="Q1269" i="4"/>
  <c r="AF1268" i="4"/>
  <c r="Y1268" i="4"/>
  <c r="R1268" i="4"/>
  <c r="Q1268" i="4"/>
  <c r="AF1267" i="4"/>
  <c r="Y1267" i="4"/>
  <c r="R1267" i="4"/>
  <c r="Q1267" i="4"/>
  <c r="AF1266" i="4"/>
  <c r="Y1266" i="4"/>
  <c r="R1266" i="4"/>
  <c r="Q1266" i="4"/>
  <c r="AF1265" i="4"/>
  <c r="Y1265" i="4"/>
  <c r="R1265" i="4"/>
  <c r="Q1265" i="4"/>
  <c r="AF1264" i="4"/>
  <c r="Y1264" i="4"/>
  <c r="R1264" i="4"/>
  <c r="Q1264" i="4"/>
  <c r="AF1263" i="4"/>
  <c r="Y1263" i="4"/>
  <c r="R1263" i="4"/>
  <c r="Q1263" i="4"/>
  <c r="AF1262" i="4"/>
  <c r="Y1262" i="4"/>
  <c r="R1262" i="4"/>
  <c r="Q1262" i="4"/>
  <c r="AF1261" i="4"/>
  <c r="Y1261" i="4"/>
  <c r="R1261" i="4"/>
  <c r="Q1261" i="4"/>
  <c r="AF1260" i="4"/>
  <c r="Y1260" i="4"/>
  <c r="R1260" i="4"/>
  <c r="Q1260" i="4"/>
  <c r="AF1259" i="4"/>
  <c r="Y1259" i="4"/>
  <c r="R1259" i="4"/>
  <c r="Q1259" i="4"/>
  <c r="AF1258" i="4"/>
  <c r="Y1258" i="4"/>
  <c r="R1258" i="4"/>
  <c r="Q1258" i="4"/>
  <c r="AF1257" i="4"/>
  <c r="Y1257" i="4"/>
  <c r="R1257" i="4"/>
  <c r="Q1257" i="4"/>
  <c r="AF1256" i="4"/>
  <c r="Y1256" i="4"/>
  <c r="R1256" i="4"/>
  <c r="Q1256" i="4"/>
  <c r="AF1255" i="4"/>
  <c r="Y1255" i="4"/>
  <c r="R1255" i="4"/>
  <c r="Q1255" i="4"/>
  <c r="AF1254" i="4"/>
  <c r="Y1254" i="4"/>
  <c r="R1254" i="4"/>
  <c r="Q1254" i="4"/>
  <c r="AF1253" i="4"/>
  <c r="Y1253" i="4"/>
  <c r="R1253" i="4"/>
  <c r="Q1253" i="4"/>
  <c r="AF1252" i="4"/>
  <c r="Y1252" i="4"/>
  <c r="R1252" i="4"/>
  <c r="Q1252" i="4"/>
  <c r="AF1251" i="4"/>
  <c r="Y1251" i="4"/>
  <c r="R1251" i="4"/>
  <c r="Q1251" i="4"/>
  <c r="AF1250" i="4"/>
  <c r="Y1250" i="4"/>
  <c r="R1250" i="4"/>
  <c r="Q1250" i="4"/>
  <c r="AF1249" i="4"/>
  <c r="Y1249" i="4"/>
  <c r="R1249" i="4"/>
  <c r="Q1249" i="4"/>
  <c r="AF1248" i="4"/>
  <c r="Y1248" i="4"/>
  <c r="R1248" i="4"/>
  <c r="Q1248" i="4"/>
  <c r="AF1247" i="4"/>
  <c r="Y1247" i="4"/>
  <c r="R1247" i="4"/>
  <c r="Q1247" i="4"/>
  <c r="AF1246" i="4"/>
  <c r="Y1246" i="4"/>
  <c r="R1246" i="4"/>
  <c r="Q1246" i="4"/>
  <c r="AF1245" i="4"/>
  <c r="Y1245" i="4"/>
  <c r="R1245" i="4"/>
  <c r="Q1245" i="4"/>
  <c r="AF1244" i="4"/>
  <c r="Y1244" i="4"/>
  <c r="R1244" i="4"/>
  <c r="Q1244" i="4"/>
  <c r="AF1243" i="4"/>
  <c r="Y1243" i="4"/>
  <c r="R1243" i="4"/>
  <c r="Q1243" i="4"/>
  <c r="AF1242" i="4"/>
  <c r="Y1242" i="4"/>
  <c r="R1242" i="4"/>
  <c r="Q1242" i="4"/>
  <c r="AF1241" i="4"/>
  <c r="Y1241" i="4"/>
  <c r="R1241" i="4"/>
  <c r="Q1241" i="4"/>
  <c r="AF1240" i="4"/>
  <c r="Y1240" i="4"/>
  <c r="R1240" i="4"/>
  <c r="Q1240" i="4"/>
  <c r="AF1239" i="4"/>
  <c r="Y1239" i="4"/>
  <c r="R1239" i="4"/>
  <c r="Q1239" i="4"/>
  <c r="AF1238" i="4"/>
  <c r="Y1238" i="4"/>
  <c r="R1238" i="4"/>
  <c r="Q1238" i="4"/>
  <c r="AF1237" i="4"/>
  <c r="Y1237" i="4"/>
  <c r="R1237" i="4"/>
  <c r="Q1237" i="4"/>
  <c r="AF1236" i="4"/>
  <c r="Y1236" i="4"/>
  <c r="R1236" i="4"/>
  <c r="Q1236" i="4"/>
  <c r="AF1235" i="4"/>
  <c r="Y1235" i="4"/>
  <c r="R1235" i="4"/>
  <c r="Q1235" i="4"/>
  <c r="AF1234" i="4"/>
  <c r="Y1234" i="4"/>
  <c r="R1234" i="4"/>
  <c r="Q1234" i="4"/>
  <c r="AF1233" i="4"/>
  <c r="Y1233" i="4"/>
  <c r="R1233" i="4"/>
  <c r="Q1233" i="4"/>
  <c r="AF1232" i="4"/>
  <c r="Y1232" i="4"/>
  <c r="R1232" i="4"/>
  <c r="Q1232" i="4"/>
  <c r="AF1231" i="4"/>
  <c r="Y1231" i="4"/>
  <c r="R1231" i="4"/>
  <c r="Q1231" i="4"/>
  <c r="AF1230" i="4"/>
  <c r="Y1230" i="4"/>
  <c r="R1230" i="4"/>
  <c r="Q1230" i="4"/>
  <c r="AF1229" i="4"/>
  <c r="Y1229" i="4"/>
  <c r="R1229" i="4"/>
  <c r="Q1229" i="4"/>
  <c r="AF1228" i="4"/>
  <c r="Y1228" i="4"/>
  <c r="R1228" i="4"/>
  <c r="Q1228" i="4"/>
  <c r="AF1227" i="4"/>
  <c r="Y1227" i="4"/>
  <c r="R1227" i="4"/>
  <c r="Q1227" i="4"/>
  <c r="AF1226" i="4"/>
  <c r="Y1226" i="4"/>
  <c r="R1226" i="4"/>
  <c r="Q1226" i="4"/>
  <c r="AF1225" i="4"/>
  <c r="Y1225" i="4"/>
  <c r="R1225" i="4"/>
  <c r="Q1225" i="4"/>
  <c r="AF1224" i="4"/>
  <c r="Y1224" i="4"/>
  <c r="R1224" i="4"/>
  <c r="Q1224" i="4"/>
  <c r="AF1223" i="4"/>
  <c r="Y1223" i="4"/>
  <c r="R1223" i="4"/>
  <c r="Q1223" i="4"/>
  <c r="AF1222" i="4"/>
  <c r="Y1222" i="4"/>
  <c r="R1222" i="4"/>
  <c r="Q1222" i="4"/>
  <c r="AF1221" i="4"/>
  <c r="Y1221" i="4"/>
  <c r="R1221" i="4"/>
  <c r="Q1221" i="4"/>
  <c r="AF1220" i="4"/>
  <c r="Y1220" i="4"/>
  <c r="R1220" i="4"/>
  <c r="Q1220" i="4"/>
  <c r="AF1219" i="4"/>
  <c r="Y1219" i="4"/>
  <c r="R1219" i="4"/>
  <c r="Q1219" i="4"/>
  <c r="AF1218" i="4"/>
  <c r="Y1218" i="4"/>
  <c r="R1218" i="4"/>
  <c r="Q1218" i="4"/>
  <c r="AF1217" i="4"/>
  <c r="Y1217" i="4"/>
  <c r="R1217" i="4"/>
  <c r="Q1217" i="4"/>
  <c r="AF1216" i="4"/>
  <c r="Y1216" i="4"/>
  <c r="R1216" i="4"/>
  <c r="Q1216" i="4"/>
  <c r="AF1215" i="4"/>
  <c r="Y1215" i="4"/>
  <c r="R1215" i="4"/>
  <c r="Q1215" i="4"/>
  <c r="AF1214" i="4"/>
  <c r="Y1214" i="4"/>
  <c r="R1214" i="4"/>
  <c r="Q1214" i="4"/>
  <c r="AF1213" i="4"/>
  <c r="Y1213" i="4"/>
  <c r="R1213" i="4"/>
  <c r="Q1213" i="4"/>
  <c r="AF1212" i="4"/>
  <c r="Y1212" i="4"/>
  <c r="R1212" i="4"/>
  <c r="Q1212" i="4"/>
  <c r="AF1211" i="4"/>
  <c r="Y1211" i="4"/>
  <c r="R1211" i="4"/>
  <c r="Q1211" i="4"/>
  <c r="AF1210" i="4"/>
  <c r="Y1210" i="4"/>
  <c r="R1210" i="4"/>
  <c r="Q1210" i="4"/>
  <c r="AF1209" i="4"/>
  <c r="Y1209" i="4"/>
  <c r="R1209" i="4"/>
  <c r="Q1209" i="4"/>
  <c r="AF1208" i="4"/>
  <c r="Y1208" i="4"/>
  <c r="R1208" i="4"/>
  <c r="Q1208" i="4"/>
  <c r="AF1207" i="4"/>
  <c r="Y1207" i="4"/>
  <c r="R1207" i="4"/>
  <c r="Q1207" i="4"/>
  <c r="AF1206" i="4"/>
  <c r="Y1206" i="4"/>
  <c r="R1206" i="4"/>
  <c r="Q1206" i="4"/>
  <c r="AF1205" i="4"/>
  <c r="Y1205" i="4"/>
  <c r="R1205" i="4"/>
  <c r="Q1205" i="4"/>
  <c r="AF1204" i="4"/>
  <c r="Y1204" i="4"/>
  <c r="R1204" i="4"/>
  <c r="Q1204" i="4"/>
  <c r="AF1203" i="4"/>
  <c r="Y1203" i="4"/>
  <c r="R1203" i="4"/>
  <c r="Q1203" i="4"/>
  <c r="AF1202" i="4"/>
  <c r="Y1202" i="4"/>
  <c r="R1202" i="4"/>
  <c r="Q1202" i="4"/>
  <c r="AF1201" i="4"/>
  <c r="Y1201" i="4"/>
  <c r="R1201" i="4"/>
  <c r="Q1201" i="4"/>
  <c r="AF1200" i="4"/>
  <c r="Y1200" i="4"/>
  <c r="R1200" i="4"/>
  <c r="Q1200" i="4"/>
  <c r="AF1199" i="4"/>
  <c r="Y1199" i="4"/>
  <c r="R1199" i="4"/>
  <c r="Q1199" i="4"/>
  <c r="AF1198" i="4"/>
  <c r="Y1198" i="4"/>
  <c r="R1198" i="4"/>
  <c r="Q1198" i="4"/>
  <c r="AF1197" i="4"/>
  <c r="Y1197" i="4"/>
  <c r="R1197" i="4"/>
  <c r="Q1197" i="4"/>
  <c r="AF1196" i="4"/>
  <c r="Y1196" i="4"/>
  <c r="R1196" i="4"/>
  <c r="Q1196" i="4"/>
  <c r="AF1195" i="4"/>
  <c r="Y1195" i="4"/>
  <c r="R1195" i="4"/>
  <c r="Q1195" i="4"/>
  <c r="AF1194" i="4"/>
  <c r="Y1194" i="4"/>
  <c r="R1194" i="4"/>
  <c r="Q1194" i="4"/>
  <c r="AF1193" i="4"/>
  <c r="Y1193" i="4"/>
  <c r="R1193" i="4"/>
  <c r="Q1193" i="4"/>
  <c r="AF1192" i="4"/>
  <c r="Y1192" i="4"/>
  <c r="R1192" i="4"/>
  <c r="Q1192" i="4"/>
  <c r="AF1191" i="4"/>
  <c r="Y1191" i="4"/>
  <c r="R1191" i="4"/>
  <c r="Q1191" i="4"/>
  <c r="AF1190" i="4"/>
  <c r="Y1190" i="4"/>
  <c r="R1190" i="4"/>
  <c r="Q1190" i="4"/>
  <c r="AF1189" i="4"/>
  <c r="Y1189" i="4"/>
  <c r="R1189" i="4"/>
  <c r="Q1189" i="4"/>
  <c r="AF1188" i="4"/>
  <c r="Y1188" i="4"/>
  <c r="R1188" i="4"/>
  <c r="Q1188" i="4"/>
  <c r="AF1187" i="4"/>
  <c r="Y1187" i="4"/>
  <c r="R1187" i="4"/>
  <c r="Q1187" i="4"/>
  <c r="AF1186" i="4"/>
  <c r="Y1186" i="4"/>
  <c r="R1186" i="4"/>
  <c r="Q1186" i="4"/>
  <c r="AF1185" i="4"/>
  <c r="Y1185" i="4"/>
  <c r="R1185" i="4"/>
  <c r="Q1185" i="4"/>
  <c r="AF1184" i="4"/>
  <c r="Y1184" i="4"/>
  <c r="R1184" i="4"/>
  <c r="Q1184" i="4"/>
  <c r="AF1183" i="4"/>
  <c r="Y1183" i="4"/>
  <c r="R1183" i="4"/>
  <c r="Q1183" i="4"/>
  <c r="AF1182" i="4"/>
  <c r="Y1182" i="4"/>
  <c r="R1182" i="4"/>
  <c r="Q1182" i="4"/>
  <c r="AF1181" i="4"/>
  <c r="Y1181" i="4"/>
  <c r="R1181" i="4"/>
  <c r="Q1181" i="4"/>
  <c r="AF1180" i="4"/>
  <c r="Y1180" i="4"/>
  <c r="R1180" i="4"/>
  <c r="Q1180" i="4"/>
  <c r="AF1179" i="4"/>
  <c r="Y1179" i="4"/>
  <c r="R1179" i="4"/>
  <c r="Q1179" i="4"/>
  <c r="AF1178" i="4"/>
  <c r="Y1178" i="4"/>
  <c r="R1178" i="4"/>
  <c r="Q1178" i="4"/>
  <c r="AF1177" i="4"/>
  <c r="Y1177" i="4"/>
  <c r="R1177" i="4"/>
  <c r="Q1177" i="4"/>
  <c r="AF1176" i="4"/>
  <c r="Y1176" i="4"/>
  <c r="R1176" i="4"/>
  <c r="Q1176" i="4"/>
  <c r="AF1175" i="4"/>
  <c r="Y1175" i="4"/>
  <c r="R1175" i="4"/>
  <c r="Q1175" i="4"/>
  <c r="AF1174" i="4"/>
  <c r="Y1174" i="4"/>
  <c r="R1174" i="4"/>
  <c r="Q1174" i="4"/>
  <c r="AF1173" i="4"/>
  <c r="Y1173" i="4"/>
  <c r="R1173" i="4"/>
  <c r="Q1173" i="4"/>
  <c r="AF1172" i="4"/>
  <c r="Y1172" i="4"/>
  <c r="R1172" i="4"/>
  <c r="Q1172" i="4"/>
  <c r="AF1171" i="4"/>
  <c r="Y1171" i="4"/>
  <c r="R1171" i="4"/>
  <c r="Q1171" i="4"/>
  <c r="AF1170" i="4"/>
  <c r="Y1170" i="4"/>
  <c r="R1170" i="4"/>
  <c r="Q1170" i="4"/>
  <c r="AF1169" i="4"/>
  <c r="Y1169" i="4"/>
  <c r="R1169" i="4"/>
  <c r="Q1169" i="4"/>
  <c r="AF1168" i="4"/>
  <c r="Y1168" i="4"/>
  <c r="R1168" i="4"/>
  <c r="Q1168" i="4"/>
  <c r="AF1167" i="4"/>
  <c r="Y1167" i="4"/>
  <c r="R1167" i="4"/>
  <c r="Q1167" i="4"/>
  <c r="AF1166" i="4"/>
  <c r="Y1166" i="4"/>
  <c r="R1166" i="4"/>
  <c r="Q1166" i="4"/>
  <c r="AF1165" i="4"/>
  <c r="Y1165" i="4"/>
  <c r="R1165" i="4"/>
  <c r="Q1165" i="4"/>
  <c r="AF1164" i="4"/>
  <c r="Y1164" i="4"/>
  <c r="R1164" i="4"/>
  <c r="Q1164" i="4"/>
  <c r="AF1163" i="4"/>
  <c r="Y1163" i="4"/>
  <c r="R1163" i="4"/>
  <c r="Q1163" i="4"/>
  <c r="AF1162" i="4"/>
  <c r="Y1162" i="4"/>
  <c r="R1162" i="4"/>
  <c r="Q1162" i="4"/>
  <c r="AF1161" i="4"/>
  <c r="Y1161" i="4"/>
  <c r="R1161" i="4"/>
  <c r="Q1161" i="4"/>
  <c r="AF1160" i="4"/>
  <c r="Y1160" i="4"/>
  <c r="R1160" i="4"/>
  <c r="Q1160" i="4"/>
  <c r="AF1159" i="4"/>
  <c r="Y1159" i="4"/>
  <c r="R1159" i="4"/>
  <c r="Q1159" i="4"/>
  <c r="AF1158" i="4"/>
  <c r="Y1158" i="4"/>
  <c r="R1158" i="4"/>
  <c r="Q1158" i="4"/>
  <c r="AF1157" i="4"/>
  <c r="Y1157" i="4"/>
  <c r="R1157" i="4"/>
  <c r="Q1157" i="4"/>
  <c r="AF1156" i="4"/>
  <c r="Y1156" i="4"/>
  <c r="R1156" i="4"/>
  <c r="Q1156" i="4"/>
  <c r="AF1155" i="4"/>
  <c r="Y1155" i="4"/>
  <c r="R1155" i="4"/>
  <c r="Q1155" i="4"/>
  <c r="AF1154" i="4"/>
  <c r="Y1154" i="4"/>
  <c r="R1154" i="4"/>
  <c r="Q1154" i="4"/>
  <c r="AF1153" i="4"/>
  <c r="Y1153" i="4"/>
  <c r="R1153" i="4"/>
  <c r="Q1153" i="4"/>
  <c r="AF1152" i="4"/>
  <c r="Y1152" i="4"/>
  <c r="R1152" i="4"/>
  <c r="Q1152" i="4"/>
  <c r="AF1151" i="4"/>
  <c r="Y1151" i="4"/>
  <c r="R1151" i="4"/>
  <c r="Q1151" i="4"/>
  <c r="AF1150" i="4"/>
  <c r="Y1150" i="4"/>
  <c r="R1150" i="4"/>
  <c r="Q1150" i="4"/>
  <c r="AF1149" i="4"/>
  <c r="Y1149" i="4"/>
  <c r="R1149" i="4"/>
  <c r="Q1149" i="4"/>
  <c r="AF1148" i="4"/>
  <c r="Y1148" i="4"/>
  <c r="R1148" i="4"/>
  <c r="Q1148" i="4"/>
  <c r="AF1147" i="4"/>
  <c r="Y1147" i="4"/>
  <c r="R1147" i="4"/>
  <c r="Q1147" i="4"/>
  <c r="AF1146" i="4"/>
  <c r="Y1146" i="4"/>
  <c r="R1146" i="4"/>
  <c r="Q1146" i="4"/>
  <c r="AF1145" i="4"/>
  <c r="Y1145" i="4"/>
  <c r="R1145" i="4"/>
  <c r="Q1145" i="4"/>
  <c r="AF1144" i="4"/>
  <c r="Y1144" i="4"/>
  <c r="R1144" i="4"/>
  <c r="Q1144" i="4"/>
  <c r="AF1143" i="4"/>
  <c r="Y1143" i="4"/>
  <c r="R1143" i="4"/>
  <c r="Q1143" i="4"/>
  <c r="AF1142" i="4"/>
  <c r="Y1142" i="4"/>
  <c r="R1142" i="4"/>
  <c r="Q1142" i="4"/>
  <c r="AF1141" i="4"/>
  <c r="Y1141" i="4"/>
  <c r="R1141" i="4"/>
  <c r="Q1141" i="4"/>
  <c r="AF1140" i="4"/>
  <c r="Y1140" i="4"/>
  <c r="R1140" i="4"/>
  <c r="Q1140" i="4"/>
  <c r="AF1139" i="4"/>
  <c r="Y1139" i="4"/>
  <c r="R1139" i="4"/>
  <c r="Q1139" i="4"/>
  <c r="AF1138" i="4"/>
  <c r="Y1138" i="4"/>
  <c r="R1138" i="4"/>
  <c r="Q1138" i="4"/>
  <c r="AF1137" i="4"/>
  <c r="Y1137" i="4"/>
  <c r="R1137" i="4"/>
  <c r="Q1137" i="4"/>
  <c r="AF1136" i="4"/>
  <c r="Y1136" i="4"/>
  <c r="R1136" i="4"/>
  <c r="Q1136" i="4"/>
  <c r="AF1135" i="4"/>
  <c r="Y1135" i="4"/>
  <c r="R1135" i="4"/>
  <c r="Q1135" i="4"/>
  <c r="AF1134" i="4"/>
  <c r="Y1134" i="4"/>
  <c r="R1134" i="4"/>
  <c r="Q1134" i="4"/>
  <c r="AF1133" i="4"/>
  <c r="Y1133" i="4"/>
  <c r="R1133" i="4"/>
  <c r="Q1133" i="4"/>
  <c r="AF1132" i="4"/>
  <c r="Y1132" i="4"/>
  <c r="R1132" i="4"/>
  <c r="Q1132" i="4"/>
  <c r="AF1131" i="4"/>
  <c r="Y1131" i="4"/>
  <c r="R1131" i="4"/>
  <c r="Q1131" i="4"/>
  <c r="AF1130" i="4"/>
  <c r="Y1130" i="4"/>
  <c r="R1130" i="4"/>
  <c r="Q1130" i="4"/>
  <c r="AF1129" i="4"/>
  <c r="Y1129" i="4"/>
  <c r="R1129" i="4"/>
  <c r="Q1129" i="4"/>
  <c r="AF1128" i="4"/>
  <c r="Y1128" i="4"/>
  <c r="R1128" i="4"/>
  <c r="Q1128" i="4"/>
  <c r="AF1127" i="4"/>
  <c r="Y1127" i="4"/>
  <c r="R1127" i="4"/>
  <c r="Q1127" i="4"/>
  <c r="AF1126" i="4"/>
  <c r="Y1126" i="4"/>
  <c r="R1126" i="4"/>
  <c r="Q1126" i="4"/>
  <c r="AF1125" i="4"/>
  <c r="Y1125" i="4"/>
  <c r="R1125" i="4"/>
  <c r="Q1125" i="4"/>
  <c r="AF1124" i="4"/>
  <c r="Y1124" i="4"/>
  <c r="R1124" i="4"/>
  <c r="Q1124" i="4"/>
  <c r="AF1123" i="4"/>
  <c r="Y1123" i="4"/>
  <c r="R1123" i="4"/>
  <c r="Q1123" i="4"/>
  <c r="AF1122" i="4"/>
  <c r="Y1122" i="4"/>
  <c r="R1122" i="4"/>
  <c r="Q1122" i="4"/>
  <c r="AF1121" i="4"/>
  <c r="Y1121" i="4"/>
  <c r="R1121" i="4"/>
  <c r="Q1121" i="4"/>
  <c r="AF1120" i="4"/>
  <c r="Y1120" i="4"/>
  <c r="R1120" i="4"/>
  <c r="Q1120" i="4"/>
  <c r="AF1119" i="4"/>
  <c r="Y1119" i="4"/>
  <c r="R1119" i="4"/>
  <c r="Q1119" i="4"/>
  <c r="AF1118" i="4"/>
  <c r="Y1118" i="4"/>
  <c r="R1118" i="4"/>
  <c r="Q1118" i="4"/>
  <c r="AF1117" i="4"/>
  <c r="Y1117" i="4"/>
  <c r="R1117" i="4"/>
  <c r="Q1117" i="4"/>
  <c r="AF1116" i="4"/>
  <c r="Y1116" i="4"/>
  <c r="R1116" i="4"/>
  <c r="Q1116" i="4"/>
  <c r="AF1115" i="4"/>
  <c r="Y1115" i="4"/>
  <c r="R1115" i="4"/>
  <c r="Q1115" i="4"/>
  <c r="AF1114" i="4"/>
  <c r="Y1114" i="4"/>
  <c r="R1114" i="4"/>
  <c r="Q1114" i="4"/>
  <c r="AF1113" i="4"/>
  <c r="Y1113" i="4"/>
  <c r="R1113" i="4"/>
  <c r="Q1113" i="4"/>
  <c r="AF1112" i="4"/>
  <c r="Y1112" i="4"/>
  <c r="R1112" i="4"/>
  <c r="Q1112" i="4"/>
  <c r="AF1111" i="4"/>
  <c r="Y1111" i="4"/>
  <c r="R1111" i="4"/>
  <c r="Q1111" i="4"/>
  <c r="AF1110" i="4"/>
  <c r="Y1110" i="4"/>
  <c r="R1110" i="4"/>
  <c r="Q1110" i="4"/>
  <c r="AF1109" i="4"/>
  <c r="Y1109" i="4"/>
  <c r="R1109" i="4"/>
  <c r="Q1109" i="4"/>
  <c r="AF1108" i="4"/>
  <c r="Y1108" i="4"/>
  <c r="R1108" i="4"/>
  <c r="Q1108" i="4"/>
  <c r="AF1107" i="4"/>
  <c r="Y1107" i="4"/>
  <c r="R1107" i="4"/>
  <c r="Q1107" i="4"/>
  <c r="AF1106" i="4"/>
  <c r="Y1106" i="4"/>
  <c r="R1106" i="4"/>
  <c r="Q1106" i="4"/>
  <c r="AF1105" i="4"/>
  <c r="Y1105" i="4"/>
  <c r="R1105" i="4"/>
  <c r="Q1105" i="4"/>
  <c r="AF1104" i="4"/>
  <c r="Y1104" i="4"/>
  <c r="R1104" i="4"/>
  <c r="Q1104" i="4"/>
  <c r="AF1103" i="4"/>
  <c r="Y1103" i="4"/>
  <c r="R1103" i="4"/>
  <c r="Q1103" i="4"/>
  <c r="AF1102" i="4"/>
  <c r="Y1102" i="4"/>
  <c r="R1102" i="4"/>
  <c r="Q1102" i="4"/>
  <c r="AF1101" i="4"/>
  <c r="Y1101" i="4"/>
  <c r="R1101" i="4"/>
  <c r="Q1101" i="4"/>
  <c r="AF1100" i="4"/>
  <c r="Y1100" i="4"/>
  <c r="R1100" i="4"/>
  <c r="Q1100" i="4"/>
  <c r="AF1099" i="4"/>
  <c r="Y1099" i="4"/>
  <c r="R1099" i="4"/>
  <c r="Q1099" i="4"/>
  <c r="AF1098" i="4"/>
  <c r="Y1098" i="4"/>
  <c r="R1098" i="4"/>
  <c r="Q1098" i="4"/>
  <c r="AF1097" i="4"/>
  <c r="Y1097" i="4"/>
  <c r="R1097" i="4"/>
  <c r="Q1097" i="4"/>
  <c r="AF1096" i="4"/>
  <c r="Y1096" i="4"/>
  <c r="R1096" i="4"/>
  <c r="Q1096" i="4"/>
  <c r="AF1095" i="4"/>
  <c r="Y1095" i="4"/>
  <c r="R1095" i="4"/>
  <c r="Q1095" i="4"/>
  <c r="AF1094" i="4"/>
  <c r="Y1094" i="4"/>
  <c r="R1094" i="4"/>
  <c r="Q1094" i="4"/>
  <c r="AF1093" i="4"/>
  <c r="Y1093" i="4"/>
  <c r="R1093" i="4"/>
  <c r="Q1093" i="4"/>
  <c r="AF1092" i="4"/>
  <c r="Y1092" i="4"/>
  <c r="R1092" i="4"/>
  <c r="Q1092" i="4"/>
  <c r="AF1091" i="4"/>
  <c r="Y1091" i="4"/>
  <c r="R1091" i="4"/>
  <c r="Q1091" i="4"/>
  <c r="AF1090" i="4"/>
  <c r="Y1090" i="4"/>
  <c r="R1090" i="4"/>
  <c r="Q1090" i="4"/>
  <c r="AF1089" i="4"/>
  <c r="Y1089" i="4"/>
  <c r="R1089" i="4"/>
  <c r="Q1089" i="4"/>
  <c r="AF1088" i="4"/>
  <c r="Y1088" i="4"/>
  <c r="R1088" i="4"/>
  <c r="Q1088" i="4"/>
  <c r="AF1087" i="4"/>
  <c r="Y1087" i="4"/>
  <c r="R1087" i="4"/>
  <c r="Q1087" i="4"/>
  <c r="AF1086" i="4"/>
  <c r="Y1086" i="4"/>
  <c r="R1086" i="4"/>
  <c r="Q1086" i="4"/>
  <c r="AF1085" i="4"/>
  <c r="Y1085" i="4"/>
  <c r="R1085" i="4"/>
  <c r="Q1085" i="4"/>
  <c r="AF1084" i="4"/>
  <c r="Y1084" i="4"/>
  <c r="R1084" i="4"/>
  <c r="Q1084" i="4"/>
  <c r="AF1083" i="4"/>
  <c r="Y1083" i="4"/>
  <c r="R1083" i="4"/>
  <c r="Q1083" i="4"/>
  <c r="AF1082" i="4"/>
  <c r="Y1082" i="4"/>
  <c r="R1082" i="4"/>
  <c r="Q1082" i="4"/>
  <c r="AF1081" i="4"/>
  <c r="Y1081" i="4"/>
  <c r="R1081" i="4"/>
  <c r="Q1081" i="4"/>
  <c r="AF1080" i="4"/>
  <c r="Y1080" i="4"/>
  <c r="R1080" i="4"/>
  <c r="Q1080" i="4"/>
  <c r="AF1079" i="4"/>
  <c r="Y1079" i="4"/>
  <c r="R1079" i="4"/>
  <c r="Q1079" i="4"/>
  <c r="AF1078" i="4"/>
  <c r="Y1078" i="4"/>
  <c r="R1078" i="4"/>
  <c r="Q1078" i="4"/>
  <c r="AF1077" i="4"/>
  <c r="Y1077" i="4"/>
  <c r="R1077" i="4"/>
  <c r="Q1077" i="4"/>
  <c r="AF1076" i="4"/>
  <c r="Y1076" i="4"/>
  <c r="R1076" i="4"/>
  <c r="Q1076" i="4"/>
  <c r="AF1075" i="4"/>
  <c r="Y1075" i="4"/>
  <c r="R1075" i="4"/>
  <c r="Q1075" i="4"/>
  <c r="AF1074" i="4"/>
  <c r="Y1074" i="4"/>
  <c r="R1074" i="4"/>
  <c r="Q1074" i="4"/>
  <c r="AF1073" i="4"/>
  <c r="Y1073" i="4"/>
  <c r="R1073" i="4"/>
  <c r="Q1073" i="4"/>
  <c r="AF1072" i="4"/>
  <c r="Y1072" i="4"/>
  <c r="R1072" i="4"/>
  <c r="Q1072" i="4"/>
  <c r="AF1071" i="4"/>
  <c r="Y1071" i="4"/>
  <c r="R1071" i="4"/>
  <c r="Q1071" i="4"/>
  <c r="AF1070" i="4"/>
  <c r="Y1070" i="4"/>
  <c r="R1070" i="4"/>
  <c r="Q1070" i="4"/>
  <c r="AF1069" i="4"/>
  <c r="Y1069" i="4"/>
  <c r="R1069" i="4"/>
  <c r="Q1069" i="4"/>
  <c r="AF1068" i="4"/>
  <c r="Y1068" i="4"/>
  <c r="R1068" i="4"/>
  <c r="Q1068" i="4"/>
  <c r="AF1067" i="4"/>
  <c r="Y1067" i="4"/>
  <c r="R1067" i="4"/>
  <c r="Q1067" i="4"/>
  <c r="AF1066" i="4"/>
  <c r="Y1066" i="4"/>
  <c r="R1066" i="4"/>
  <c r="Q1066" i="4"/>
  <c r="AF1065" i="4"/>
  <c r="Y1065" i="4"/>
  <c r="R1065" i="4"/>
  <c r="Q1065" i="4"/>
  <c r="AF1064" i="4"/>
  <c r="Y1064" i="4"/>
  <c r="R1064" i="4"/>
  <c r="Q1064" i="4"/>
  <c r="AF1063" i="4"/>
  <c r="Y1063" i="4"/>
  <c r="R1063" i="4"/>
  <c r="Q1063" i="4"/>
  <c r="AF1062" i="4"/>
  <c r="Y1062" i="4"/>
  <c r="R1062" i="4"/>
  <c r="Q1062" i="4"/>
  <c r="AF1061" i="4"/>
  <c r="Y1061" i="4"/>
  <c r="R1061" i="4"/>
  <c r="Q1061" i="4"/>
  <c r="AF1060" i="4"/>
  <c r="Y1060" i="4"/>
  <c r="R1060" i="4"/>
  <c r="Q1060" i="4"/>
  <c r="AF1059" i="4"/>
  <c r="Y1059" i="4"/>
  <c r="R1059" i="4"/>
  <c r="Q1059" i="4"/>
  <c r="AF1058" i="4"/>
  <c r="Y1058" i="4"/>
  <c r="R1058" i="4"/>
  <c r="Q1058" i="4"/>
  <c r="AF1057" i="4"/>
  <c r="Y1057" i="4"/>
  <c r="R1057" i="4"/>
  <c r="Q1057" i="4"/>
  <c r="AF1056" i="4"/>
  <c r="Y1056" i="4"/>
  <c r="R1056" i="4"/>
  <c r="Q1056" i="4"/>
  <c r="AF1055" i="4"/>
  <c r="Y1055" i="4"/>
  <c r="R1055" i="4"/>
  <c r="Q1055" i="4"/>
  <c r="AF1054" i="4"/>
  <c r="Y1054" i="4"/>
  <c r="R1054" i="4"/>
  <c r="Q1054" i="4"/>
  <c r="AF1053" i="4"/>
  <c r="Y1053" i="4"/>
  <c r="R1053" i="4"/>
  <c r="Q1053" i="4"/>
  <c r="AF1052" i="4"/>
  <c r="Y1052" i="4"/>
  <c r="R1052" i="4"/>
  <c r="Q1052" i="4"/>
  <c r="AF1051" i="4"/>
  <c r="Y1051" i="4"/>
  <c r="R1051" i="4"/>
  <c r="Q1051" i="4"/>
  <c r="AF1050" i="4"/>
  <c r="Y1050" i="4"/>
  <c r="R1050" i="4"/>
  <c r="Q1050" i="4"/>
  <c r="AF1049" i="4"/>
  <c r="Y1049" i="4"/>
  <c r="R1049" i="4"/>
  <c r="Q1049" i="4"/>
  <c r="AF1048" i="4"/>
  <c r="Y1048" i="4"/>
  <c r="R1048" i="4"/>
  <c r="Q1048" i="4"/>
  <c r="AF1047" i="4"/>
  <c r="Y1047" i="4"/>
  <c r="R1047" i="4"/>
  <c r="Q1047" i="4"/>
  <c r="AF1046" i="4"/>
  <c r="Y1046" i="4"/>
  <c r="R1046" i="4"/>
  <c r="Q1046" i="4"/>
  <c r="AF1045" i="4"/>
  <c r="Y1045" i="4"/>
  <c r="R1045" i="4"/>
  <c r="Q1045" i="4"/>
  <c r="AF1044" i="4"/>
  <c r="Y1044" i="4"/>
  <c r="R1044" i="4"/>
  <c r="Q1044" i="4"/>
  <c r="AF1043" i="4"/>
  <c r="Y1043" i="4"/>
  <c r="R1043" i="4"/>
  <c r="Q1043" i="4"/>
  <c r="AF1042" i="4"/>
  <c r="Y1042" i="4"/>
  <c r="R1042" i="4"/>
  <c r="Q1042" i="4"/>
  <c r="AF1041" i="4"/>
  <c r="Y1041" i="4"/>
  <c r="R1041" i="4"/>
  <c r="Q1041" i="4"/>
  <c r="AF1040" i="4"/>
  <c r="Y1040" i="4"/>
  <c r="R1040" i="4"/>
  <c r="Q1040" i="4"/>
  <c r="AF1039" i="4"/>
  <c r="Y1039" i="4"/>
  <c r="R1039" i="4"/>
  <c r="Q1039" i="4"/>
  <c r="AF1038" i="4"/>
  <c r="Y1038" i="4"/>
  <c r="R1038" i="4"/>
  <c r="Q1038" i="4"/>
  <c r="AF1037" i="4"/>
  <c r="Y1037" i="4"/>
  <c r="R1037" i="4"/>
  <c r="Q1037" i="4"/>
  <c r="AF1036" i="4"/>
  <c r="Y1036" i="4"/>
  <c r="R1036" i="4"/>
  <c r="Q1036" i="4"/>
  <c r="AF1035" i="4"/>
  <c r="Y1035" i="4"/>
  <c r="R1035" i="4"/>
  <c r="Q1035" i="4"/>
  <c r="AF1034" i="4"/>
  <c r="Y1034" i="4"/>
  <c r="R1034" i="4"/>
  <c r="Q1034" i="4"/>
  <c r="AF1033" i="4"/>
  <c r="Y1033" i="4"/>
  <c r="R1033" i="4"/>
  <c r="Q1033" i="4"/>
  <c r="AF1032" i="4"/>
  <c r="Y1032" i="4"/>
  <c r="R1032" i="4"/>
  <c r="Q1032" i="4"/>
  <c r="AF1031" i="4"/>
  <c r="Y1031" i="4"/>
  <c r="R1031" i="4"/>
  <c r="Q1031" i="4"/>
  <c r="AF1030" i="4"/>
  <c r="Y1030" i="4"/>
  <c r="R1030" i="4"/>
  <c r="Q1030" i="4"/>
  <c r="AF1029" i="4"/>
  <c r="Y1029" i="4"/>
  <c r="R1029" i="4"/>
  <c r="Q1029" i="4"/>
  <c r="AF1028" i="4"/>
  <c r="Y1028" i="4"/>
  <c r="R1028" i="4"/>
  <c r="Q1028" i="4"/>
  <c r="AF1027" i="4"/>
  <c r="Y1027" i="4"/>
  <c r="R1027" i="4"/>
  <c r="Q1027" i="4"/>
  <c r="AF1026" i="4"/>
  <c r="Y1026" i="4"/>
  <c r="R1026" i="4"/>
  <c r="Q1026" i="4"/>
  <c r="AF1025" i="4"/>
  <c r="Y1025" i="4"/>
  <c r="R1025" i="4"/>
  <c r="Q1025" i="4"/>
  <c r="AF1024" i="4"/>
  <c r="Y1024" i="4"/>
  <c r="R1024" i="4"/>
  <c r="Q1024" i="4"/>
  <c r="AF1023" i="4"/>
  <c r="Y1023" i="4"/>
  <c r="R1023" i="4"/>
  <c r="Q1023" i="4"/>
  <c r="AF1022" i="4"/>
  <c r="Y1022" i="4"/>
  <c r="R1022" i="4"/>
  <c r="Q1022" i="4"/>
  <c r="AF1021" i="4"/>
  <c r="Y1021" i="4"/>
  <c r="R1021" i="4"/>
  <c r="Q1021" i="4"/>
  <c r="AF1020" i="4"/>
  <c r="Y1020" i="4"/>
  <c r="R1020" i="4"/>
  <c r="Q1020" i="4"/>
  <c r="AF1019" i="4"/>
  <c r="Y1019" i="4"/>
  <c r="R1019" i="4"/>
  <c r="Q1019" i="4"/>
  <c r="AF1018" i="4"/>
  <c r="Y1018" i="4"/>
  <c r="R1018" i="4"/>
  <c r="Q1018" i="4"/>
  <c r="AF1017" i="4"/>
  <c r="Y1017" i="4"/>
  <c r="R1017" i="4"/>
  <c r="Q1017" i="4"/>
  <c r="AF1016" i="4"/>
  <c r="Y1016" i="4"/>
  <c r="R1016" i="4"/>
  <c r="Q1016" i="4"/>
  <c r="AF1015" i="4"/>
  <c r="Y1015" i="4"/>
  <c r="R1015" i="4"/>
  <c r="Q1015" i="4"/>
  <c r="AF1014" i="4"/>
  <c r="Y1014" i="4"/>
  <c r="R1014" i="4"/>
  <c r="Q1014" i="4"/>
  <c r="AF1013" i="4"/>
  <c r="Y1013" i="4"/>
  <c r="R1013" i="4"/>
  <c r="Q1013" i="4"/>
  <c r="AF1012" i="4"/>
  <c r="Y1012" i="4"/>
  <c r="R1012" i="4"/>
  <c r="Q1012" i="4"/>
  <c r="AF1011" i="4"/>
  <c r="Y1011" i="4"/>
  <c r="R1011" i="4"/>
  <c r="Q1011" i="4"/>
  <c r="AF1010" i="4"/>
  <c r="Y1010" i="4"/>
  <c r="R1010" i="4"/>
  <c r="Q1010" i="4"/>
  <c r="AF1009" i="4"/>
  <c r="Y1009" i="4"/>
  <c r="R1009" i="4"/>
  <c r="Q1009" i="4"/>
  <c r="AF1008" i="4"/>
  <c r="Y1008" i="4"/>
  <c r="R1008" i="4"/>
  <c r="Q1008" i="4"/>
  <c r="AF1007" i="4"/>
  <c r="Y1007" i="4"/>
  <c r="R1007" i="4"/>
  <c r="Q1007" i="4"/>
  <c r="AF1006" i="4"/>
  <c r="Y1006" i="4"/>
  <c r="R1006" i="4"/>
  <c r="Q1006" i="4"/>
  <c r="AF1005" i="4"/>
  <c r="Y1005" i="4"/>
  <c r="R1005" i="4"/>
  <c r="Q1005" i="4"/>
  <c r="AF1004" i="4"/>
  <c r="Y1004" i="4"/>
  <c r="R1004" i="4"/>
  <c r="Q1004" i="4"/>
  <c r="AF1003" i="4"/>
  <c r="Y1003" i="4"/>
  <c r="R1003" i="4"/>
  <c r="Q1003" i="4"/>
  <c r="AF1002" i="4"/>
  <c r="Y1002" i="4"/>
  <c r="R1002" i="4"/>
  <c r="Q1002" i="4"/>
  <c r="AF1001" i="4"/>
  <c r="Y1001" i="4"/>
  <c r="R1001" i="4"/>
  <c r="Q1001" i="4"/>
  <c r="AF1000" i="4"/>
  <c r="Y1000" i="4"/>
  <c r="R1000" i="4"/>
  <c r="Q1000" i="4"/>
  <c r="AF999" i="4"/>
  <c r="Y999" i="4"/>
  <c r="R999" i="4"/>
  <c r="Q999" i="4"/>
  <c r="AF998" i="4"/>
  <c r="Y998" i="4"/>
  <c r="R998" i="4"/>
  <c r="Q998" i="4"/>
  <c r="AF997" i="4"/>
  <c r="Y997" i="4"/>
  <c r="R997" i="4"/>
  <c r="Q997" i="4"/>
  <c r="AF996" i="4"/>
  <c r="Y996" i="4"/>
  <c r="R996" i="4"/>
  <c r="Q996" i="4"/>
  <c r="AF995" i="4"/>
  <c r="Y995" i="4"/>
  <c r="R995" i="4"/>
  <c r="Q995" i="4"/>
  <c r="AF994" i="4"/>
  <c r="Y994" i="4"/>
  <c r="R994" i="4"/>
  <c r="Q994" i="4"/>
  <c r="AF993" i="4"/>
  <c r="Y993" i="4"/>
  <c r="R993" i="4"/>
  <c r="Q993" i="4"/>
  <c r="AF992" i="4"/>
  <c r="Y992" i="4"/>
  <c r="R992" i="4"/>
  <c r="Q992" i="4"/>
  <c r="AF991" i="4"/>
  <c r="Y991" i="4"/>
  <c r="R991" i="4"/>
  <c r="Q991" i="4"/>
  <c r="AF990" i="4"/>
  <c r="Y990" i="4"/>
  <c r="R990" i="4"/>
  <c r="Q990" i="4"/>
  <c r="AF989" i="4"/>
  <c r="Y989" i="4"/>
  <c r="R989" i="4"/>
  <c r="Q989" i="4"/>
  <c r="AF988" i="4"/>
  <c r="Y988" i="4"/>
  <c r="R988" i="4"/>
  <c r="Q988" i="4"/>
  <c r="AF987" i="4"/>
  <c r="Y987" i="4"/>
  <c r="R987" i="4"/>
  <c r="Q987" i="4"/>
  <c r="AF986" i="4"/>
  <c r="Y986" i="4"/>
  <c r="R986" i="4"/>
  <c r="Q986" i="4"/>
  <c r="AF985" i="4"/>
  <c r="Y985" i="4"/>
  <c r="R985" i="4"/>
  <c r="Q985" i="4"/>
  <c r="AF984" i="4"/>
  <c r="Y984" i="4"/>
  <c r="R984" i="4"/>
  <c r="Q984" i="4"/>
  <c r="AF983" i="4"/>
  <c r="Y983" i="4"/>
  <c r="R983" i="4"/>
  <c r="Q983" i="4"/>
  <c r="AF982" i="4"/>
  <c r="Y982" i="4"/>
  <c r="R982" i="4"/>
  <c r="Q982" i="4"/>
  <c r="AF981" i="4"/>
  <c r="Y981" i="4"/>
  <c r="R981" i="4"/>
  <c r="Q981" i="4"/>
  <c r="AF980" i="4"/>
  <c r="Y980" i="4"/>
  <c r="R980" i="4"/>
  <c r="Q980" i="4"/>
  <c r="AF979" i="4"/>
  <c r="Y979" i="4"/>
  <c r="R979" i="4"/>
  <c r="Q979" i="4"/>
  <c r="AF978" i="4"/>
  <c r="Y978" i="4"/>
  <c r="R978" i="4"/>
  <c r="Q978" i="4"/>
  <c r="AF977" i="4"/>
  <c r="Y977" i="4"/>
  <c r="R977" i="4"/>
  <c r="Q977" i="4"/>
  <c r="AF976" i="4"/>
  <c r="Y976" i="4"/>
  <c r="R976" i="4"/>
  <c r="Q976" i="4"/>
  <c r="AF975" i="4"/>
  <c r="Y975" i="4"/>
  <c r="R975" i="4"/>
  <c r="Q975" i="4"/>
  <c r="AF974" i="4"/>
  <c r="Y974" i="4"/>
  <c r="R974" i="4"/>
  <c r="Q974" i="4"/>
  <c r="AF973" i="4"/>
  <c r="Y973" i="4"/>
  <c r="R973" i="4"/>
  <c r="Q973" i="4"/>
  <c r="AF972" i="4"/>
  <c r="Y972" i="4"/>
  <c r="R972" i="4"/>
  <c r="Q972" i="4"/>
  <c r="AF971" i="4"/>
  <c r="Y971" i="4"/>
  <c r="R971" i="4"/>
  <c r="Q971" i="4"/>
  <c r="AF970" i="4"/>
  <c r="Y970" i="4"/>
  <c r="R970" i="4"/>
  <c r="Q970" i="4"/>
  <c r="AF969" i="4"/>
  <c r="Y969" i="4"/>
  <c r="R969" i="4"/>
  <c r="Q969" i="4"/>
  <c r="AF968" i="4"/>
  <c r="Y968" i="4"/>
  <c r="R968" i="4"/>
  <c r="Q968" i="4"/>
  <c r="AF967" i="4"/>
  <c r="Y967" i="4"/>
  <c r="R967" i="4"/>
  <c r="Q967" i="4"/>
  <c r="AF966" i="4"/>
  <c r="Y966" i="4"/>
  <c r="R966" i="4"/>
  <c r="Q966" i="4"/>
  <c r="AF965" i="4"/>
  <c r="Y965" i="4"/>
  <c r="R965" i="4"/>
  <c r="Q965" i="4"/>
  <c r="AF964" i="4"/>
  <c r="Y964" i="4"/>
  <c r="R964" i="4"/>
  <c r="Q964" i="4"/>
  <c r="AF963" i="4"/>
  <c r="Y963" i="4"/>
  <c r="R963" i="4"/>
  <c r="Q963" i="4"/>
  <c r="AF962" i="4"/>
  <c r="Y962" i="4"/>
  <c r="R962" i="4"/>
  <c r="Q962" i="4"/>
  <c r="AF961" i="4"/>
  <c r="Y961" i="4"/>
  <c r="R961" i="4"/>
  <c r="Q961" i="4"/>
  <c r="AF960" i="4"/>
  <c r="Y960" i="4"/>
  <c r="R960" i="4"/>
  <c r="Q960" i="4"/>
  <c r="AF959" i="4"/>
  <c r="Y959" i="4"/>
  <c r="R959" i="4"/>
  <c r="Q959" i="4"/>
  <c r="AF958" i="4"/>
  <c r="Y958" i="4"/>
  <c r="R958" i="4"/>
  <c r="Q958" i="4"/>
  <c r="AF957" i="4"/>
  <c r="Y957" i="4"/>
  <c r="R957" i="4"/>
  <c r="Q957" i="4"/>
  <c r="AF956" i="4"/>
  <c r="Y956" i="4"/>
  <c r="R956" i="4"/>
  <c r="Q956" i="4"/>
  <c r="AF955" i="4"/>
  <c r="Y955" i="4"/>
  <c r="R955" i="4"/>
  <c r="Q955" i="4"/>
  <c r="AF954" i="4"/>
  <c r="Y954" i="4"/>
  <c r="R954" i="4"/>
  <c r="Q954" i="4"/>
  <c r="AF953" i="4"/>
  <c r="Y953" i="4"/>
  <c r="R953" i="4"/>
  <c r="Q953" i="4"/>
  <c r="AF952" i="4"/>
  <c r="Y952" i="4"/>
  <c r="R952" i="4"/>
  <c r="Q952" i="4"/>
  <c r="AF951" i="4"/>
  <c r="Y951" i="4"/>
  <c r="R951" i="4"/>
  <c r="Q951" i="4"/>
  <c r="AF950" i="4"/>
  <c r="Y950" i="4"/>
  <c r="R950" i="4"/>
  <c r="Q950" i="4"/>
  <c r="AF949" i="4"/>
  <c r="Y949" i="4"/>
  <c r="R949" i="4"/>
  <c r="Q949" i="4"/>
  <c r="AF948" i="4"/>
  <c r="Y948" i="4"/>
  <c r="R948" i="4"/>
  <c r="Q948" i="4"/>
  <c r="AF947" i="4"/>
  <c r="Y947" i="4"/>
  <c r="R947" i="4"/>
  <c r="Q947" i="4"/>
  <c r="AF946" i="4"/>
  <c r="Y946" i="4"/>
  <c r="R946" i="4"/>
  <c r="Q946" i="4"/>
  <c r="AF945" i="4"/>
  <c r="Y945" i="4"/>
  <c r="R945" i="4"/>
  <c r="Q945" i="4"/>
  <c r="AF944" i="4"/>
  <c r="Y944" i="4"/>
  <c r="R944" i="4"/>
  <c r="Q944" i="4"/>
  <c r="AF943" i="4"/>
  <c r="Y943" i="4"/>
  <c r="R943" i="4"/>
  <c r="Q943" i="4"/>
  <c r="AF942" i="4"/>
  <c r="Y942" i="4"/>
  <c r="R942" i="4"/>
  <c r="Q942" i="4"/>
  <c r="AF941" i="4"/>
  <c r="Y941" i="4"/>
  <c r="R941" i="4"/>
  <c r="Q941" i="4"/>
  <c r="AF940" i="4"/>
  <c r="Y940" i="4"/>
  <c r="R940" i="4"/>
  <c r="Q940" i="4"/>
  <c r="AF939" i="4"/>
  <c r="Y939" i="4"/>
  <c r="R939" i="4"/>
  <c r="Q939" i="4"/>
  <c r="AF938" i="4"/>
  <c r="Y938" i="4"/>
  <c r="R938" i="4"/>
  <c r="Q938" i="4"/>
  <c r="AF937" i="4"/>
  <c r="Y937" i="4"/>
  <c r="R937" i="4"/>
  <c r="Q937" i="4"/>
  <c r="AF936" i="4"/>
  <c r="Y936" i="4"/>
  <c r="R936" i="4"/>
  <c r="Q936" i="4"/>
  <c r="AF935" i="4"/>
  <c r="Y935" i="4"/>
  <c r="R935" i="4"/>
  <c r="Q935" i="4"/>
  <c r="AF934" i="4"/>
  <c r="Y934" i="4"/>
  <c r="R934" i="4"/>
  <c r="Q934" i="4"/>
  <c r="AF933" i="4"/>
  <c r="Y933" i="4"/>
  <c r="R933" i="4"/>
  <c r="Q933" i="4"/>
  <c r="AF932" i="4"/>
  <c r="Y932" i="4"/>
  <c r="R932" i="4"/>
  <c r="Q932" i="4"/>
  <c r="AF931" i="4"/>
  <c r="Y931" i="4"/>
  <c r="R931" i="4"/>
  <c r="Q931" i="4"/>
  <c r="AF930" i="4"/>
  <c r="Y930" i="4"/>
  <c r="R930" i="4"/>
  <c r="Q930" i="4"/>
  <c r="AF929" i="4"/>
  <c r="Y929" i="4"/>
  <c r="R929" i="4"/>
  <c r="Q929" i="4"/>
  <c r="AF928" i="4"/>
  <c r="Y928" i="4"/>
  <c r="R928" i="4"/>
  <c r="Q928" i="4"/>
  <c r="AF927" i="4"/>
  <c r="Y927" i="4"/>
  <c r="R927" i="4"/>
  <c r="Q927" i="4"/>
  <c r="AF926" i="4"/>
  <c r="Y926" i="4"/>
  <c r="R926" i="4"/>
  <c r="Q926" i="4"/>
  <c r="AF925" i="4"/>
  <c r="Y925" i="4"/>
  <c r="R925" i="4"/>
  <c r="Q925" i="4"/>
  <c r="AF924" i="4"/>
  <c r="Y924" i="4"/>
  <c r="R924" i="4"/>
  <c r="Q924" i="4"/>
  <c r="AF923" i="4"/>
  <c r="Y923" i="4"/>
  <c r="R923" i="4"/>
  <c r="Q923" i="4"/>
  <c r="AF922" i="4"/>
  <c r="Y922" i="4"/>
  <c r="R922" i="4"/>
  <c r="Q922" i="4"/>
  <c r="AF921" i="4"/>
  <c r="Y921" i="4"/>
  <c r="R921" i="4"/>
  <c r="Q921" i="4"/>
  <c r="AF920" i="4"/>
  <c r="Y920" i="4"/>
  <c r="R920" i="4"/>
  <c r="Q920" i="4"/>
  <c r="AF919" i="4"/>
  <c r="Y919" i="4"/>
  <c r="R919" i="4"/>
  <c r="Q919" i="4"/>
  <c r="AF918" i="4"/>
  <c r="Y918" i="4"/>
  <c r="R918" i="4"/>
  <c r="Q918" i="4"/>
  <c r="AF917" i="4"/>
  <c r="Y917" i="4"/>
  <c r="R917" i="4"/>
  <c r="Q917" i="4"/>
  <c r="AF916" i="4"/>
  <c r="Y916" i="4"/>
  <c r="R916" i="4"/>
  <c r="Q916" i="4"/>
  <c r="AF915" i="4"/>
  <c r="Y915" i="4"/>
  <c r="R915" i="4"/>
  <c r="Q915" i="4"/>
  <c r="AF914" i="4"/>
  <c r="Y914" i="4"/>
  <c r="R914" i="4"/>
  <c r="Q914" i="4"/>
  <c r="AF913" i="4"/>
  <c r="Y913" i="4"/>
  <c r="R913" i="4"/>
  <c r="Q913" i="4"/>
  <c r="AF912" i="4"/>
  <c r="Y912" i="4"/>
  <c r="R912" i="4"/>
  <c r="Q912" i="4"/>
  <c r="AF911" i="4"/>
  <c r="Y911" i="4"/>
  <c r="R911" i="4"/>
  <c r="Q911" i="4"/>
  <c r="AF910" i="4"/>
  <c r="Y910" i="4"/>
  <c r="R910" i="4"/>
  <c r="Q910" i="4"/>
  <c r="AF909" i="4"/>
  <c r="Y909" i="4"/>
  <c r="R909" i="4"/>
  <c r="Q909" i="4"/>
  <c r="AF908" i="4"/>
  <c r="Y908" i="4"/>
  <c r="R908" i="4"/>
  <c r="Q908" i="4"/>
  <c r="AF907" i="4"/>
  <c r="Y907" i="4"/>
  <c r="R907" i="4"/>
  <c r="Q907" i="4"/>
  <c r="AF906" i="4"/>
  <c r="Y906" i="4"/>
  <c r="R906" i="4"/>
  <c r="Q906" i="4"/>
  <c r="AF905" i="4"/>
  <c r="Y905" i="4"/>
  <c r="R905" i="4"/>
  <c r="Q905" i="4"/>
  <c r="AF904" i="4"/>
  <c r="Y904" i="4"/>
  <c r="R904" i="4"/>
  <c r="Q904" i="4"/>
  <c r="AF903" i="4"/>
  <c r="Y903" i="4"/>
  <c r="R903" i="4"/>
  <c r="Q903" i="4"/>
  <c r="AF902" i="4"/>
  <c r="Y902" i="4"/>
  <c r="R902" i="4"/>
  <c r="Q902" i="4"/>
  <c r="AF901" i="4"/>
  <c r="Y901" i="4"/>
  <c r="R901" i="4"/>
  <c r="Q901" i="4"/>
  <c r="AF900" i="4"/>
  <c r="Y900" i="4"/>
  <c r="R900" i="4"/>
  <c r="Q900" i="4"/>
  <c r="AF899" i="4"/>
  <c r="Y899" i="4"/>
  <c r="R899" i="4"/>
  <c r="Q899" i="4"/>
  <c r="AF898" i="4"/>
  <c r="Y898" i="4"/>
  <c r="R898" i="4"/>
  <c r="Q898" i="4"/>
  <c r="AF897" i="4"/>
  <c r="Y897" i="4"/>
  <c r="R897" i="4"/>
  <c r="Q897" i="4"/>
  <c r="AF896" i="4"/>
  <c r="Y896" i="4"/>
  <c r="R896" i="4"/>
  <c r="Q896" i="4"/>
  <c r="AF895" i="4"/>
  <c r="Y895" i="4"/>
  <c r="R895" i="4"/>
  <c r="Q895" i="4"/>
  <c r="AF894" i="4"/>
  <c r="Y894" i="4"/>
  <c r="R894" i="4"/>
  <c r="Q894" i="4"/>
  <c r="AF893" i="4"/>
  <c r="Y893" i="4"/>
  <c r="R893" i="4"/>
  <c r="Q893" i="4"/>
  <c r="AF892" i="4"/>
  <c r="Y892" i="4"/>
  <c r="R892" i="4"/>
  <c r="Q892" i="4"/>
  <c r="AF891" i="4"/>
  <c r="Y891" i="4"/>
  <c r="R891" i="4"/>
  <c r="Q891" i="4"/>
  <c r="AF890" i="4"/>
  <c r="Y890" i="4"/>
  <c r="R890" i="4"/>
  <c r="Q890" i="4"/>
  <c r="AF889" i="4"/>
  <c r="Y889" i="4"/>
  <c r="R889" i="4"/>
  <c r="Q889" i="4"/>
  <c r="AF888" i="4"/>
  <c r="Y888" i="4"/>
  <c r="R888" i="4"/>
  <c r="Q888" i="4"/>
  <c r="AF887" i="4"/>
  <c r="Y887" i="4"/>
  <c r="R887" i="4"/>
  <c r="Q887" i="4"/>
  <c r="AF886" i="4"/>
  <c r="Y886" i="4"/>
  <c r="R886" i="4"/>
  <c r="Q886" i="4"/>
  <c r="AF885" i="4"/>
  <c r="Y885" i="4"/>
  <c r="R885" i="4"/>
  <c r="Q885" i="4"/>
  <c r="AF884" i="4"/>
  <c r="Y884" i="4"/>
  <c r="R884" i="4"/>
  <c r="Q884" i="4"/>
  <c r="AF883" i="4"/>
  <c r="Y883" i="4"/>
  <c r="R883" i="4"/>
  <c r="Q883" i="4"/>
  <c r="AF882" i="4"/>
  <c r="Y882" i="4"/>
  <c r="R882" i="4"/>
  <c r="Q882" i="4"/>
  <c r="AF881" i="4"/>
  <c r="Y881" i="4"/>
  <c r="R881" i="4"/>
  <c r="Q881" i="4"/>
  <c r="AF880" i="4"/>
  <c r="Y880" i="4"/>
  <c r="R880" i="4"/>
  <c r="Q880" i="4"/>
  <c r="AF879" i="4"/>
  <c r="Y879" i="4"/>
  <c r="R879" i="4"/>
  <c r="Q879" i="4"/>
  <c r="AF878" i="4"/>
  <c r="Y878" i="4"/>
  <c r="R878" i="4"/>
  <c r="Q878" i="4"/>
  <c r="AF877" i="4"/>
  <c r="Y877" i="4"/>
  <c r="R877" i="4"/>
  <c r="Q877" i="4"/>
  <c r="AF876" i="4"/>
  <c r="Y876" i="4"/>
  <c r="R876" i="4"/>
  <c r="Q876" i="4"/>
  <c r="AF875" i="4"/>
  <c r="Y875" i="4"/>
  <c r="R875" i="4"/>
  <c r="Q875" i="4"/>
  <c r="AF874" i="4"/>
  <c r="Y874" i="4"/>
  <c r="R874" i="4"/>
  <c r="Q874" i="4"/>
  <c r="AF873" i="4"/>
  <c r="Y873" i="4"/>
  <c r="R873" i="4"/>
  <c r="Q873" i="4"/>
  <c r="AF872" i="4"/>
  <c r="Y872" i="4"/>
  <c r="R872" i="4"/>
  <c r="Q872" i="4"/>
  <c r="AF871" i="4"/>
  <c r="Y871" i="4"/>
  <c r="R871" i="4"/>
  <c r="Q871" i="4"/>
  <c r="AF870" i="4"/>
  <c r="Y870" i="4"/>
  <c r="R870" i="4"/>
  <c r="Q870" i="4"/>
  <c r="AF869" i="4"/>
  <c r="Y869" i="4"/>
  <c r="R869" i="4"/>
  <c r="Q869" i="4"/>
  <c r="AF868" i="4"/>
  <c r="Y868" i="4"/>
  <c r="R868" i="4"/>
  <c r="Q868" i="4"/>
  <c r="AF867" i="4"/>
  <c r="Y867" i="4"/>
  <c r="R867" i="4"/>
  <c r="Q867" i="4"/>
  <c r="AF866" i="4"/>
  <c r="Y866" i="4"/>
  <c r="R866" i="4"/>
  <c r="Q866" i="4"/>
  <c r="AF865" i="4"/>
  <c r="Y865" i="4"/>
  <c r="R865" i="4"/>
  <c r="Q865" i="4"/>
  <c r="AF864" i="4"/>
  <c r="Y864" i="4"/>
  <c r="R864" i="4"/>
  <c r="Q864" i="4"/>
  <c r="AF863" i="4"/>
  <c r="Y863" i="4"/>
  <c r="R863" i="4"/>
  <c r="Q863" i="4"/>
  <c r="AF862" i="4"/>
  <c r="Y862" i="4"/>
  <c r="R862" i="4"/>
  <c r="Q862" i="4"/>
  <c r="AF861" i="4"/>
  <c r="Y861" i="4"/>
  <c r="R861" i="4"/>
  <c r="Q861" i="4"/>
  <c r="AF860" i="4"/>
  <c r="Y860" i="4"/>
  <c r="R860" i="4"/>
  <c r="Q860" i="4"/>
  <c r="AF859" i="4"/>
  <c r="Y859" i="4"/>
  <c r="R859" i="4"/>
  <c r="Q859" i="4"/>
  <c r="AF858" i="4"/>
  <c r="Y858" i="4"/>
  <c r="R858" i="4"/>
  <c r="Q858" i="4"/>
  <c r="AF857" i="4"/>
  <c r="Y857" i="4"/>
  <c r="R857" i="4"/>
  <c r="Q857" i="4"/>
  <c r="AF856" i="4"/>
  <c r="Y856" i="4"/>
  <c r="R856" i="4"/>
  <c r="Q856" i="4"/>
  <c r="AF855" i="4"/>
  <c r="Y855" i="4"/>
  <c r="R855" i="4"/>
  <c r="Q855" i="4"/>
  <c r="AF854" i="4"/>
  <c r="Y854" i="4"/>
  <c r="R854" i="4"/>
  <c r="Q854" i="4"/>
  <c r="AF853" i="4"/>
  <c r="Y853" i="4"/>
  <c r="R853" i="4"/>
  <c r="Q853" i="4"/>
  <c r="AF852" i="4"/>
  <c r="Y852" i="4"/>
  <c r="R852" i="4"/>
  <c r="Q852" i="4"/>
  <c r="AF851" i="4"/>
  <c r="Y851" i="4"/>
  <c r="R851" i="4"/>
  <c r="Q851" i="4"/>
  <c r="AF850" i="4"/>
  <c r="Y850" i="4"/>
  <c r="R850" i="4"/>
  <c r="Q850" i="4"/>
  <c r="AF849" i="4"/>
  <c r="Y849" i="4"/>
  <c r="R849" i="4"/>
  <c r="Q849" i="4"/>
  <c r="AF848" i="4"/>
  <c r="Y848" i="4"/>
  <c r="R848" i="4"/>
  <c r="Q848" i="4"/>
  <c r="AF847" i="4"/>
  <c r="Y847" i="4"/>
  <c r="R847" i="4"/>
  <c r="Q847" i="4"/>
  <c r="AF846" i="4"/>
  <c r="Y846" i="4"/>
  <c r="R846" i="4"/>
  <c r="Q846" i="4"/>
  <c r="AF845" i="4"/>
  <c r="Y845" i="4"/>
  <c r="R845" i="4"/>
  <c r="Q845" i="4"/>
  <c r="AF844" i="4"/>
  <c r="Y844" i="4"/>
  <c r="R844" i="4"/>
  <c r="Q844" i="4"/>
  <c r="AF843" i="4"/>
  <c r="Y843" i="4"/>
  <c r="R843" i="4"/>
  <c r="Q843" i="4"/>
  <c r="AF842" i="4"/>
  <c r="Y842" i="4"/>
  <c r="R842" i="4"/>
  <c r="Q842" i="4"/>
  <c r="AF841" i="4"/>
  <c r="Y841" i="4"/>
  <c r="R841" i="4"/>
  <c r="Q841" i="4"/>
  <c r="AF840" i="4"/>
  <c r="Y840" i="4"/>
  <c r="R840" i="4"/>
  <c r="Q840" i="4"/>
  <c r="AF839" i="4"/>
  <c r="Y839" i="4"/>
  <c r="R839" i="4"/>
  <c r="Q839" i="4"/>
  <c r="AF838" i="4"/>
  <c r="Y838" i="4"/>
  <c r="R838" i="4"/>
  <c r="Q838" i="4"/>
  <c r="AF837" i="4"/>
  <c r="Y837" i="4"/>
  <c r="R837" i="4"/>
  <c r="Q837" i="4"/>
  <c r="AF836" i="4"/>
  <c r="Y836" i="4"/>
  <c r="R836" i="4"/>
  <c r="Q836" i="4"/>
  <c r="AF835" i="4"/>
  <c r="Y835" i="4"/>
  <c r="R835" i="4"/>
  <c r="Q835" i="4"/>
  <c r="AF834" i="4"/>
  <c r="Y834" i="4"/>
  <c r="R834" i="4"/>
  <c r="Q834" i="4"/>
  <c r="AF833" i="4"/>
  <c r="Y833" i="4"/>
  <c r="R833" i="4"/>
  <c r="Q833" i="4"/>
  <c r="AF832" i="4"/>
  <c r="Y832" i="4"/>
  <c r="R832" i="4"/>
  <c r="Q832" i="4"/>
  <c r="AF831" i="4"/>
  <c r="Y831" i="4"/>
  <c r="R831" i="4"/>
  <c r="Q831" i="4"/>
  <c r="AF830" i="4"/>
  <c r="Y830" i="4"/>
  <c r="R830" i="4"/>
  <c r="Q830" i="4"/>
  <c r="AF829" i="4"/>
  <c r="Y829" i="4"/>
  <c r="R829" i="4"/>
  <c r="Q829" i="4"/>
  <c r="AF828" i="4"/>
  <c r="Y828" i="4"/>
  <c r="R828" i="4"/>
  <c r="Q828" i="4"/>
  <c r="AF827" i="4"/>
  <c r="Y827" i="4"/>
  <c r="R827" i="4"/>
  <c r="Q827" i="4"/>
  <c r="AF826" i="4"/>
  <c r="Y826" i="4"/>
  <c r="R826" i="4"/>
  <c r="Q826" i="4"/>
  <c r="AF825" i="4"/>
  <c r="Y825" i="4"/>
  <c r="R825" i="4"/>
  <c r="Q825" i="4"/>
  <c r="AF824" i="4"/>
  <c r="Y824" i="4"/>
  <c r="R824" i="4"/>
  <c r="Q824" i="4"/>
  <c r="AF823" i="4"/>
  <c r="Y823" i="4"/>
  <c r="R823" i="4"/>
  <c r="Q823" i="4"/>
  <c r="AF822" i="4"/>
  <c r="Y822" i="4"/>
  <c r="R822" i="4"/>
  <c r="Q822" i="4"/>
  <c r="AF821" i="4"/>
  <c r="Y821" i="4"/>
  <c r="R821" i="4"/>
  <c r="Q821" i="4"/>
  <c r="AF820" i="4"/>
  <c r="Y820" i="4"/>
  <c r="R820" i="4"/>
  <c r="Q820" i="4"/>
  <c r="AF819" i="4"/>
  <c r="Y819" i="4"/>
  <c r="R819" i="4"/>
  <c r="Q819" i="4"/>
  <c r="AF818" i="4"/>
  <c r="Y818" i="4"/>
  <c r="R818" i="4"/>
  <c r="Q818" i="4"/>
  <c r="AF817" i="4"/>
  <c r="Y817" i="4"/>
  <c r="R817" i="4"/>
  <c r="Q817" i="4"/>
  <c r="AF816" i="4"/>
  <c r="Y816" i="4"/>
  <c r="R816" i="4"/>
  <c r="Q816" i="4"/>
  <c r="AF815" i="4"/>
  <c r="Y815" i="4"/>
  <c r="R815" i="4"/>
  <c r="Q815" i="4"/>
  <c r="AF814" i="4"/>
  <c r="Y814" i="4"/>
  <c r="R814" i="4"/>
  <c r="Q814" i="4"/>
  <c r="AF813" i="4"/>
  <c r="Y813" i="4"/>
  <c r="R813" i="4"/>
  <c r="Q813" i="4"/>
  <c r="AF812" i="4"/>
  <c r="Y812" i="4"/>
  <c r="R812" i="4"/>
  <c r="Q812" i="4"/>
  <c r="AF811" i="4"/>
  <c r="Y811" i="4"/>
  <c r="R811" i="4"/>
  <c r="Q811" i="4"/>
  <c r="AF810" i="4"/>
  <c r="Y810" i="4"/>
  <c r="R810" i="4"/>
  <c r="Q810" i="4"/>
  <c r="AF809" i="4"/>
  <c r="Y809" i="4"/>
  <c r="R809" i="4"/>
  <c r="Q809" i="4"/>
  <c r="AF808" i="4"/>
  <c r="Y808" i="4"/>
  <c r="R808" i="4"/>
  <c r="Q808" i="4"/>
  <c r="AF807" i="4"/>
  <c r="Y807" i="4"/>
  <c r="R807" i="4"/>
  <c r="Q807" i="4"/>
  <c r="AF806" i="4"/>
  <c r="Y806" i="4"/>
  <c r="R806" i="4"/>
  <c r="Q806" i="4"/>
  <c r="AF805" i="4"/>
  <c r="Y805" i="4"/>
  <c r="R805" i="4"/>
  <c r="Q805" i="4"/>
  <c r="AF804" i="4"/>
  <c r="Y804" i="4"/>
  <c r="R804" i="4"/>
  <c r="Q804" i="4"/>
  <c r="AF803" i="4"/>
  <c r="Y803" i="4"/>
  <c r="R803" i="4"/>
  <c r="Q803" i="4"/>
  <c r="AF802" i="4"/>
  <c r="Y802" i="4"/>
  <c r="R802" i="4"/>
  <c r="Q802" i="4"/>
  <c r="AF801" i="4"/>
  <c r="Y801" i="4"/>
  <c r="R801" i="4"/>
  <c r="Q801" i="4"/>
  <c r="AF800" i="4"/>
  <c r="Y800" i="4"/>
  <c r="R800" i="4"/>
  <c r="Q800" i="4"/>
  <c r="AF799" i="4"/>
  <c r="Y799" i="4"/>
  <c r="R799" i="4"/>
  <c r="Q799" i="4"/>
  <c r="AF798" i="4"/>
  <c r="Y798" i="4"/>
  <c r="R798" i="4"/>
  <c r="Q798" i="4"/>
  <c r="AF797" i="4"/>
  <c r="Y797" i="4"/>
  <c r="R797" i="4"/>
  <c r="Q797" i="4"/>
  <c r="AF796" i="4"/>
  <c r="Y796" i="4"/>
  <c r="R796" i="4"/>
  <c r="Q796" i="4"/>
  <c r="AF795" i="4"/>
  <c r="Y795" i="4"/>
  <c r="R795" i="4"/>
  <c r="Q795" i="4"/>
  <c r="AF794" i="4"/>
  <c r="Y794" i="4"/>
  <c r="R794" i="4"/>
  <c r="Q794" i="4"/>
  <c r="AF793" i="4"/>
  <c r="Y793" i="4"/>
  <c r="R793" i="4"/>
  <c r="Q793" i="4"/>
  <c r="AF792" i="4"/>
  <c r="Y792" i="4"/>
  <c r="R792" i="4"/>
  <c r="Q792" i="4"/>
  <c r="AF791" i="4"/>
  <c r="Y791" i="4"/>
  <c r="R791" i="4"/>
  <c r="Q791" i="4"/>
  <c r="AF790" i="4"/>
  <c r="Y790" i="4"/>
  <c r="R790" i="4"/>
  <c r="Q790" i="4"/>
  <c r="AF789" i="4"/>
  <c r="Y789" i="4"/>
  <c r="R789" i="4"/>
  <c r="Q789" i="4"/>
  <c r="AF788" i="4"/>
  <c r="Y788" i="4"/>
  <c r="R788" i="4"/>
  <c r="Q788" i="4"/>
  <c r="AF787" i="4"/>
  <c r="Y787" i="4"/>
  <c r="R787" i="4"/>
  <c r="Q787" i="4"/>
  <c r="AF786" i="4"/>
  <c r="Y786" i="4"/>
  <c r="R786" i="4"/>
  <c r="Q786" i="4"/>
  <c r="AF785" i="4"/>
  <c r="Y785" i="4"/>
  <c r="R785" i="4"/>
  <c r="Q785" i="4"/>
  <c r="AF784" i="4"/>
  <c r="Y784" i="4"/>
  <c r="R784" i="4"/>
  <c r="Q784" i="4"/>
  <c r="AF783" i="4"/>
  <c r="Y783" i="4"/>
  <c r="R783" i="4"/>
  <c r="Q783" i="4"/>
  <c r="AF782" i="4"/>
  <c r="Y782" i="4"/>
  <c r="R782" i="4"/>
  <c r="Q782" i="4"/>
  <c r="AF781" i="4"/>
  <c r="Y781" i="4"/>
  <c r="R781" i="4"/>
  <c r="Q781" i="4"/>
  <c r="AF780" i="4"/>
  <c r="Y780" i="4"/>
  <c r="R780" i="4"/>
  <c r="Q780" i="4"/>
  <c r="AF779" i="4"/>
  <c r="Y779" i="4"/>
  <c r="R779" i="4"/>
  <c r="Q779" i="4"/>
  <c r="AF778" i="4"/>
  <c r="Y778" i="4"/>
  <c r="R778" i="4"/>
  <c r="Q778" i="4"/>
  <c r="AF777" i="4"/>
  <c r="Y777" i="4"/>
  <c r="R777" i="4"/>
  <c r="Q777" i="4"/>
  <c r="AF776" i="4"/>
  <c r="Y776" i="4"/>
  <c r="R776" i="4"/>
  <c r="Q776" i="4"/>
  <c r="AF775" i="4"/>
  <c r="Y775" i="4"/>
  <c r="R775" i="4"/>
  <c r="Q775" i="4"/>
  <c r="AF774" i="4"/>
  <c r="Y774" i="4"/>
  <c r="R774" i="4"/>
  <c r="Q774" i="4"/>
  <c r="AF773" i="4"/>
  <c r="Y773" i="4"/>
  <c r="R773" i="4"/>
  <c r="Q773" i="4"/>
  <c r="AF772" i="4"/>
  <c r="Y772" i="4"/>
  <c r="R772" i="4"/>
  <c r="Q772" i="4"/>
  <c r="AF771" i="4"/>
  <c r="Y771" i="4"/>
  <c r="R771" i="4"/>
  <c r="Q771" i="4"/>
  <c r="AF770" i="4"/>
  <c r="Y770" i="4"/>
  <c r="R770" i="4"/>
  <c r="Q770" i="4"/>
  <c r="AF769" i="4"/>
  <c r="Y769" i="4"/>
  <c r="R769" i="4"/>
  <c r="Q769" i="4"/>
  <c r="AF768" i="4"/>
  <c r="Y768" i="4"/>
  <c r="R768" i="4"/>
  <c r="Q768" i="4"/>
  <c r="AF767" i="4"/>
  <c r="Y767" i="4"/>
  <c r="R767" i="4"/>
  <c r="Q767" i="4"/>
  <c r="AF766" i="4"/>
  <c r="Y766" i="4"/>
  <c r="R766" i="4"/>
  <c r="Q766" i="4"/>
  <c r="AF765" i="4"/>
  <c r="Y765" i="4"/>
  <c r="R765" i="4"/>
  <c r="Q765" i="4"/>
  <c r="AF764" i="4"/>
  <c r="Y764" i="4"/>
  <c r="R764" i="4"/>
  <c r="Q764" i="4"/>
  <c r="AF763" i="4"/>
  <c r="Y763" i="4"/>
  <c r="R763" i="4"/>
  <c r="Q763" i="4"/>
  <c r="AF762" i="4"/>
  <c r="Y762" i="4"/>
  <c r="R762" i="4"/>
  <c r="Q762" i="4"/>
  <c r="AF761" i="4"/>
  <c r="Y761" i="4"/>
  <c r="R761" i="4"/>
  <c r="Q761" i="4"/>
  <c r="AF760" i="4"/>
  <c r="Y760" i="4"/>
  <c r="R760" i="4"/>
  <c r="Q760" i="4"/>
  <c r="AF759" i="4"/>
  <c r="Y759" i="4"/>
  <c r="R759" i="4"/>
  <c r="Q759" i="4"/>
  <c r="AF758" i="4"/>
  <c r="Y758" i="4"/>
  <c r="R758" i="4"/>
  <c r="Q758" i="4"/>
  <c r="AF757" i="4"/>
  <c r="Y757" i="4"/>
  <c r="R757" i="4"/>
  <c r="Q757" i="4"/>
  <c r="AF756" i="4"/>
  <c r="Y756" i="4"/>
  <c r="R756" i="4"/>
  <c r="Q756" i="4"/>
  <c r="AF755" i="4"/>
  <c r="Y755" i="4"/>
  <c r="R755" i="4"/>
  <c r="Q755" i="4"/>
  <c r="AF754" i="4"/>
  <c r="Y754" i="4"/>
  <c r="R754" i="4"/>
  <c r="Q754" i="4"/>
  <c r="AF753" i="4"/>
  <c r="Y753" i="4"/>
  <c r="R753" i="4"/>
  <c r="Q753" i="4"/>
  <c r="AF752" i="4"/>
  <c r="Y752" i="4"/>
  <c r="R752" i="4"/>
  <c r="Q752" i="4"/>
  <c r="AF751" i="4"/>
  <c r="Y751" i="4"/>
  <c r="R751" i="4"/>
  <c r="Q751" i="4"/>
  <c r="AF750" i="4"/>
  <c r="Y750" i="4"/>
  <c r="R750" i="4"/>
  <c r="Q750" i="4"/>
  <c r="AF749" i="4"/>
  <c r="Y749" i="4"/>
  <c r="R749" i="4"/>
  <c r="Q749" i="4"/>
  <c r="AF748" i="4"/>
  <c r="Y748" i="4"/>
  <c r="R748" i="4"/>
  <c r="Q748" i="4"/>
  <c r="AF747" i="4"/>
  <c r="Y747" i="4"/>
  <c r="R747" i="4"/>
  <c r="Q747" i="4"/>
  <c r="AF746" i="4"/>
  <c r="Y746" i="4"/>
  <c r="R746" i="4"/>
  <c r="Q746" i="4"/>
  <c r="AF745" i="4"/>
  <c r="Y745" i="4"/>
  <c r="R745" i="4"/>
  <c r="Q745" i="4"/>
  <c r="AF744" i="4"/>
  <c r="Y744" i="4"/>
  <c r="R744" i="4"/>
  <c r="Q744" i="4"/>
  <c r="AF743" i="4"/>
  <c r="D90" i="5" s="1"/>
  <c r="Y743" i="4"/>
  <c r="R743" i="4"/>
  <c r="Q743" i="4"/>
  <c r="AF742" i="4"/>
  <c r="Y742" i="4"/>
  <c r="R742" i="4"/>
  <c r="Q742" i="4"/>
  <c r="AF741" i="4"/>
  <c r="Y741" i="4"/>
  <c r="R741" i="4"/>
  <c r="Q741" i="4"/>
  <c r="AF740" i="4"/>
  <c r="Y740" i="4"/>
  <c r="R740" i="4"/>
  <c r="Q740" i="4"/>
  <c r="AF739" i="4"/>
  <c r="Y739" i="4"/>
  <c r="R739" i="4"/>
  <c r="Q739" i="4"/>
  <c r="AF738" i="4"/>
  <c r="Y738" i="4"/>
  <c r="R738" i="4"/>
  <c r="Q738" i="4"/>
  <c r="AF737" i="4"/>
  <c r="Y737" i="4"/>
  <c r="R737" i="4"/>
  <c r="Q737" i="4"/>
  <c r="AF736" i="4"/>
  <c r="Y736" i="4"/>
  <c r="R736" i="4"/>
  <c r="Q736" i="4"/>
  <c r="AF735" i="4"/>
  <c r="Y735" i="4"/>
  <c r="R735" i="4"/>
  <c r="Q735" i="4"/>
  <c r="AF734" i="4"/>
  <c r="Y734" i="4"/>
  <c r="R734" i="4"/>
  <c r="Q734" i="4"/>
  <c r="AF733" i="4"/>
  <c r="Y733" i="4"/>
  <c r="R733" i="4"/>
  <c r="Q733" i="4"/>
  <c r="AF732" i="4"/>
  <c r="Y732" i="4"/>
  <c r="R732" i="4"/>
  <c r="Q732" i="4"/>
  <c r="AF731" i="4"/>
  <c r="Y731" i="4"/>
  <c r="R731" i="4"/>
  <c r="Q731" i="4"/>
  <c r="AF730" i="4"/>
  <c r="Y730" i="4"/>
  <c r="R730" i="4"/>
  <c r="Q730" i="4"/>
  <c r="AF729" i="4"/>
  <c r="Y729" i="4"/>
  <c r="R729" i="4"/>
  <c r="Q729" i="4"/>
  <c r="AF728" i="4"/>
  <c r="Y728" i="4"/>
  <c r="R728" i="4"/>
  <c r="Q728" i="4"/>
  <c r="AF727" i="4"/>
  <c r="Y727" i="4"/>
  <c r="R727" i="4"/>
  <c r="Q727" i="4"/>
  <c r="AF726" i="4"/>
  <c r="Y726" i="4"/>
  <c r="R726" i="4"/>
  <c r="Q726" i="4"/>
  <c r="AF725" i="4"/>
  <c r="Y725" i="4"/>
  <c r="R725" i="4"/>
  <c r="Q725" i="4"/>
  <c r="AF724" i="4"/>
  <c r="Y724" i="4"/>
  <c r="R724" i="4"/>
  <c r="Q724" i="4"/>
  <c r="AF723" i="4"/>
  <c r="Y723" i="4"/>
  <c r="R723" i="4"/>
  <c r="Q723" i="4"/>
  <c r="AF722" i="4"/>
  <c r="Y722" i="4"/>
  <c r="R722" i="4"/>
  <c r="Q722" i="4"/>
  <c r="AF721" i="4"/>
  <c r="Y721" i="4"/>
  <c r="R721" i="4"/>
  <c r="Q721" i="4"/>
  <c r="AF720" i="4"/>
  <c r="Y720" i="4"/>
  <c r="R720" i="4"/>
  <c r="Q720" i="4"/>
  <c r="AF719" i="4"/>
  <c r="Y719" i="4"/>
  <c r="R719" i="4"/>
  <c r="Q719" i="4"/>
  <c r="AF718" i="4"/>
  <c r="Y718" i="4"/>
  <c r="R718" i="4"/>
  <c r="Q718" i="4"/>
  <c r="AF717" i="4"/>
  <c r="Y717" i="4"/>
  <c r="R717" i="4"/>
  <c r="Q717" i="4"/>
  <c r="AF716" i="4"/>
  <c r="Y716" i="4"/>
  <c r="R716" i="4"/>
  <c r="Q716" i="4"/>
  <c r="AF715" i="4"/>
  <c r="Y715" i="4"/>
  <c r="R715" i="4"/>
  <c r="Q715" i="4"/>
  <c r="AF714" i="4"/>
  <c r="Y714" i="4"/>
  <c r="R714" i="4"/>
  <c r="Q714" i="4"/>
  <c r="AF713" i="4"/>
  <c r="Y713" i="4"/>
  <c r="R713" i="4"/>
  <c r="Q713" i="4"/>
  <c r="AF712" i="4"/>
  <c r="Y712" i="4"/>
  <c r="R712" i="4"/>
  <c r="Q712" i="4"/>
  <c r="AF711" i="4"/>
  <c r="Y711" i="4"/>
  <c r="R711" i="4"/>
  <c r="Q711" i="4"/>
  <c r="AF710" i="4"/>
  <c r="Y710" i="4"/>
  <c r="R710" i="4"/>
  <c r="Q710" i="4"/>
  <c r="AF709" i="4"/>
  <c r="Y709" i="4"/>
  <c r="R709" i="4"/>
  <c r="Q709" i="4"/>
  <c r="AF708" i="4"/>
  <c r="Y708" i="4"/>
  <c r="R708" i="4"/>
  <c r="Q708" i="4"/>
  <c r="AF707" i="4"/>
  <c r="Y707" i="4"/>
  <c r="R707" i="4"/>
  <c r="Q707" i="4"/>
  <c r="AF706" i="4"/>
  <c r="Y706" i="4"/>
  <c r="R706" i="4"/>
  <c r="Q706" i="4"/>
  <c r="AF705" i="4"/>
  <c r="Y705" i="4"/>
  <c r="R705" i="4"/>
  <c r="Q705" i="4"/>
  <c r="AF704" i="4"/>
  <c r="Y704" i="4"/>
  <c r="R704" i="4"/>
  <c r="Q704" i="4"/>
  <c r="AF703" i="4"/>
  <c r="Y703" i="4"/>
  <c r="R703" i="4"/>
  <c r="Q703" i="4"/>
  <c r="AF702" i="4"/>
  <c r="Y702" i="4"/>
  <c r="R702" i="4"/>
  <c r="Q702" i="4"/>
  <c r="AF701" i="4"/>
  <c r="Y701" i="4"/>
  <c r="R701" i="4"/>
  <c r="Q701" i="4"/>
  <c r="AF700" i="4"/>
  <c r="Y700" i="4"/>
  <c r="R700" i="4"/>
  <c r="Q700" i="4"/>
  <c r="AF699" i="4"/>
  <c r="Y699" i="4"/>
  <c r="R699" i="4"/>
  <c r="Q699" i="4"/>
  <c r="AF698" i="4"/>
  <c r="Y698" i="4"/>
  <c r="R698" i="4"/>
  <c r="Q698" i="4"/>
  <c r="AF697" i="4"/>
  <c r="Y697" i="4"/>
  <c r="R697" i="4"/>
  <c r="Q697" i="4"/>
  <c r="AF696" i="4"/>
  <c r="Y696" i="4"/>
  <c r="R696" i="4"/>
  <c r="Q696" i="4"/>
  <c r="AF695" i="4"/>
  <c r="Y695" i="4"/>
  <c r="R695" i="4"/>
  <c r="Q695" i="4"/>
  <c r="AF694" i="4"/>
  <c r="Y694" i="4"/>
  <c r="R694" i="4"/>
  <c r="Q694" i="4"/>
  <c r="AF693" i="4"/>
  <c r="Y693" i="4"/>
  <c r="R693" i="4"/>
  <c r="Q693" i="4"/>
  <c r="AF692" i="4"/>
  <c r="Y692" i="4"/>
  <c r="R692" i="4"/>
  <c r="Q692" i="4"/>
  <c r="AF691" i="4"/>
  <c r="Y691" i="4"/>
  <c r="R691" i="4"/>
  <c r="Q691" i="4"/>
  <c r="AF690" i="4"/>
  <c r="Y690" i="4"/>
  <c r="R690" i="4"/>
  <c r="Q690" i="4"/>
  <c r="AF689" i="4"/>
  <c r="Y689" i="4"/>
  <c r="R689" i="4"/>
  <c r="Q689" i="4"/>
  <c r="AF688" i="4"/>
  <c r="Y688" i="4"/>
  <c r="R688" i="4"/>
  <c r="Q688" i="4"/>
  <c r="AF687" i="4"/>
  <c r="Y687" i="4"/>
  <c r="R687" i="4"/>
  <c r="Q687" i="4"/>
  <c r="AF686" i="4"/>
  <c r="Y686" i="4"/>
  <c r="R686" i="4"/>
  <c r="Q686" i="4"/>
  <c r="AF685" i="4"/>
  <c r="Y685" i="4"/>
  <c r="R685" i="4"/>
  <c r="Q685" i="4"/>
  <c r="AF684" i="4"/>
  <c r="Y684" i="4"/>
  <c r="R684" i="4"/>
  <c r="Q684" i="4"/>
  <c r="AF683" i="4"/>
  <c r="Y683" i="4"/>
  <c r="R683" i="4"/>
  <c r="Q683" i="4"/>
  <c r="AF682" i="4"/>
  <c r="Y682" i="4"/>
  <c r="R682" i="4"/>
  <c r="Q682" i="4"/>
  <c r="AF681" i="4"/>
  <c r="Y681" i="4"/>
  <c r="R681" i="4"/>
  <c r="Q681" i="4"/>
  <c r="AF680" i="4"/>
  <c r="Y680" i="4"/>
  <c r="R680" i="4"/>
  <c r="Q680" i="4"/>
  <c r="AF679" i="4"/>
  <c r="Y679" i="4"/>
  <c r="R679" i="4"/>
  <c r="Q679" i="4"/>
  <c r="AF678" i="4"/>
  <c r="Y678" i="4"/>
  <c r="R678" i="4"/>
  <c r="Q678" i="4"/>
  <c r="AF677" i="4"/>
  <c r="Y677" i="4"/>
  <c r="R677" i="4"/>
  <c r="Q677" i="4"/>
  <c r="AF676" i="4"/>
  <c r="Y676" i="4"/>
  <c r="R676" i="4"/>
  <c r="Q676" i="4"/>
  <c r="AF675" i="4"/>
  <c r="Y675" i="4"/>
  <c r="R675" i="4"/>
  <c r="Q675" i="4"/>
  <c r="AF674" i="4"/>
  <c r="Y674" i="4"/>
  <c r="R674" i="4"/>
  <c r="Q674" i="4"/>
  <c r="AF673" i="4"/>
  <c r="Y673" i="4"/>
  <c r="R673" i="4"/>
  <c r="Q673" i="4"/>
  <c r="AF672" i="4"/>
  <c r="Y672" i="4"/>
  <c r="R672" i="4"/>
  <c r="Q672" i="4"/>
  <c r="AF671" i="4"/>
  <c r="Y671" i="4"/>
  <c r="R671" i="4"/>
  <c r="Q671" i="4"/>
  <c r="AF670" i="4"/>
  <c r="Y670" i="4"/>
  <c r="R670" i="4"/>
  <c r="Q670" i="4"/>
  <c r="AF669" i="4"/>
  <c r="Y669" i="4"/>
  <c r="R669" i="4"/>
  <c r="Q669" i="4"/>
  <c r="AF668" i="4"/>
  <c r="Y668" i="4"/>
  <c r="R668" i="4"/>
  <c r="Q668" i="4"/>
  <c r="AF667" i="4"/>
  <c r="Y667" i="4"/>
  <c r="R667" i="4"/>
  <c r="Q667" i="4"/>
  <c r="AF666" i="4"/>
  <c r="Y666" i="4"/>
  <c r="R666" i="4"/>
  <c r="Q666" i="4"/>
  <c r="AF665" i="4"/>
  <c r="Y665" i="4"/>
  <c r="R665" i="4"/>
  <c r="Q665" i="4"/>
  <c r="AF664" i="4"/>
  <c r="Y664" i="4"/>
  <c r="R664" i="4"/>
  <c r="Q664" i="4"/>
  <c r="AF663" i="4"/>
  <c r="Y663" i="4"/>
  <c r="R663" i="4"/>
  <c r="Q663" i="4"/>
  <c r="AF662" i="4"/>
  <c r="Y662" i="4"/>
  <c r="R662" i="4"/>
  <c r="Q662" i="4"/>
  <c r="AF661" i="4"/>
  <c r="Y661" i="4"/>
  <c r="R661" i="4"/>
  <c r="Q661" i="4"/>
  <c r="AF660" i="4"/>
  <c r="Y660" i="4"/>
  <c r="R660" i="4"/>
  <c r="Q660" i="4"/>
  <c r="AF659" i="4"/>
  <c r="Y659" i="4"/>
  <c r="R659" i="4"/>
  <c r="Q659" i="4"/>
  <c r="AF658" i="4"/>
  <c r="Y658" i="4"/>
  <c r="R658" i="4"/>
  <c r="Q658" i="4"/>
  <c r="AF657" i="4"/>
  <c r="Y657" i="4"/>
  <c r="R657" i="4"/>
  <c r="Q657" i="4"/>
  <c r="AF656" i="4"/>
  <c r="Y656" i="4"/>
  <c r="R656" i="4"/>
  <c r="Q656" i="4"/>
  <c r="AF655" i="4"/>
  <c r="Y655" i="4"/>
  <c r="R655" i="4"/>
  <c r="Q655" i="4"/>
  <c r="AF654" i="4"/>
  <c r="Y654" i="4"/>
  <c r="R654" i="4"/>
  <c r="Q654" i="4"/>
  <c r="AF653" i="4"/>
  <c r="Y653" i="4"/>
  <c r="R653" i="4"/>
  <c r="Q653" i="4"/>
  <c r="AF652" i="4"/>
  <c r="Y652" i="4"/>
  <c r="R652" i="4"/>
  <c r="Q652" i="4"/>
  <c r="AF651" i="4"/>
  <c r="Y651" i="4"/>
  <c r="R651" i="4"/>
  <c r="Q651" i="4"/>
  <c r="AF650" i="4"/>
  <c r="Y650" i="4"/>
  <c r="R650" i="4"/>
  <c r="Q650" i="4"/>
  <c r="AF649" i="4"/>
  <c r="Y649" i="4"/>
  <c r="R649" i="4"/>
  <c r="Q649" i="4"/>
  <c r="AF648" i="4"/>
  <c r="Y648" i="4"/>
  <c r="R648" i="4"/>
  <c r="Q648" i="4"/>
  <c r="AF647" i="4"/>
  <c r="Y647" i="4"/>
  <c r="R647" i="4"/>
  <c r="Q647" i="4"/>
  <c r="AF646" i="4"/>
  <c r="Y646" i="4"/>
  <c r="R646" i="4"/>
  <c r="Q646" i="4"/>
  <c r="AF645" i="4"/>
  <c r="Y645" i="4"/>
  <c r="R645" i="4"/>
  <c r="Q645" i="4"/>
  <c r="AF644" i="4"/>
  <c r="Y644" i="4"/>
  <c r="R644" i="4"/>
  <c r="Q644" i="4"/>
  <c r="AF643" i="4"/>
  <c r="Y643" i="4"/>
  <c r="R643" i="4"/>
  <c r="Q643" i="4"/>
  <c r="AF642" i="4"/>
  <c r="Y642" i="4"/>
  <c r="R642" i="4"/>
  <c r="Q642" i="4"/>
  <c r="AF641" i="4"/>
  <c r="Y641" i="4"/>
  <c r="R641" i="4"/>
  <c r="Q641" i="4"/>
  <c r="AF640" i="4"/>
  <c r="Y640" i="4"/>
  <c r="R640" i="4"/>
  <c r="Q640" i="4"/>
  <c r="AF639" i="4"/>
  <c r="Y639" i="4"/>
  <c r="R639" i="4"/>
  <c r="Q639" i="4"/>
  <c r="AF638" i="4"/>
  <c r="Y638" i="4"/>
  <c r="R638" i="4"/>
  <c r="Q638" i="4"/>
  <c r="AF637" i="4"/>
  <c r="Y637" i="4"/>
  <c r="R637" i="4"/>
  <c r="Q637" i="4"/>
  <c r="AF636" i="4"/>
  <c r="Y636" i="4"/>
  <c r="R636" i="4"/>
  <c r="Q636" i="4"/>
  <c r="AF635" i="4"/>
  <c r="Y635" i="4"/>
  <c r="R635" i="4"/>
  <c r="Q635" i="4"/>
  <c r="AF634" i="4"/>
  <c r="Y634" i="4"/>
  <c r="R634" i="4"/>
  <c r="Q634" i="4"/>
  <c r="AF633" i="4"/>
  <c r="Y633" i="4"/>
  <c r="R633" i="4"/>
  <c r="Q633" i="4"/>
  <c r="AF632" i="4"/>
  <c r="Y632" i="4"/>
  <c r="R632" i="4"/>
  <c r="Q632" i="4"/>
  <c r="AF631" i="4"/>
  <c r="Y631" i="4"/>
  <c r="R631" i="4"/>
  <c r="Q631" i="4"/>
  <c r="AF630" i="4"/>
  <c r="Y630" i="4"/>
  <c r="R630" i="4"/>
  <c r="Q630" i="4"/>
  <c r="AF629" i="4"/>
  <c r="Y629" i="4"/>
  <c r="R629" i="4"/>
  <c r="Q629" i="4"/>
  <c r="AF628" i="4"/>
  <c r="Y628" i="4"/>
  <c r="R628" i="4"/>
  <c r="Q628" i="4"/>
  <c r="AF627" i="4"/>
  <c r="Y627" i="4"/>
  <c r="R627" i="4"/>
  <c r="Q627" i="4"/>
  <c r="AF626" i="4"/>
  <c r="Y626" i="4"/>
  <c r="R626" i="4"/>
  <c r="Q626" i="4"/>
  <c r="AF625" i="4"/>
  <c r="Y625" i="4"/>
  <c r="R625" i="4"/>
  <c r="Q625" i="4"/>
  <c r="AF624" i="4"/>
  <c r="Y624" i="4"/>
  <c r="R624" i="4"/>
  <c r="Q624" i="4"/>
  <c r="AF623" i="4"/>
  <c r="Y623" i="4"/>
  <c r="R623" i="4"/>
  <c r="Q623" i="4"/>
  <c r="AF622" i="4"/>
  <c r="Y622" i="4"/>
  <c r="R622" i="4"/>
  <c r="Q622" i="4"/>
  <c r="AF621" i="4"/>
  <c r="Y621" i="4"/>
  <c r="R621" i="4"/>
  <c r="Q621" i="4"/>
  <c r="AF620" i="4"/>
  <c r="Y620" i="4"/>
  <c r="R620" i="4"/>
  <c r="Q620" i="4"/>
  <c r="AF619" i="4"/>
  <c r="Y619" i="4"/>
  <c r="R619" i="4"/>
  <c r="Q619" i="4"/>
  <c r="AF618" i="4"/>
  <c r="Y618" i="4"/>
  <c r="R618" i="4"/>
  <c r="Q618" i="4"/>
  <c r="AF617" i="4"/>
  <c r="Y617" i="4"/>
  <c r="R617" i="4"/>
  <c r="Q617" i="4"/>
  <c r="AF616" i="4"/>
  <c r="Y616" i="4"/>
  <c r="R616" i="4"/>
  <c r="Q616" i="4"/>
  <c r="AF615" i="4"/>
  <c r="Y615" i="4"/>
  <c r="R615" i="4"/>
  <c r="Q615" i="4"/>
  <c r="AF614" i="4"/>
  <c r="Y614" i="4"/>
  <c r="R614" i="4"/>
  <c r="Q614" i="4"/>
  <c r="AF613" i="4"/>
  <c r="Y613" i="4"/>
  <c r="R613" i="4"/>
  <c r="Q613" i="4"/>
  <c r="AF612" i="4"/>
  <c r="Y612" i="4"/>
  <c r="R612" i="4"/>
  <c r="Q612" i="4"/>
  <c r="AF611" i="4"/>
  <c r="Y611" i="4"/>
  <c r="R611" i="4"/>
  <c r="Q611" i="4"/>
  <c r="AF610" i="4"/>
  <c r="Y610" i="4"/>
  <c r="R610" i="4"/>
  <c r="Q610" i="4"/>
  <c r="AF609" i="4"/>
  <c r="Y609" i="4"/>
  <c r="R609" i="4"/>
  <c r="Q609" i="4"/>
  <c r="AF608" i="4"/>
  <c r="Y608" i="4"/>
  <c r="R608" i="4"/>
  <c r="Q608" i="4"/>
  <c r="AF607" i="4"/>
  <c r="Y607" i="4"/>
  <c r="R607" i="4"/>
  <c r="Q607" i="4"/>
  <c r="AF606" i="4"/>
  <c r="Y606" i="4"/>
  <c r="R606" i="4"/>
  <c r="Q606" i="4"/>
  <c r="AF605" i="4"/>
  <c r="Y605" i="4"/>
  <c r="R605" i="4"/>
  <c r="Q605" i="4"/>
  <c r="AF604" i="4"/>
  <c r="Y604" i="4"/>
  <c r="R604" i="4"/>
  <c r="Q604" i="4"/>
  <c r="AF603" i="4"/>
  <c r="Y603" i="4"/>
  <c r="R603" i="4"/>
  <c r="Q603" i="4"/>
  <c r="AF602" i="4"/>
  <c r="Y602" i="4"/>
  <c r="R602" i="4"/>
  <c r="Q602" i="4"/>
  <c r="AF601" i="4"/>
  <c r="Y601" i="4"/>
  <c r="R601" i="4"/>
  <c r="Q601" i="4"/>
  <c r="AF600" i="4"/>
  <c r="Y600" i="4"/>
  <c r="R600" i="4"/>
  <c r="Q600" i="4"/>
  <c r="AF599" i="4"/>
  <c r="Y599" i="4"/>
  <c r="R599" i="4"/>
  <c r="Q599" i="4"/>
  <c r="AF598" i="4"/>
  <c r="Y598" i="4"/>
  <c r="R598" i="4"/>
  <c r="Q598" i="4"/>
  <c r="AF597" i="4"/>
  <c r="Y597" i="4"/>
  <c r="R597" i="4"/>
  <c r="Q597" i="4"/>
  <c r="AF596" i="4"/>
  <c r="Y596" i="4"/>
  <c r="R596" i="4"/>
  <c r="Q596" i="4"/>
  <c r="AF595" i="4"/>
  <c r="Y595" i="4"/>
  <c r="R595" i="4"/>
  <c r="Q595" i="4"/>
  <c r="AF594" i="4"/>
  <c r="Y594" i="4"/>
  <c r="R594" i="4"/>
  <c r="Q594" i="4"/>
  <c r="AF593" i="4"/>
  <c r="Y593" i="4"/>
  <c r="R593" i="4"/>
  <c r="Q593" i="4"/>
  <c r="AF592" i="4"/>
  <c r="Y592" i="4"/>
  <c r="R592" i="4"/>
  <c r="Q592" i="4"/>
  <c r="AF591" i="4"/>
  <c r="Y591" i="4"/>
  <c r="R591" i="4"/>
  <c r="Q591" i="4"/>
  <c r="AF590" i="4"/>
  <c r="Y590" i="4"/>
  <c r="R590" i="4"/>
  <c r="Q590" i="4"/>
  <c r="AF589" i="4"/>
  <c r="Y589" i="4"/>
  <c r="R589" i="4"/>
  <c r="Q589" i="4"/>
  <c r="AF588" i="4"/>
  <c r="Y588" i="4"/>
  <c r="R588" i="4"/>
  <c r="Q588" i="4"/>
  <c r="AF587" i="4"/>
  <c r="Y587" i="4"/>
  <c r="R587" i="4"/>
  <c r="Q587" i="4"/>
  <c r="AF586" i="4"/>
  <c r="Y586" i="4"/>
  <c r="R586" i="4"/>
  <c r="Q586" i="4"/>
  <c r="AF585" i="4"/>
  <c r="Y585" i="4"/>
  <c r="R585" i="4"/>
  <c r="Q585" i="4"/>
  <c r="AF584" i="4"/>
  <c r="Y584" i="4"/>
  <c r="R584" i="4"/>
  <c r="Q584" i="4"/>
  <c r="AF583" i="4"/>
  <c r="Y583" i="4"/>
  <c r="R583" i="4"/>
  <c r="Q583" i="4"/>
  <c r="AF582" i="4"/>
  <c r="Y582" i="4"/>
  <c r="R582" i="4"/>
  <c r="Q582" i="4"/>
  <c r="AF581" i="4"/>
  <c r="Y581" i="4"/>
  <c r="R581" i="4"/>
  <c r="Q581" i="4"/>
  <c r="AF580" i="4"/>
  <c r="Y580" i="4"/>
  <c r="R580" i="4"/>
  <c r="Q580" i="4"/>
  <c r="AF579" i="4"/>
  <c r="Y579" i="4"/>
  <c r="R579" i="4"/>
  <c r="Q579" i="4"/>
  <c r="AF578" i="4"/>
  <c r="Y578" i="4"/>
  <c r="R578" i="4"/>
  <c r="Q578" i="4"/>
  <c r="AF577" i="4"/>
  <c r="Y577" i="4"/>
  <c r="R577" i="4"/>
  <c r="Q577" i="4"/>
  <c r="AF576" i="4"/>
  <c r="Y576" i="4"/>
  <c r="R576" i="4"/>
  <c r="Q576" i="4"/>
  <c r="AF575" i="4"/>
  <c r="Y575" i="4"/>
  <c r="R575" i="4"/>
  <c r="Q575" i="4"/>
  <c r="AF574" i="4"/>
  <c r="Y574" i="4"/>
  <c r="R574" i="4"/>
  <c r="Q574" i="4"/>
  <c r="AF573" i="4"/>
  <c r="Y573" i="4"/>
  <c r="R573" i="4"/>
  <c r="Q573" i="4"/>
  <c r="AF572" i="4"/>
  <c r="Y572" i="4"/>
  <c r="R572" i="4"/>
  <c r="Q572" i="4"/>
  <c r="AF571" i="4"/>
  <c r="Y571" i="4"/>
  <c r="R571" i="4"/>
  <c r="Q571" i="4"/>
  <c r="AF570" i="4"/>
  <c r="Y570" i="4"/>
  <c r="R570" i="4"/>
  <c r="Q570" i="4"/>
  <c r="AF569" i="4"/>
  <c r="Y569" i="4"/>
  <c r="R569" i="4"/>
  <c r="Q569" i="4"/>
  <c r="AF568" i="4"/>
  <c r="Y568" i="4"/>
  <c r="R568" i="4"/>
  <c r="Q568" i="4"/>
  <c r="AF567" i="4"/>
  <c r="Y567" i="4"/>
  <c r="R567" i="4"/>
  <c r="Q567" i="4"/>
  <c r="AF566" i="4"/>
  <c r="Y566" i="4"/>
  <c r="R566" i="4"/>
  <c r="Q566" i="4"/>
  <c r="AF565" i="4"/>
  <c r="Y565" i="4"/>
  <c r="R565" i="4"/>
  <c r="Q565" i="4"/>
  <c r="AF564" i="4"/>
  <c r="Y564" i="4"/>
  <c r="R564" i="4"/>
  <c r="Q564" i="4"/>
  <c r="AF563" i="4"/>
  <c r="Y563" i="4"/>
  <c r="R563" i="4"/>
  <c r="Q563" i="4"/>
  <c r="AF562" i="4"/>
  <c r="Y562" i="4"/>
  <c r="R562" i="4"/>
  <c r="Q562" i="4"/>
  <c r="AF561" i="4"/>
  <c r="Y561" i="4"/>
  <c r="R561" i="4"/>
  <c r="Q561" i="4"/>
  <c r="AF560" i="4"/>
  <c r="Y560" i="4"/>
  <c r="R560" i="4"/>
  <c r="Q560" i="4"/>
  <c r="AF559" i="4"/>
  <c r="Y559" i="4"/>
  <c r="R559" i="4"/>
  <c r="Q559" i="4"/>
  <c r="AF558" i="4"/>
  <c r="Y558" i="4"/>
  <c r="R558" i="4"/>
  <c r="Q558" i="4"/>
  <c r="AF557" i="4"/>
  <c r="Y557" i="4"/>
  <c r="R557" i="4"/>
  <c r="Q557" i="4"/>
  <c r="AF556" i="4"/>
  <c r="Y556" i="4"/>
  <c r="R556" i="4"/>
  <c r="Q556" i="4"/>
  <c r="AF555" i="4"/>
  <c r="Y555" i="4"/>
  <c r="R555" i="4"/>
  <c r="Q555" i="4"/>
  <c r="AF554" i="4"/>
  <c r="Y554" i="4"/>
  <c r="R554" i="4"/>
  <c r="Q554" i="4"/>
  <c r="AF553" i="4"/>
  <c r="Y553" i="4"/>
  <c r="R553" i="4"/>
  <c r="Q553" i="4"/>
  <c r="AF552" i="4"/>
  <c r="Y552" i="4"/>
  <c r="R552" i="4"/>
  <c r="Q552" i="4"/>
  <c r="AF551" i="4"/>
  <c r="Y551" i="4"/>
  <c r="R551" i="4"/>
  <c r="Q551" i="4"/>
  <c r="AF550" i="4"/>
  <c r="Y550" i="4"/>
  <c r="R550" i="4"/>
  <c r="Q550" i="4"/>
  <c r="AF549" i="4"/>
  <c r="Y549" i="4"/>
  <c r="R549" i="4"/>
  <c r="Q549" i="4"/>
  <c r="AF548" i="4"/>
  <c r="Y548" i="4"/>
  <c r="R548" i="4"/>
  <c r="Q548" i="4"/>
  <c r="AF547" i="4"/>
  <c r="Y547" i="4"/>
  <c r="R547" i="4"/>
  <c r="Q547" i="4"/>
  <c r="AF546" i="4"/>
  <c r="Y546" i="4"/>
  <c r="R546" i="4"/>
  <c r="Q546" i="4"/>
  <c r="AF545" i="4"/>
  <c r="Y545" i="4"/>
  <c r="R545" i="4"/>
  <c r="Q545" i="4"/>
  <c r="AF544" i="4"/>
  <c r="Y544" i="4"/>
  <c r="R544" i="4"/>
  <c r="Q544" i="4"/>
  <c r="AF543" i="4"/>
  <c r="Y543" i="4"/>
  <c r="R543" i="4"/>
  <c r="Q543" i="4"/>
  <c r="AF542" i="4"/>
  <c r="Y542" i="4"/>
  <c r="R542" i="4"/>
  <c r="Q542" i="4"/>
  <c r="AF541" i="4"/>
  <c r="Y541" i="4"/>
  <c r="R541" i="4"/>
  <c r="Q541" i="4"/>
  <c r="AF540" i="4"/>
  <c r="Y540" i="4"/>
  <c r="R540" i="4"/>
  <c r="Q540" i="4"/>
  <c r="AF539" i="4"/>
  <c r="Y539" i="4"/>
  <c r="R539" i="4"/>
  <c r="Q539" i="4"/>
  <c r="AF538" i="4"/>
  <c r="Y538" i="4"/>
  <c r="R538" i="4"/>
  <c r="Q538" i="4"/>
  <c r="AF537" i="4"/>
  <c r="Y537" i="4"/>
  <c r="R537" i="4"/>
  <c r="Q537" i="4"/>
  <c r="AF536" i="4"/>
  <c r="Y536" i="4"/>
  <c r="R536" i="4"/>
  <c r="Q536" i="4"/>
  <c r="AF535" i="4"/>
  <c r="Y535" i="4"/>
  <c r="R535" i="4"/>
  <c r="Q535" i="4"/>
  <c r="AF534" i="4"/>
  <c r="Y534" i="4"/>
  <c r="R534" i="4"/>
  <c r="Q534" i="4"/>
  <c r="AF533" i="4"/>
  <c r="Y533" i="4"/>
  <c r="R533" i="4"/>
  <c r="Q533" i="4"/>
  <c r="AF532" i="4"/>
  <c r="Y532" i="4"/>
  <c r="R532" i="4"/>
  <c r="Q532" i="4"/>
  <c r="AF531" i="4"/>
  <c r="Y531" i="4"/>
  <c r="R531" i="4"/>
  <c r="Q531" i="4"/>
  <c r="AF530" i="4"/>
  <c r="Y530" i="4"/>
  <c r="R530" i="4"/>
  <c r="Q530" i="4"/>
  <c r="AF529" i="4"/>
  <c r="Y529" i="4"/>
  <c r="R529" i="4"/>
  <c r="Q529" i="4"/>
  <c r="AF528" i="4"/>
  <c r="Y528" i="4"/>
  <c r="R528" i="4"/>
  <c r="Q528" i="4"/>
  <c r="AF527" i="4"/>
  <c r="Y527" i="4"/>
  <c r="R527" i="4"/>
  <c r="Q527" i="4"/>
  <c r="AF526" i="4"/>
  <c r="Y526" i="4"/>
  <c r="R526" i="4"/>
  <c r="Q526" i="4"/>
  <c r="AF525" i="4"/>
  <c r="Y525" i="4"/>
  <c r="R525" i="4"/>
  <c r="Q525" i="4"/>
  <c r="AF524" i="4"/>
  <c r="Y524" i="4"/>
  <c r="R524" i="4"/>
  <c r="Q524" i="4"/>
  <c r="AF523" i="4"/>
  <c r="Y523" i="4"/>
  <c r="R523" i="4"/>
  <c r="Q523" i="4"/>
  <c r="AF522" i="4"/>
  <c r="Y522" i="4"/>
  <c r="R522" i="4"/>
  <c r="Q522" i="4"/>
  <c r="AF521" i="4"/>
  <c r="Y521" i="4"/>
  <c r="R521" i="4"/>
  <c r="Q521" i="4"/>
  <c r="AF520" i="4"/>
  <c r="Y520" i="4"/>
  <c r="R520" i="4"/>
  <c r="Q520" i="4"/>
  <c r="AF519" i="4"/>
  <c r="Y519" i="4"/>
  <c r="R519" i="4"/>
  <c r="Q519" i="4"/>
  <c r="AF518" i="4"/>
  <c r="Y518" i="4"/>
  <c r="R518" i="4"/>
  <c r="Q518" i="4"/>
  <c r="AF517" i="4"/>
  <c r="Y517" i="4"/>
  <c r="R517" i="4"/>
  <c r="Q517" i="4"/>
  <c r="AF516" i="4"/>
  <c r="Y516" i="4"/>
  <c r="R516" i="4"/>
  <c r="Q516" i="4"/>
  <c r="AF515" i="4"/>
  <c r="Y515" i="4"/>
  <c r="R515" i="4"/>
  <c r="Q515" i="4"/>
  <c r="AF514" i="4"/>
  <c r="Y514" i="4"/>
  <c r="R514" i="4"/>
  <c r="Q514" i="4"/>
  <c r="AF513" i="4"/>
  <c r="Y513" i="4"/>
  <c r="R513" i="4"/>
  <c r="Q513" i="4"/>
  <c r="AF512" i="4"/>
  <c r="Y512" i="4"/>
  <c r="R512" i="4"/>
  <c r="Q512" i="4"/>
  <c r="AF511" i="4"/>
  <c r="Y511" i="4"/>
  <c r="R511" i="4"/>
  <c r="Q511" i="4"/>
  <c r="AF510" i="4"/>
  <c r="Y510" i="4"/>
  <c r="R510" i="4"/>
  <c r="Q510" i="4"/>
  <c r="AF509" i="4"/>
  <c r="Y509" i="4"/>
  <c r="R509" i="4"/>
  <c r="Q509" i="4"/>
  <c r="AF508" i="4"/>
  <c r="Y508" i="4"/>
  <c r="R508" i="4"/>
  <c r="Q508" i="4"/>
  <c r="AF507" i="4"/>
  <c r="Y507" i="4"/>
  <c r="R507" i="4"/>
  <c r="Q507" i="4"/>
  <c r="AF506" i="4"/>
  <c r="Y506" i="4"/>
  <c r="R506" i="4"/>
  <c r="Q506" i="4"/>
  <c r="AF505" i="4"/>
  <c r="Y505" i="4"/>
  <c r="R505" i="4"/>
  <c r="Q505" i="4"/>
  <c r="AF504" i="4"/>
  <c r="Y504" i="4"/>
  <c r="R504" i="4"/>
  <c r="Q504" i="4"/>
  <c r="AF503" i="4"/>
  <c r="Y503" i="4"/>
  <c r="R503" i="4"/>
  <c r="Q503" i="4"/>
  <c r="AF502" i="4"/>
  <c r="Y502" i="4"/>
  <c r="R502" i="4"/>
  <c r="Q502" i="4"/>
  <c r="AF501" i="4"/>
  <c r="Y501" i="4"/>
  <c r="R501" i="4"/>
  <c r="Q501" i="4"/>
  <c r="AF500" i="4"/>
  <c r="Y500" i="4"/>
  <c r="R500" i="4"/>
  <c r="Q500" i="4"/>
  <c r="AF499" i="4"/>
  <c r="Y499" i="4"/>
  <c r="R499" i="4"/>
  <c r="Q499" i="4"/>
  <c r="AF498" i="4"/>
  <c r="Y498" i="4"/>
  <c r="R498" i="4"/>
  <c r="Q498" i="4"/>
  <c r="AF497" i="4"/>
  <c r="Y497" i="4"/>
  <c r="R497" i="4"/>
  <c r="Q497" i="4"/>
  <c r="AF496" i="4"/>
  <c r="Y496" i="4"/>
  <c r="R496" i="4"/>
  <c r="Q496" i="4"/>
  <c r="AF495" i="4"/>
  <c r="Y495" i="4"/>
  <c r="R495" i="4"/>
  <c r="Q495" i="4"/>
  <c r="AF494" i="4"/>
  <c r="Y494" i="4"/>
  <c r="R494" i="4"/>
  <c r="Q494" i="4"/>
  <c r="AF493" i="4"/>
  <c r="Y493" i="4"/>
  <c r="R493" i="4"/>
  <c r="Q493" i="4"/>
  <c r="AF492" i="4"/>
  <c r="Y492" i="4"/>
  <c r="R492" i="4"/>
  <c r="Q492" i="4"/>
  <c r="AF491" i="4"/>
  <c r="Y491" i="4"/>
  <c r="R491" i="4"/>
  <c r="Q491" i="4"/>
  <c r="AF490" i="4"/>
  <c r="Y490" i="4"/>
  <c r="R490" i="4"/>
  <c r="Q490" i="4"/>
  <c r="AF489" i="4"/>
  <c r="Y489" i="4"/>
  <c r="R489" i="4"/>
  <c r="Q489" i="4"/>
  <c r="AF488" i="4"/>
  <c r="Y488" i="4"/>
  <c r="R488" i="4"/>
  <c r="Q488" i="4"/>
  <c r="AF487" i="4"/>
  <c r="Y487" i="4"/>
  <c r="R487" i="4"/>
  <c r="Q487" i="4"/>
  <c r="AF486" i="4"/>
  <c r="Y486" i="4"/>
  <c r="R486" i="4"/>
  <c r="Q486" i="4"/>
  <c r="AF485" i="4"/>
  <c r="Y485" i="4"/>
  <c r="R485" i="4"/>
  <c r="Q485" i="4"/>
  <c r="AF484" i="4"/>
  <c r="Y484" i="4"/>
  <c r="R484" i="4"/>
  <c r="Q484" i="4"/>
  <c r="AF483" i="4"/>
  <c r="Y483" i="4"/>
  <c r="R483" i="4"/>
  <c r="Q483" i="4"/>
  <c r="AF482" i="4"/>
  <c r="Y482" i="4"/>
  <c r="R482" i="4"/>
  <c r="Q482" i="4"/>
  <c r="AF481" i="4"/>
  <c r="Y481" i="4"/>
  <c r="R481" i="4"/>
  <c r="Q481" i="4"/>
  <c r="AF480" i="4"/>
  <c r="Y480" i="4"/>
  <c r="R480" i="4"/>
  <c r="Q480" i="4"/>
  <c r="AF479" i="4"/>
  <c r="Y479" i="4"/>
  <c r="R479" i="4"/>
  <c r="Q479" i="4"/>
  <c r="AF478" i="4"/>
  <c r="Y478" i="4"/>
  <c r="R478" i="4"/>
  <c r="Q478" i="4"/>
  <c r="AF477" i="4"/>
  <c r="Y477" i="4"/>
  <c r="R477" i="4"/>
  <c r="Q477" i="4"/>
  <c r="AF476" i="4"/>
  <c r="Y476" i="4"/>
  <c r="R476" i="4"/>
  <c r="Q476" i="4"/>
  <c r="AF475" i="4"/>
  <c r="Y475" i="4"/>
  <c r="R475" i="4"/>
  <c r="Q475" i="4"/>
  <c r="AF474" i="4"/>
  <c r="Y474" i="4"/>
  <c r="R474" i="4"/>
  <c r="Q474" i="4"/>
  <c r="AF473" i="4"/>
  <c r="Y473" i="4"/>
  <c r="R473" i="4"/>
  <c r="Q473" i="4"/>
  <c r="AF472" i="4"/>
  <c r="Y472" i="4"/>
  <c r="R472" i="4"/>
  <c r="Q472" i="4"/>
  <c r="AF471" i="4"/>
  <c r="Y471" i="4"/>
  <c r="R471" i="4"/>
  <c r="Q471" i="4"/>
  <c r="AF470" i="4"/>
  <c r="Y470" i="4"/>
  <c r="R470" i="4"/>
  <c r="Q470" i="4"/>
  <c r="AF469" i="4"/>
  <c r="Y469" i="4"/>
  <c r="R469" i="4"/>
  <c r="Q469" i="4"/>
  <c r="AF468" i="4"/>
  <c r="Y468" i="4"/>
  <c r="R468" i="4"/>
  <c r="Q468" i="4"/>
  <c r="AF467" i="4"/>
  <c r="Y467" i="4"/>
  <c r="R467" i="4"/>
  <c r="Q467" i="4"/>
  <c r="AF466" i="4"/>
  <c r="Y466" i="4"/>
  <c r="R466" i="4"/>
  <c r="Q466" i="4"/>
  <c r="AF465" i="4"/>
  <c r="Y465" i="4"/>
  <c r="R465" i="4"/>
  <c r="Q465" i="4"/>
  <c r="AF464" i="4"/>
  <c r="Y464" i="4"/>
  <c r="R464" i="4"/>
  <c r="Q464" i="4"/>
  <c r="AF463" i="4"/>
  <c r="Y463" i="4"/>
  <c r="R463" i="4"/>
  <c r="Q463" i="4"/>
  <c r="AF462" i="4"/>
  <c r="Y462" i="4"/>
  <c r="R462" i="4"/>
  <c r="Q462" i="4"/>
  <c r="AF461" i="4"/>
  <c r="Y461" i="4"/>
  <c r="R461" i="4"/>
  <c r="Q461" i="4"/>
  <c r="AF460" i="4"/>
  <c r="Y460" i="4"/>
  <c r="R460" i="4"/>
  <c r="Q460" i="4"/>
  <c r="AF459" i="4"/>
  <c r="Y459" i="4"/>
  <c r="R459" i="4"/>
  <c r="Q459" i="4"/>
  <c r="AF458" i="4"/>
  <c r="Y458" i="4"/>
  <c r="R458" i="4"/>
  <c r="Q458" i="4"/>
  <c r="AF457" i="4"/>
  <c r="Y457" i="4"/>
  <c r="R457" i="4"/>
  <c r="Q457" i="4"/>
  <c r="AF456" i="4"/>
  <c r="Y456" i="4"/>
  <c r="R456" i="4"/>
  <c r="Q456" i="4"/>
  <c r="X455" i="4"/>
  <c r="Y455" i="4" s="1"/>
  <c r="R455" i="4"/>
  <c r="Q455" i="4"/>
  <c r="X454" i="4"/>
  <c r="AF454" i="4" s="1"/>
  <c r="R454" i="4"/>
  <c r="Q454" i="4"/>
  <c r="X453" i="4"/>
  <c r="AF453" i="4" s="1"/>
  <c r="R453" i="4"/>
  <c r="Q453" i="4"/>
  <c r="X452" i="4"/>
  <c r="AF452" i="4" s="1"/>
  <c r="R452" i="4"/>
  <c r="Q452" i="4"/>
  <c r="X451" i="4"/>
  <c r="Y451" i="4" s="1"/>
  <c r="R451" i="4"/>
  <c r="Q451" i="4"/>
  <c r="X450" i="4"/>
  <c r="AF450" i="4" s="1"/>
  <c r="R450" i="4"/>
  <c r="Q450" i="4"/>
  <c r="X449" i="4"/>
  <c r="AF449" i="4" s="1"/>
  <c r="R449" i="4"/>
  <c r="Q449" i="4"/>
  <c r="X448" i="4"/>
  <c r="Y448" i="4" s="1"/>
  <c r="R448" i="4"/>
  <c r="Q448" i="4"/>
  <c r="X447" i="4"/>
  <c r="Y447" i="4" s="1"/>
  <c r="R447" i="4"/>
  <c r="Q447" i="4"/>
  <c r="X446" i="4"/>
  <c r="Y446" i="4" s="1"/>
  <c r="R446" i="4"/>
  <c r="Q446" i="4"/>
  <c r="X445" i="4"/>
  <c r="Y445" i="4" s="1"/>
  <c r="R445" i="4"/>
  <c r="Q445" i="4"/>
  <c r="X444" i="4"/>
  <c r="AF444" i="4" s="1"/>
  <c r="R444" i="4"/>
  <c r="Q444" i="4"/>
  <c r="X443" i="4"/>
  <c r="Y443" i="4" s="1"/>
  <c r="R443" i="4"/>
  <c r="Q443" i="4"/>
  <c r="X442" i="4"/>
  <c r="AF442" i="4" s="1"/>
  <c r="R442" i="4"/>
  <c r="Q442" i="4"/>
  <c r="X441" i="4"/>
  <c r="AF441" i="4" s="1"/>
  <c r="R441" i="4"/>
  <c r="Q441" i="4"/>
  <c r="X440" i="4"/>
  <c r="Y440" i="4" s="1"/>
  <c r="R440" i="4"/>
  <c r="Q440" i="4"/>
  <c r="X439" i="4"/>
  <c r="Y439" i="4" s="1"/>
  <c r="R439" i="4"/>
  <c r="Q439" i="4"/>
  <c r="X438" i="4"/>
  <c r="AF438" i="4" s="1"/>
  <c r="R438" i="4"/>
  <c r="Q438" i="4"/>
  <c r="X437" i="4"/>
  <c r="AF437" i="4" s="1"/>
  <c r="R437" i="4"/>
  <c r="Q437" i="4"/>
  <c r="X436" i="4"/>
  <c r="Y436" i="4" s="1"/>
  <c r="R436" i="4"/>
  <c r="Q436" i="4"/>
  <c r="X435" i="4"/>
  <c r="Y435" i="4" s="1"/>
  <c r="R435" i="4"/>
  <c r="Q435" i="4"/>
  <c r="X434" i="4"/>
  <c r="AF434" i="4" s="1"/>
  <c r="R434" i="4"/>
  <c r="Q434" i="4"/>
  <c r="X433" i="4"/>
  <c r="Y433" i="4" s="1"/>
  <c r="R433" i="4"/>
  <c r="Q433" i="4"/>
  <c r="X432" i="4"/>
  <c r="AF432" i="4" s="1"/>
  <c r="R432" i="4"/>
  <c r="Q432" i="4"/>
  <c r="X431" i="4"/>
  <c r="Y431" i="4" s="1"/>
  <c r="R431" i="4"/>
  <c r="Q431" i="4"/>
  <c r="X430" i="4"/>
  <c r="AF430" i="4" s="1"/>
  <c r="R430" i="4"/>
  <c r="Q430" i="4"/>
  <c r="X429" i="4"/>
  <c r="AF429" i="4" s="1"/>
  <c r="R429" i="4"/>
  <c r="Q429" i="4"/>
  <c r="X428" i="4"/>
  <c r="AF428" i="4" s="1"/>
  <c r="R428" i="4"/>
  <c r="Q428" i="4"/>
  <c r="X427" i="4"/>
  <c r="Y427" i="4" s="1"/>
  <c r="R427" i="4"/>
  <c r="Q427" i="4"/>
  <c r="X426" i="4"/>
  <c r="AF426" i="4" s="1"/>
  <c r="R426" i="4"/>
  <c r="Q426" i="4"/>
  <c r="X425" i="4"/>
  <c r="AF425" i="4" s="1"/>
  <c r="R425" i="4"/>
  <c r="Q425" i="4"/>
  <c r="X424" i="4"/>
  <c r="Y424" i="4" s="1"/>
  <c r="R424" i="4"/>
  <c r="Q424" i="4"/>
  <c r="X423" i="4"/>
  <c r="Y423" i="4" s="1"/>
  <c r="R423" i="4"/>
  <c r="Q423" i="4"/>
  <c r="X422" i="4"/>
  <c r="AF422" i="4" s="1"/>
  <c r="R422" i="4"/>
  <c r="Q422" i="4"/>
  <c r="X421" i="4"/>
  <c r="Y421" i="4" s="1"/>
  <c r="R421" i="4"/>
  <c r="Q421" i="4"/>
  <c r="X420" i="4"/>
  <c r="AF420" i="4" s="1"/>
  <c r="R420" i="4"/>
  <c r="Q420" i="4"/>
  <c r="X419" i="4"/>
  <c r="Y419" i="4" s="1"/>
  <c r="R419" i="4"/>
  <c r="Q419" i="4"/>
  <c r="X418" i="4"/>
  <c r="AF418" i="4" s="1"/>
  <c r="R418" i="4"/>
  <c r="Q418" i="4"/>
  <c r="X417" i="4"/>
  <c r="AF417" i="4" s="1"/>
  <c r="R417" i="4"/>
  <c r="Q417" i="4"/>
  <c r="AF416" i="4"/>
  <c r="Y416" i="4"/>
  <c r="R416" i="4"/>
  <c r="Q416" i="4"/>
  <c r="AF415" i="4"/>
  <c r="Y415" i="4"/>
  <c r="R415" i="4"/>
  <c r="Q415" i="4"/>
  <c r="AF414" i="4"/>
  <c r="Y414" i="4"/>
  <c r="R414" i="4"/>
  <c r="Q414" i="4"/>
  <c r="AF413" i="4"/>
  <c r="Y413" i="4"/>
  <c r="R413" i="4"/>
  <c r="Q413" i="4"/>
  <c r="AF412" i="4"/>
  <c r="Y412" i="4"/>
  <c r="R412" i="4"/>
  <c r="Q412" i="4"/>
  <c r="AF411" i="4"/>
  <c r="Y411" i="4"/>
  <c r="R411" i="4"/>
  <c r="Q411" i="4"/>
  <c r="AF410" i="4"/>
  <c r="Y410" i="4"/>
  <c r="R410" i="4"/>
  <c r="Q410" i="4"/>
  <c r="AF409" i="4"/>
  <c r="Y409" i="4"/>
  <c r="R409" i="4"/>
  <c r="Q409" i="4"/>
  <c r="AF408" i="4"/>
  <c r="Y408" i="4"/>
  <c r="R408" i="4"/>
  <c r="Q408" i="4"/>
  <c r="AF407" i="4"/>
  <c r="Y407" i="4"/>
  <c r="R407" i="4"/>
  <c r="Q407" i="4"/>
  <c r="AF406" i="4"/>
  <c r="Y406" i="4"/>
  <c r="R406" i="4"/>
  <c r="Q406" i="4"/>
  <c r="AF405" i="4"/>
  <c r="Y405" i="4"/>
  <c r="R405" i="4"/>
  <c r="Q405" i="4"/>
  <c r="AF404" i="4"/>
  <c r="Y404" i="4"/>
  <c r="R404" i="4"/>
  <c r="Q404" i="4"/>
  <c r="AF403" i="4"/>
  <c r="Y403" i="4"/>
  <c r="R403" i="4"/>
  <c r="Q403" i="4"/>
  <c r="AF402" i="4"/>
  <c r="Y402" i="4"/>
  <c r="R402" i="4"/>
  <c r="Q402" i="4"/>
  <c r="AF401" i="4"/>
  <c r="Y401" i="4"/>
  <c r="R401" i="4"/>
  <c r="Q401" i="4"/>
  <c r="AF400" i="4"/>
  <c r="Y400" i="4"/>
  <c r="R400" i="4"/>
  <c r="Q400" i="4"/>
  <c r="AF399" i="4"/>
  <c r="Y399" i="4"/>
  <c r="R399" i="4"/>
  <c r="Q399" i="4"/>
  <c r="AF398" i="4"/>
  <c r="Y398" i="4"/>
  <c r="R398" i="4"/>
  <c r="Q398" i="4"/>
  <c r="AF397" i="4"/>
  <c r="Y397" i="4"/>
  <c r="R397" i="4"/>
  <c r="Q397" i="4"/>
  <c r="AF396" i="4"/>
  <c r="Y396" i="4"/>
  <c r="R396" i="4"/>
  <c r="Q396" i="4"/>
  <c r="AF395" i="4"/>
  <c r="Y395" i="4"/>
  <c r="R395" i="4"/>
  <c r="Q395" i="4"/>
  <c r="AF394" i="4"/>
  <c r="Y394" i="4"/>
  <c r="R394" i="4"/>
  <c r="Q394" i="4"/>
  <c r="AF393" i="4"/>
  <c r="Y393" i="4"/>
  <c r="R393" i="4"/>
  <c r="Q393" i="4"/>
  <c r="AF392" i="4"/>
  <c r="Y392" i="4"/>
  <c r="R392" i="4"/>
  <c r="Q392" i="4"/>
  <c r="AF391" i="4"/>
  <c r="Y391" i="4"/>
  <c r="R391" i="4"/>
  <c r="Q391" i="4"/>
  <c r="AF390" i="4"/>
  <c r="Y390" i="4"/>
  <c r="R390" i="4"/>
  <c r="Q390" i="4"/>
  <c r="AF389" i="4"/>
  <c r="Y389" i="4"/>
  <c r="R389" i="4"/>
  <c r="Q389" i="4"/>
  <c r="AF388" i="4"/>
  <c r="Y388" i="4"/>
  <c r="R388" i="4"/>
  <c r="Q388" i="4"/>
  <c r="AF387" i="4"/>
  <c r="Y387" i="4"/>
  <c r="R387" i="4"/>
  <c r="Q387" i="4"/>
  <c r="AF386" i="4"/>
  <c r="Y386" i="4"/>
  <c r="R386" i="4"/>
  <c r="Q386" i="4"/>
  <c r="AF385" i="4"/>
  <c r="Y385" i="4"/>
  <c r="R385" i="4"/>
  <c r="Q385" i="4"/>
  <c r="AF384" i="4"/>
  <c r="Y384" i="4"/>
  <c r="R384" i="4"/>
  <c r="Q384" i="4"/>
  <c r="AF383" i="4"/>
  <c r="Y383" i="4"/>
  <c r="R383" i="4"/>
  <c r="Q383" i="4"/>
  <c r="AF382" i="4"/>
  <c r="Y382" i="4"/>
  <c r="R382" i="4"/>
  <c r="Q382" i="4"/>
  <c r="AF381" i="4"/>
  <c r="Y381" i="4"/>
  <c r="R381" i="4"/>
  <c r="Q381" i="4"/>
  <c r="AF380" i="4"/>
  <c r="Y380" i="4"/>
  <c r="R380" i="4"/>
  <c r="Q380" i="4"/>
  <c r="AF379" i="4"/>
  <c r="Y379" i="4"/>
  <c r="R379" i="4"/>
  <c r="Q379" i="4"/>
  <c r="AF378" i="4"/>
  <c r="Y378" i="4"/>
  <c r="R378" i="4"/>
  <c r="Q378" i="4"/>
  <c r="AF377" i="4"/>
  <c r="Y377" i="4"/>
  <c r="R377" i="4"/>
  <c r="Q377" i="4"/>
  <c r="AF376" i="4"/>
  <c r="Y376" i="4"/>
  <c r="R376" i="4"/>
  <c r="Q376" i="4"/>
  <c r="AF375" i="4"/>
  <c r="Y375" i="4"/>
  <c r="R375" i="4"/>
  <c r="Q375" i="4"/>
  <c r="AF374" i="4"/>
  <c r="Y374" i="4"/>
  <c r="R374" i="4"/>
  <c r="Q374" i="4"/>
  <c r="AF373" i="4"/>
  <c r="Y373" i="4"/>
  <c r="R373" i="4"/>
  <c r="Q373" i="4"/>
  <c r="AF372" i="4"/>
  <c r="Y372" i="4"/>
  <c r="R372" i="4"/>
  <c r="Q372" i="4"/>
  <c r="AF371" i="4"/>
  <c r="Y371" i="4"/>
  <c r="R371" i="4"/>
  <c r="Q371" i="4"/>
  <c r="AF370" i="4"/>
  <c r="Y370" i="4"/>
  <c r="R370" i="4"/>
  <c r="Q370" i="4"/>
  <c r="AF369" i="4"/>
  <c r="Y369" i="4"/>
  <c r="R369" i="4"/>
  <c r="Q369" i="4"/>
  <c r="AF368" i="4"/>
  <c r="Y368" i="4"/>
  <c r="R368" i="4"/>
  <c r="Q368" i="4"/>
  <c r="AF367" i="4"/>
  <c r="Y367" i="4"/>
  <c r="R367" i="4"/>
  <c r="Q367" i="4"/>
  <c r="AF366" i="4"/>
  <c r="Y366" i="4"/>
  <c r="R366" i="4"/>
  <c r="Q366" i="4"/>
  <c r="AF365" i="4"/>
  <c r="Y365" i="4"/>
  <c r="R365" i="4"/>
  <c r="Q365" i="4"/>
  <c r="AF364" i="4"/>
  <c r="Y364" i="4"/>
  <c r="R364" i="4"/>
  <c r="Q364" i="4"/>
  <c r="AF363" i="4"/>
  <c r="Y363" i="4"/>
  <c r="R363" i="4"/>
  <c r="Q363" i="4"/>
  <c r="AF362" i="4"/>
  <c r="Y362" i="4"/>
  <c r="R362" i="4"/>
  <c r="Q362" i="4"/>
  <c r="AF361" i="4"/>
  <c r="Y361" i="4"/>
  <c r="R361" i="4"/>
  <c r="Q361" i="4"/>
  <c r="AF360" i="4"/>
  <c r="Y360" i="4"/>
  <c r="R360" i="4"/>
  <c r="Q360" i="4"/>
  <c r="AF359" i="4"/>
  <c r="Y359" i="4"/>
  <c r="R359" i="4"/>
  <c r="Q359" i="4"/>
  <c r="AF358" i="4"/>
  <c r="Y358" i="4"/>
  <c r="R358" i="4"/>
  <c r="Q358" i="4"/>
  <c r="AF357" i="4"/>
  <c r="Y357" i="4"/>
  <c r="R357" i="4"/>
  <c r="Q357" i="4"/>
  <c r="AF356" i="4"/>
  <c r="Y356" i="4"/>
  <c r="R356" i="4"/>
  <c r="Q356" i="4"/>
  <c r="AF355" i="4"/>
  <c r="D88" i="5" s="1"/>
  <c r="E88" i="5" s="1"/>
  <c r="Y355" i="4"/>
  <c r="R355" i="4"/>
  <c r="Q355" i="4"/>
  <c r="AF354" i="4"/>
  <c r="Y354" i="4"/>
  <c r="R354" i="4"/>
  <c r="Q354" i="4"/>
  <c r="AF353" i="4"/>
  <c r="Y353" i="4"/>
  <c r="R353" i="4"/>
  <c r="Q353" i="4"/>
  <c r="AF352" i="4"/>
  <c r="Y352" i="4"/>
  <c r="R352" i="4"/>
  <c r="Q352" i="4"/>
  <c r="AF351" i="4"/>
  <c r="Y351" i="4"/>
  <c r="R351" i="4"/>
  <c r="Q351" i="4"/>
  <c r="AF350" i="4"/>
  <c r="Y350" i="4"/>
  <c r="R350" i="4"/>
  <c r="Q350" i="4"/>
  <c r="AF349" i="4"/>
  <c r="Y349" i="4"/>
  <c r="R349" i="4"/>
  <c r="Q349" i="4"/>
  <c r="AF348" i="4"/>
  <c r="Y348" i="4"/>
  <c r="R348" i="4"/>
  <c r="Q348" i="4"/>
  <c r="AF347" i="4"/>
  <c r="Y347" i="4"/>
  <c r="R347" i="4"/>
  <c r="Q347" i="4"/>
  <c r="AF346" i="4"/>
  <c r="Y346" i="4"/>
  <c r="R346" i="4"/>
  <c r="Q346" i="4"/>
  <c r="AF345" i="4"/>
  <c r="Y345" i="4"/>
  <c r="R345" i="4"/>
  <c r="Q345" i="4"/>
  <c r="AF344" i="4"/>
  <c r="Y344" i="4"/>
  <c r="R344" i="4"/>
  <c r="Q344" i="4"/>
  <c r="AF343" i="4"/>
  <c r="Y343" i="4"/>
  <c r="R343" i="4"/>
  <c r="Q343" i="4"/>
  <c r="AF342" i="4"/>
  <c r="Y342" i="4"/>
  <c r="R342" i="4"/>
  <c r="Q342" i="4"/>
  <c r="AF341" i="4"/>
  <c r="Y341" i="4"/>
  <c r="R341" i="4"/>
  <c r="Q341" i="4"/>
  <c r="AF340" i="4"/>
  <c r="Y340" i="4"/>
  <c r="R340" i="4"/>
  <c r="Q340" i="4"/>
  <c r="AF339" i="4"/>
  <c r="Y339" i="4"/>
  <c r="R339" i="4"/>
  <c r="Q339" i="4"/>
  <c r="AF338" i="4"/>
  <c r="Y338" i="4"/>
  <c r="R338" i="4"/>
  <c r="Q338" i="4"/>
  <c r="AF337" i="4"/>
  <c r="Y337" i="4"/>
  <c r="R337" i="4"/>
  <c r="Q337" i="4"/>
  <c r="AF336" i="4"/>
  <c r="Y336" i="4"/>
  <c r="R336" i="4"/>
  <c r="Q336" i="4"/>
  <c r="AF335" i="4"/>
  <c r="Y335" i="4"/>
  <c r="R335" i="4"/>
  <c r="Q335" i="4"/>
  <c r="AF334" i="4"/>
  <c r="Y334" i="4"/>
  <c r="R334" i="4"/>
  <c r="Q334" i="4"/>
  <c r="AF333" i="4"/>
  <c r="Y333" i="4"/>
  <c r="R333" i="4"/>
  <c r="Q333" i="4"/>
  <c r="AF332" i="4"/>
  <c r="Y332" i="4"/>
  <c r="R332" i="4"/>
  <c r="Q332" i="4"/>
  <c r="AF331" i="4"/>
  <c r="Y331" i="4"/>
  <c r="R331" i="4"/>
  <c r="Q331" i="4"/>
  <c r="AF330" i="4"/>
  <c r="Y330" i="4"/>
  <c r="R330" i="4"/>
  <c r="Q330" i="4"/>
  <c r="AF329" i="4"/>
  <c r="Y329" i="4"/>
  <c r="R329" i="4"/>
  <c r="Q329" i="4"/>
  <c r="AF328" i="4"/>
  <c r="Y328" i="4"/>
  <c r="R328" i="4"/>
  <c r="Q328" i="4"/>
  <c r="AF327" i="4"/>
  <c r="Y327" i="4"/>
  <c r="R327" i="4"/>
  <c r="Q327" i="4"/>
  <c r="AF326" i="4"/>
  <c r="Y326" i="4"/>
  <c r="R326" i="4"/>
  <c r="Q326" i="4"/>
  <c r="AF325" i="4"/>
  <c r="Y325" i="4"/>
  <c r="R325" i="4"/>
  <c r="Q325" i="4"/>
  <c r="AF324" i="4"/>
  <c r="Y324" i="4"/>
  <c r="R324" i="4"/>
  <c r="Q324" i="4"/>
  <c r="AF323" i="4"/>
  <c r="Y323" i="4"/>
  <c r="R323" i="4"/>
  <c r="Q323" i="4"/>
  <c r="AF322" i="4"/>
  <c r="Y322" i="4"/>
  <c r="R322" i="4"/>
  <c r="Q322" i="4"/>
  <c r="AF321" i="4"/>
  <c r="Y321" i="4"/>
  <c r="R321" i="4"/>
  <c r="Q321" i="4"/>
  <c r="AF320" i="4"/>
  <c r="Y320" i="4"/>
  <c r="R320" i="4"/>
  <c r="Q320" i="4"/>
  <c r="AF319" i="4"/>
  <c r="Y319" i="4"/>
  <c r="R319" i="4"/>
  <c r="Q319" i="4"/>
  <c r="AF318" i="4"/>
  <c r="Y318" i="4"/>
  <c r="R318" i="4"/>
  <c r="Q318" i="4"/>
  <c r="AF317" i="4"/>
  <c r="Y317" i="4"/>
  <c r="R317" i="4"/>
  <c r="Q317" i="4"/>
  <c r="AF316" i="4"/>
  <c r="Y316" i="4"/>
  <c r="R316" i="4"/>
  <c r="Q316" i="4"/>
  <c r="AF315" i="4"/>
  <c r="Y315" i="4"/>
  <c r="R315" i="4"/>
  <c r="Q315" i="4"/>
  <c r="AF314" i="4"/>
  <c r="Y314" i="4"/>
  <c r="R314" i="4"/>
  <c r="Q314" i="4"/>
  <c r="AF313" i="4"/>
  <c r="Y313" i="4"/>
  <c r="R313" i="4"/>
  <c r="Q313" i="4"/>
  <c r="AF312" i="4"/>
  <c r="Y312" i="4"/>
  <c r="R312" i="4"/>
  <c r="Q312" i="4"/>
  <c r="AF311" i="4"/>
  <c r="Y311" i="4"/>
  <c r="R311" i="4"/>
  <c r="Q311" i="4"/>
  <c r="AF310" i="4"/>
  <c r="Y310" i="4"/>
  <c r="R310" i="4"/>
  <c r="Q310" i="4"/>
  <c r="AF309" i="4"/>
  <c r="Y309" i="4"/>
  <c r="R309" i="4"/>
  <c r="Q309" i="4"/>
  <c r="AF308" i="4"/>
  <c r="Y308" i="4"/>
  <c r="R308" i="4"/>
  <c r="Q308" i="4"/>
  <c r="AF307" i="4"/>
  <c r="Y307" i="4"/>
  <c r="R307" i="4"/>
  <c r="Q307" i="4"/>
  <c r="AF306" i="4"/>
  <c r="Y306" i="4"/>
  <c r="R306" i="4"/>
  <c r="Q306" i="4"/>
  <c r="AF305" i="4"/>
  <c r="Y305" i="4"/>
  <c r="R305" i="4"/>
  <c r="Q305" i="4"/>
  <c r="AF304" i="4"/>
  <c r="Y304" i="4"/>
  <c r="R304" i="4"/>
  <c r="Q304" i="4"/>
  <c r="AF303" i="4"/>
  <c r="Y303" i="4"/>
  <c r="R303" i="4"/>
  <c r="Q303" i="4"/>
  <c r="AF302" i="4"/>
  <c r="Y302" i="4"/>
  <c r="R302" i="4"/>
  <c r="Q302" i="4"/>
  <c r="AF301" i="4"/>
  <c r="Y301" i="4"/>
  <c r="R301" i="4"/>
  <c r="Q301" i="4"/>
  <c r="AF300" i="4"/>
  <c r="Y300" i="4"/>
  <c r="R300" i="4"/>
  <c r="Q300" i="4"/>
  <c r="AF299" i="4"/>
  <c r="Y299" i="4"/>
  <c r="R299" i="4"/>
  <c r="Q299" i="4"/>
  <c r="X298" i="4"/>
  <c r="AF298" i="4" s="1"/>
  <c r="R298" i="4"/>
  <c r="Q298" i="4"/>
  <c r="X297" i="4"/>
  <c r="Y297" i="4" s="1"/>
  <c r="R297" i="4"/>
  <c r="Q297" i="4"/>
  <c r="X296" i="4"/>
  <c r="AF296" i="4" s="1"/>
  <c r="R296" i="4"/>
  <c r="Q296" i="4"/>
  <c r="X295" i="4"/>
  <c r="AF295" i="4" s="1"/>
  <c r="R295" i="4"/>
  <c r="Q295" i="4"/>
  <c r="X294" i="4"/>
  <c r="AF294" i="4" s="1"/>
  <c r="R294" i="4"/>
  <c r="Q294" i="4"/>
  <c r="X293" i="4"/>
  <c r="Y293" i="4" s="1"/>
  <c r="R293" i="4"/>
  <c r="Q293" i="4"/>
  <c r="X292" i="4"/>
  <c r="AF292" i="4" s="1"/>
  <c r="R292" i="4"/>
  <c r="Q292" i="4"/>
  <c r="X291" i="4"/>
  <c r="AF291" i="4" s="1"/>
  <c r="R291" i="4"/>
  <c r="Q291" i="4"/>
  <c r="X290" i="4"/>
  <c r="AF290" i="4" s="1"/>
  <c r="R290" i="4"/>
  <c r="Q290" i="4"/>
  <c r="X289" i="4"/>
  <c r="Y289" i="4" s="1"/>
  <c r="R289" i="4"/>
  <c r="Q289" i="4"/>
  <c r="X288" i="4"/>
  <c r="AF288" i="4" s="1"/>
  <c r="R288" i="4"/>
  <c r="Q288" i="4"/>
  <c r="AF287" i="4"/>
  <c r="Y287" i="4"/>
  <c r="R287" i="4"/>
  <c r="Q287" i="4"/>
  <c r="X286" i="4"/>
  <c r="AF286" i="4" s="1"/>
  <c r="R286" i="4"/>
  <c r="Q286" i="4"/>
  <c r="X285" i="4"/>
  <c r="AF285" i="4" s="1"/>
  <c r="R285" i="4"/>
  <c r="Q285" i="4"/>
  <c r="X284" i="4"/>
  <c r="Y284" i="4" s="1"/>
  <c r="R284" i="4"/>
  <c r="Q284" i="4"/>
  <c r="X283" i="4"/>
  <c r="AF283" i="4" s="1"/>
  <c r="R283" i="4"/>
  <c r="Q283" i="4"/>
  <c r="X282" i="4"/>
  <c r="Y282" i="4" s="1"/>
  <c r="R282" i="4"/>
  <c r="Q282" i="4"/>
  <c r="X281" i="4"/>
  <c r="Y281" i="4" s="1"/>
  <c r="R281" i="4"/>
  <c r="Q281" i="4"/>
  <c r="X280" i="4"/>
  <c r="Y280" i="4" s="1"/>
  <c r="R280" i="4"/>
  <c r="Q280" i="4"/>
  <c r="X279" i="4"/>
  <c r="AF279" i="4" s="1"/>
  <c r="R279" i="4"/>
  <c r="Q279" i="4"/>
  <c r="X278" i="4"/>
  <c r="AF278" i="4" s="1"/>
  <c r="R278" i="4"/>
  <c r="Q278" i="4"/>
  <c r="X277" i="4"/>
  <c r="Y277" i="4" s="1"/>
  <c r="R277" i="4"/>
  <c r="Q277" i="4"/>
  <c r="X276" i="4"/>
  <c r="Y276" i="4" s="1"/>
  <c r="R276" i="4"/>
  <c r="Q276" i="4"/>
  <c r="X275" i="4"/>
  <c r="AF275" i="4" s="1"/>
  <c r="R275" i="4"/>
  <c r="Q275" i="4"/>
  <c r="X274" i="4"/>
  <c r="AF274" i="4" s="1"/>
  <c r="R274" i="4"/>
  <c r="Q274" i="4"/>
  <c r="X273" i="4"/>
  <c r="AF273" i="4" s="1"/>
  <c r="R273" i="4"/>
  <c r="Q273" i="4"/>
  <c r="X272" i="4"/>
  <c r="Y272" i="4" s="1"/>
  <c r="R272" i="4"/>
  <c r="Q272" i="4"/>
  <c r="X271" i="4"/>
  <c r="AF271" i="4" s="1"/>
  <c r="R271" i="4"/>
  <c r="Q271" i="4"/>
  <c r="X270" i="4"/>
  <c r="Y270" i="4" s="1"/>
  <c r="R270" i="4"/>
  <c r="Q270" i="4"/>
  <c r="X269" i="4"/>
  <c r="AF269" i="4" s="1"/>
  <c r="R269" i="4"/>
  <c r="Q269" i="4"/>
  <c r="X268" i="4"/>
  <c r="Y268" i="4" s="1"/>
  <c r="R268" i="4"/>
  <c r="Q268" i="4"/>
  <c r="X267" i="4"/>
  <c r="AF267" i="4" s="1"/>
  <c r="R267" i="4"/>
  <c r="Q267" i="4"/>
  <c r="X266" i="4"/>
  <c r="AF266" i="4" s="1"/>
  <c r="R266" i="4"/>
  <c r="Q266" i="4"/>
  <c r="X265" i="4"/>
  <c r="Y265" i="4" s="1"/>
  <c r="R265" i="4"/>
  <c r="Q265" i="4"/>
  <c r="AF264" i="4"/>
  <c r="Y264" i="4"/>
  <c r="R264" i="4"/>
  <c r="Q264" i="4"/>
  <c r="AF263" i="4"/>
  <c r="Y263" i="4"/>
  <c r="R263" i="4"/>
  <c r="Q263" i="4"/>
  <c r="X262" i="4"/>
  <c r="Y262" i="4" s="1"/>
  <c r="R262" i="4"/>
  <c r="Q262" i="4"/>
  <c r="X261" i="4"/>
  <c r="AF261" i="4" s="1"/>
  <c r="R261" i="4"/>
  <c r="Q261" i="4"/>
  <c r="X260" i="4"/>
  <c r="Y260" i="4" s="1"/>
  <c r="R260" i="4"/>
  <c r="Q260" i="4"/>
  <c r="X259" i="4"/>
  <c r="AF259" i="4" s="1"/>
  <c r="R259" i="4"/>
  <c r="Q259" i="4"/>
  <c r="X258" i="4"/>
  <c r="Y258" i="4" s="1"/>
  <c r="R258" i="4"/>
  <c r="Q258" i="4"/>
  <c r="X257" i="4"/>
  <c r="AF257" i="4" s="1"/>
  <c r="R257" i="4"/>
  <c r="Q257" i="4"/>
  <c r="X256" i="4"/>
  <c r="AF256" i="4" s="1"/>
  <c r="R256" i="4"/>
  <c r="Q256" i="4"/>
  <c r="X255" i="4"/>
  <c r="AF255" i="4" s="1"/>
  <c r="R255" i="4"/>
  <c r="Q255" i="4"/>
  <c r="X254" i="4"/>
  <c r="Y254" i="4" s="1"/>
  <c r="R254" i="4"/>
  <c r="Q254" i="4"/>
  <c r="X253" i="4"/>
  <c r="AF253" i="4" s="1"/>
  <c r="R253" i="4"/>
  <c r="Q253" i="4"/>
  <c r="X252" i="4"/>
  <c r="AF252" i="4" s="1"/>
  <c r="R252" i="4"/>
  <c r="Q252" i="4"/>
  <c r="X251" i="4"/>
  <c r="AF251" i="4" s="1"/>
  <c r="R251" i="4"/>
  <c r="Q251" i="4"/>
  <c r="X250" i="4"/>
  <c r="Y250" i="4" s="1"/>
  <c r="R250" i="4"/>
  <c r="Q250" i="4"/>
  <c r="X249" i="4"/>
  <c r="AF249" i="4" s="1"/>
  <c r="R249" i="4"/>
  <c r="Q249" i="4"/>
  <c r="X248" i="4"/>
  <c r="Y248" i="4" s="1"/>
  <c r="R248" i="4"/>
  <c r="Q248" i="4"/>
  <c r="X247" i="4"/>
  <c r="AF247" i="4" s="1"/>
  <c r="R247" i="4"/>
  <c r="Q247" i="4"/>
  <c r="X246" i="4"/>
  <c r="Y246" i="4" s="1"/>
  <c r="R246" i="4"/>
  <c r="Q246" i="4"/>
  <c r="X245" i="4"/>
  <c r="AF245" i="4" s="1"/>
  <c r="R245" i="4"/>
  <c r="Q245" i="4"/>
  <c r="X244" i="4"/>
  <c r="AF244" i="4" s="1"/>
  <c r="R244" i="4"/>
  <c r="Q244" i="4"/>
  <c r="AF243" i="4"/>
  <c r="Y243" i="4"/>
  <c r="R243" i="4"/>
  <c r="Q243" i="4"/>
  <c r="AF242" i="4"/>
  <c r="Y242" i="4"/>
  <c r="R242" i="4"/>
  <c r="Q242" i="4"/>
  <c r="AF241" i="4"/>
  <c r="Y241" i="4"/>
  <c r="R241" i="4"/>
  <c r="Q241" i="4"/>
  <c r="AF240" i="4"/>
  <c r="C85" i="5" s="1"/>
  <c r="E85" i="5" s="1"/>
  <c r="Y240" i="4"/>
  <c r="R240" i="4"/>
  <c r="Q240" i="4"/>
  <c r="AF239" i="4"/>
  <c r="C84" i="5" s="1"/>
  <c r="Y239" i="4"/>
  <c r="R239" i="4"/>
  <c r="Q239" i="4"/>
  <c r="AF238" i="4"/>
  <c r="C87" i="5" s="1"/>
  <c r="Y238" i="4"/>
  <c r="R238" i="4"/>
  <c r="Q238" i="4"/>
  <c r="AF237" i="4"/>
  <c r="C86" i="5" s="1"/>
  <c r="E86" i="5" s="1"/>
  <c r="Y237" i="4"/>
  <c r="R237" i="4"/>
  <c r="Q237" i="4"/>
  <c r="AF236" i="4"/>
  <c r="Y236" i="4"/>
  <c r="R236" i="4"/>
  <c r="Q236" i="4"/>
  <c r="AF235" i="4"/>
  <c r="Y235" i="4"/>
  <c r="R235" i="4"/>
  <c r="Q235" i="4"/>
  <c r="AF234" i="4"/>
  <c r="Y234" i="4"/>
  <c r="R234" i="4"/>
  <c r="Q234" i="4"/>
  <c r="AF233" i="4"/>
  <c r="Y233" i="4"/>
  <c r="R233" i="4"/>
  <c r="Q233" i="4"/>
  <c r="AF232" i="4"/>
  <c r="Y232" i="4"/>
  <c r="R232" i="4"/>
  <c r="Q232" i="4"/>
  <c r="AF231" i="4"/>
  <c r="Y231" i="4"/>
  <c r="R231" i="4"/>
  <c r="Q231" i="4"/>
  <c r="AF230" i="4"/>
  <c r="Y230" i="4"/>
  <c r="R230" i="4"/>
  <c r="Q230" i="4"/>
  <c r="AF229" i="4"/>
  <c r="Y229" i="4"/>
  <c r="R229" i="4"/>
  <c r="Q229" i="4"/>
  <c r="AF228" i="4"/>
  <c r="Y228" i="4"/>
  <c r="R228" i="4"/>
  <c r="Q228" i="4"/>
  <c r="AF227" i="4"/>
  <c r="Y227" i="4"/>
  <c r="R227" i="4"/>
  <c r="Q227" i="4"/>
  <c r="AF226" i="4"/>
  <c r="Y226" i="4"/>
  <c r="R226" i="4"/>
  <c r="Q226" i="4"/>
  <c r="AF225" i="4"/>
  <c r="Y225" i="4"/>
  <c r="R225" i="4"/>
  <c r="Q225" i="4"/>
  <c r="AF224" i="4"/>
  <c r="Y224" i="4"/>
  <c r="R224" i="4"/>
  <c r="Q224" i="4"/>
  <c r="AF223" i="4"/>
  <c r="Y223" i="4"/>
  <c r="R223" i="4"/>
  <c r="Q223" i="4"/>
  <c r="AF222" i="4"/>
  <c r="Y222" i="4"/>
  <c r="R222" i="4"/>
  <c r="Q222" i="4"/>
  <c r="AF221" i="4"/>
  <c r="Y221" i="4"/>
  <c r="R221" i="4"/>
  <c r="Q221" i="4"/>
  <c r="AF220" i="4"/>
  <c r="Y220" i="4"/>
  <c r="R220" i="4"/>
  <c r="Q220" i="4"/>
  <c r="AF219" i="4"/>
  <c r="Y219" i="4"/>
  <c r="R219" i="4"/>
  <c r="Q219" i="4"/>
  <c r="AF218" i="4"/>
  <c r="Y218" i="4"/>
  <c r="R218" i="4"/>
  <c r="Q218" i="4"/>
  <c r="AF217" i="4"/>
  <c r="Y217" i="4"/>
  <c r="R217" i="4"/>
  <c r="Q217" i="4"/>
  <c r="AF216" i="4"/>
  <c r="Y216" i="4"/>
  <c r="R216" i="4"/>
  <c r="Q216" i="4"/>
  <c r="AF215" i="4"/>
  <c r="Y215" i="4"/>
  <c r="R215" i="4"/>
  <c r="Q215" i="4"/>
  <c r="AF214" i="4"/>
  <c r="Y214" i="4"/>
  <c r="R214" i="4"/>
  <c r="Q214" i="4"/>
  <c r="AF213" i="4"/>
  <c r="Y213" i="4"/>
  <c r="R213" i="4"/>
  <c r="Q213" i="4"/>
  <c r="AF212" i="4"/>
  <c r="Y212" i="4"/>
  <c r="R212" i="4"/>
  <c r="Q212" i="4"/>
  <c r="AF211" i="4"/>
  <c r="Y211" i="4"/>
  <c r="R211" i="4"/>
  <c r="Q211" i="4"/>
  <c r="AF210" i="4"/>
  <c r="Y210" i="4"/>
  <c r="R210" i="4"/>
  <c r="Q210" i="4"/>
  <c r="AF209" i="4"/>
  <c r="Y209" i="4"/>
  <c r="R209" i="4"/>
  <c r="Q209" i="4"/>
  <c r="AF208" i="4"/>
  <c r="Y208" i="4"/>
  <c r="R208" i="4"/>
  <c r="Q208" i="4"/>
  <c r="AF207" i="4"/>
  <c r="Y207" i="4"/>
  <c r="R207" i="4"/>
  <c r="Q207" i="4"/>
  <c r="AF206" i="4"/>
  <c r="Y206" i="4"/>
  <c r="R206" i="4"/>
  <c r="Q206" i="4"/>
  <c r="AF205" i="4"/>
  <c r="Y205" i="4"/>
  <c r="R205" i="4"/>
  <c r="Q205" i="4"/>
  <c r="AF204" i="4"/>
  <c r="Y204" i="4"/>
  <c r="R204" i="4"/>
  <c r="Q204" i="4"/>
  <c r="AF203" i="4"/>
  <c r="Y203" i="4"/>
  <c r="R203" i="4"/>
  <c r="Q203" i="4"/>
  <c r="AF202" i="4"/>
  <c r="Y202" i="4"/>
  <c r="R202" i="4"/>
  <c r="Q202" i="4"/>
  <c r="AF201" i="4"/>
  <c r="Y201" i="4"/>
  <c r="R201" i="4"/>
  <c r="Q201" i="4"/>
  <c r="AF200" i="4"/>
  <c r="Y200" i="4"/>
  <c r="R200" i="4"/>
  <c r="Q200" i="4"/>
  <c r="AF199" i="4"/>
  <c r="Y199" i="4"/>
  <c r="R199" i="4"/>
  <c r="Q199" i="4"/>
  <c r="AF198" i="4"/>
  <c r="Y198" i="4"/>
  <c r="R198" i="4"/>
  <c r="Q198" i="4"/>
  <c r="AF197" i="4"/>
  <c r="Y197" i="4"/>
  <c r="R197" i="4"/>
  <c r="Q197" i="4"/>
  <c r="AF196" i="4"/>
  <c r="Y196" i="4"/>
  <c r="R196" i="4"/>
  <c r="Q196" i="4"/>
  <c r="AF195" i="4"/>
  <c r="Y195" i="4"/>
  <c r="R195" i="4"/>
  <c r="Q195" i="4"/>
  <c r="AF194" i="4"/>
  <c r="Y194" i="4"/>
  <c r="R194" i="4"/>
  <c r="Q194" i="4"/>
  <c r="AF193" i="4"/>
  <c r="Y193" i="4"/>
  <c r="R193" i="4"/>
  <c r="Q193" i="4"/>
  <c r="AF192" i="4"/>
  <c r="Y192" i="4"/>
  <c r="R192" i="4"/>
  <c r="Q192" i="4"/>
  <c r="AF191" i="4"/>
  <c r="Y191" i="4"/>
  <c r="R191" i="4"/>
  <c r="Q191" i="4"/>
  <c r="AF190" i="4"/>
  <c r="Y190" i="4"/>
  <c r="R190" i="4"/>
  <c r="Q190" i="4"/>
  <c r="AF189" i="4"/>
  <c r="Y189" i="4"/>
  <c r="R189" i="4"/>
  <c r="Q189" i="4"/>
  <c r="AF188" i="4"/>
  <c r="Y188" i="4"/>
  <c r="R188" i="4"/>
  <c r="Q188" i="4"/>
  <c r="AF187" i="4"/>
  <c r="Y187" i="4"/>
  <c r="R187" i="4"/>
  <c r="Q187" i="4"/>
  <c r="AF186" i="4"/>
  <c r="Y186" i="4"/>
  <c r="R186" i="4"/>
  <c r="Q186" i="4"/>
  <c r="AF185" i="4"/>
  <c r="Y185" i="4"/>
  <c r="R185" i="4"/>
  <c r="Q185" i="4"/>
  <c r="AF184" i="4"/>
  <c r="Y184" i="4"/>
  <c r="R184" i="4"/>
  <c r="Q184" i="4"/>
  <c r="AF183" i="4"/>
  <c r="Y183" i="4"/>
  <c r="R183" i="4"/>
  <c r="Q183" i="4"/>
  <c r="AF182" i="4"/>
  <c r="Y182" i="4"/>
  <c r="R182" i="4"/>
  <c r="Q182" i="4"/>
  <c r="AF181" i="4"/>
  <c r="Y181" i="4"/>
  <c r="R181" i="4"/>
  <c r="Q181" i="4"/>
  <c r="AF180" i="4"/>
  <c r="Y180" i="4"/>
  <c r="R180" i="4"/>
  <c r="Q180" i="4"/>
  <c r="AF179" i="4"/>
  <c r="Y179" i="4"/>
  <c r="R179" i="4"/>
  <c r="Q179" i="4"/>
  <c r="AF178" i="4"/>
  <c r="Y178" i="4"/>
  <c r="R178" i="4"/>
  <c r="Q178" i="4"/>
  <c r="AF177" i="4"/>
  <c r="Y177" i="4"/>
  <c r="R177" i="4"/>
  <c r="Q177" i="4"/>
  <c r="AF176" i="4"/>
  <c r="Y176" i="4"/>
  <c r="R176" i="4"/>
  <c r="Q176" i="4"/>
  <c r="AF175" i="4"/>
  <c r="Y175" i="4"/>
  <c r="R175" i="4"/>
  <c r="Q175" i="4"/>
  <c r="AF174" i="4"/>
  <c r="Y174" i="4"/>
  <c r="R174" i="4"/>
  <c r="Q174" i="4"/>
  <c r="AF173" i="4"/>
  <c r="Y173" i="4"/>
  <c r="R173" i="4"/>
  <c r="Q173" i="4"/>
  <c r="AF172" i="4"/>
  <c r="Y172" i="4"/>
  <c r="R172" i="4"/>
  <c r="Q172" i="4"/>
  <c r="X171" i="4"/>
  <c r="Y171" i="4" s="1"/>
  <c r="R171" i="4"/>
  <c r="Q171" i="4"/>
  <c r="X170" i="4"/>
  <c r="Y170" i="4" s="1"/>
  <c r="R170" i="4"/>
  <c r="Q170" i="4"/>
  <c r="X169" i="4"/>
  <c r="AF169" i="4" s="1"/>
  <c r="R169" i="4"/>
  <c r="Q169" i="4"/>
  <c r="X168" i="4"/>
  <c r="AF168" i="4" s="1"/>
  <c r="R168" i="4"/>
  <c r="Q168" i="4"/>
  <c r="X167" i="4"/>
  <c r="AF167" i="4" s="1"/>
  <c r="R167" i="4"/>
  <c r="Q167" i="4"/>
  <c r="X166" i="4"/>
  <c r="Y166" i="4" s="1"/>
  <c r="R166" i="4"/>
  <c r="Q166" i="4"/>
  <c r="X165" i="4"/>
  <c r="AF165" i="4" s="1"/>
  <c r="R165" i="4"/>
  <c r="Q165" i="4"/>
  <c r="X164" i="4"/>
  <c r="Y164" i="4" s="1"/>
  <c r="R164" i="4"/>
  <c r="Q164" i="4"/>
  <c r="X163" i="4"/>
  <c r="AF163" i="4" s="1"/>
  <c r="R163" i="4"/>
  <c r="Q163" i="4"/>
  <c r="X162" i="4"/>
  <c r="Y162" i="4" s="1"/>
  <c r="R162" i="4"/>
  <c r="Q162" i="4"/>
  <c r="X161" i="4"/>
  <c r="AF161" i="4" s="1"/>
  <c r="R161" i="4"/>
  <c r="Q161" i="4"/>
  <c r="X160" i="4"/>
  <c r="AF160" i="4" s="1"/>
  <c r="R160" i="4"/>
  <c r="Q160" i="4"/>
  <c r="X159" i="4"/>
  <c r="Y159" i="4" s="1"/>
  <c r="R159" i="4"/>
  <c r="Q159" i="4"/>
  <c r="X158" i="4"/>
  <c r="Y158" i="4" s="1"/>
  <c r="R158" i="4"/>
  <c r="Q158" i="4"/>
  <c r="X157" i="4"/>
  <c r="AF157" i="4" s="1"/>
  <c r="R157" i="4"/>
  <c r="Q157" i="4"/>
  <c r="X156" i="4"/>
  <c r="AF156" i="4" s="1"/>
  <c r="R156" i="4"/>
  <c r="Q156" i="4"/>
  <c r="X155" i="4"/>
  <c r="AF155" i="4" s="1"/>
  <c r="R155" i="4"/>
  <c r="Q155" i="4"/>
  <c r="X154" i="4"/>
  <c r="Y154" i="4" s="1"/>
  <c r="R154" i="4"/>
  <c r="Q154" i="4"/>
  <c r="X153" i="4"/>
  <c r="AF153" i="4" s="1"/>
  <c r="R153" i="4"/>
  <c r="Q153" i="4"/>
  <c r="X152" i="4"/>
  <c r="Y152" i="4" s="1"/>
  <c r="R152" i="4"/>
  <c r="Q152" i="4"/>
  <c r="X151" i="4"/>
  <c r="AF151" i="4" s="1"/>
  <c r="R151" i="4"/>
  <c r="Q151" i="4"/>
  <c r="X150" i="4"/>
  <c r="Y150" i="4" s="1"/>
  <c r="R150" i="4"/>
  <c r="Q150" i="4"/>
  <c r="X149" i="4"/>
  <c r="AF149" i="4" s="1"/>
  <c r="R149" i="4"/>
  <c r="Q149" i="4"/>
  <c r="X148" i="4"/>
  <c r="AF148" i="4" s="1"/>
  <c r="R148" i="4"/>
  <c r="Q148" i="4"/>
  <c r="X147" i="4"/>
  <c r="Y147" i="4" s="1"/>
  <c r="R147" i="4"/>
  <c r="Q147" i="4"/>
  <c r="X146" i="4"/>
  <c r="Y146" i="4" s="1"/>
  <c r="R146" i="4"/>
  <c r="Q146" i="4"/>
  <c r="X145" i="4"/>
  <c r="AF145" i="4" s="1"/>
  <c r="R145" i="4"/>
  <c r="Q145" i="4"/>
  <c r="X144" i="4"/>
  <c r="AF144" i="4" s="1"/>
  <c r="R144" i="4"/>
  <c r="Q144" i="4"/>
  <c r="X143" i="4"/>
  <c r="AF143" i="4" s="1"/>
  <c r="R143" i="4"/>
  <c r="Q143" i="4"/>
  <c r="X142" i="4"/>
  <c r="Y142" i="4" s="1"/>
  <c r="R142" i="4"/>
  <c r="Q142" i="4"/>
  <c r="X141" i="4"/>
  <c r="AF141" i="4" s="1"/>
  <c r="R141" i="4"/>
  <c r="Q141" i="4"/>
  <c r="X140" i="4"/>
  <c r="Y140" i="4" s="1"/>
  <c r="R140" i="4"/>
  <c r="Q140" i="4"/>
  <c r="X139" i="4"/>
  <c r="AF139" i="4" s="1"/>
  <c r="R139" i="4"/>
  <c r="Q139" i="4"/>
  <c r="X138" i="4"/>
  <c r="Y138" i="4" s="1"/>
  <c r="R138" i="4"/>
  <c r="Q138" i="4"/>
  <c r="X137" i="4"/>
  <c r="AF137" i="4" s="1"/>
  <c r="R137" i="4"/>
  <c r="Q137" i="4"/>
  <c r="AF136" i="4"/>
  <c r="Y136" i="4"/>
  <c r="R136" i="4"/>
  <c r="Q136" i="4"/>
  <c r="X135" i="4"/>
  <c r="Y135" i="4" s="1"/>
  <c r="R135" i="4"/>
  <c r="Q135" i="4"/>
  <c r="X134" i="4"/>
  <c r="AF134" i="4" s="1"/>
  <c r="R134" i="4"/>
  <c r="Q134" i="4"/>
  <c r="X133" i="4"/>
  <c r="Y133" i="4" s="1"/>
  <c r="R133" i="4"/>
  <c r="Q133" i="4"/>
  <c r="X132" i="4"/>
  <c r="AF132" i="4" s="1"/>
  <c r="R132" i="4"/>
  <c r="Q132" i="4"/>
  <c r="AF131" i="4"/>
  <c r="Y131" i="4"/>
  <c r="R131" i="4"/>
  <c r="Q131" i="4"/>
  <c r="X130" i="4"/>
  <c r="Y130" i="4" s="1"/>
  <c r="R130" i="4"/>
  <c r="Q130" i="4"/>
  <c r="X129" i="4"/>
  <c r="AF129" i="4" s="1"/>
  <c r="R129" i="4"/>
  <c r="Q129" i="4"/>
  <c r="X128" i="4"/>
  <c r="Y128" i="4" s="1"/>
  <c r="R128" i="4"/>
  <c r="Q128" i="4"/>
  <c r="X127" i="4"/>
  <c r="AF127" i="4" s="1"/>
  <c r="R127" i="4"/>
  <c r="Q127" i="4"/>
  <c r="X126" i="4"/>
  <c r="AF126" i="4" s="1"/>
  <c r="R126" i="4"/>
  <c r="Q126" i="4"/>
  <c r="X125" i="4"/>
  <c r="AF125" i="4" s="1"/>
  <c r="R125" i="4"/>
  <c r="Q125" i="4"/>
  <c r="X124" i="4"/>
  <c r="Y124" i="4" s="1"/>
  <c r="R124" i="4"/>
  <c r="Q124" i="4"/>
  <c r="X123" i="4"/>
  <c r="AF123" i="4" s="1"/>
  <c r="R123" i="4"/>
  <c r="Q123" i="4"/>
  <c r="X122" i="4"/>
  <c r="AF122" i="4" s="1"/>
  <c r="R122" i="4"/>
  <c r="Q122" i="4"/>
  <c r="AF121" i="4"/>
  <c r="Y121" i="4"/>
  <c r="R121" i="4"/>
  <c r="Q121" i="4"/>
  <c r="X120" i="4"/>
  <c r="Y120" i="4" s="1"/>
  <c r="R120" i="4"/>
  <c r="Q120" i="4"/>
  <c r="X119" i="4"/>
  <c r="Y119" i="4" s="1"/>
  <c r="R119" i="4"/>
  <c r="Q119" i="4"/>
  <c r="AF118" i="4"/>
  <c r="Y118" i="4"/>
  <c r="R118" i="4"/>
  <c r="Q118" i="4"/>
  <c r="AF117" i="4"/>
  <c r="Y117" i="4"/>
  <c r="R117" i="4"/>
  <c r="Q117" i="4"/>
  <c r="AF116" i="4"/>
  <c r="Y116" i="4"/>
  <c r="R116" i="4"/>
  <c r="Q116" i="4"/>
  <c r="AF115" i="4"/>
  <c r="Y115" i="4"/>
  <c r="R115" i="4"/>
  <c r="Q115" i="4"/>
  <c r="AF114" i="4"/>
  <c r="Y114" i="4"/>
  <c r="R114" i="4"/>
  <c r="Q114" i="4"/>
  <c r="AF113" i="4"/>
  <c r="Y113" i="4"/>
  <c r="R113" i="4"/>
  <c r="Q113" i="4"/>
  <c r="AF112" i="4"/>
  <c r="Y112" i="4"/>
  <c r="R112" i="4"/>
  <c r="Q112" i="4"/>
  <c r="AF111" i="4"/>
  <c r="Y111" i="4"/>
  <c r="R111" i="4"/>
  <c r="Q111" i="4"/>
  <c r="AF110" i="4"/>
  <c r="Y110" i="4"/>
  <c r="R110" i="4"/>
  <c r="Q110" i="4"/>
  <c r="AF109" i="4"/>
  <c r="Y109" i="4"/>
  <c r="R109" i="4"/>
  <c r="Q109" i="4"/>
  <c r="AF108" i="4"/>
  <c r="Y108" i="4"/>
  <c r="R108" i="4"/>
  <c r="Q108" i="4"/>
  <c r="AF107" i="4"/>
  <c r="Y107" i="4"/>
  <c r="R107" i="4"/>
  <c r="Q107" i="4"/>
  <c r="AF106" i="4"/>
  <c r="Y106" i="4"/>
  <c r="R106" i="4"/>
  <c r="Q106" i="4"/>
  <c r="AF105" i="4"/>
  <c r="Y105" i="4"/>
  <c r="R105" i="4"/>
  <c r="Q105" i="4"/>
  <c r="AF104" i="4"/>
  <c r="Y104" i="4"/>
  <c r="R104" i="4"/>
  <c r="Q104" i="4"/>
  <c r="AF103" i="4"/>
  <c r="Y103" i="4"/>
  <c r="R103" i="4"/>
  <c r="Q103" i="4"/>
  <c r="AF102" i="4"/>
  <c r="B83" i="5" s="1"/>
  <c r="E83" i="5" s="1"/>
  <c r="Y102" i="4"/>
  <c r="R102" i="4"/>
  <c r="Q102" i="4"/>
  <c r="AF101" i="4"/>
  <c r="B82" i="5" s="1"/>
  <c r="E82" i="5" s="1"/>
  <c r="Y101" i="4"/>
  <c r="R101" i="4"/>
  <c r="Q101" i="4"/>
  <c r="AF100" i="4"/>
  <c r="Y100" i="4"/>
  <c r="R100" i="4"/>
  <c r="Q100" i="4"/>
  <c r="AF99" i="4"/>
  <c r="Y99" i="4"/>
  <c r="R99" i="4"/>
  <c r="Q99" i="4"/>
  <c r="AF98" i="4"/>
  <c r="Y98" i="4"/>
  <c r="R98" i="4"/>
  <c r="Q98" i="4"/>
  <c r="AF97" i="4"/>
  <c r="Y97" i="4"/>
  <c r="R97" i="4"/>
  <c r="Q97" i="4"/>
  <c r="AF96" i="4"/>
  <c r="Y96" i="4"/>
  <c r="R96" i="4"/>
  <c r="Q96" i="4"/>
  <c r="AF95" i="4"/>
  <c r="Y95" i="4"/>
  <c r="R95" i="4"/>
  <c r="Q95" i="4"/>
  <c r="AF94" i="4"/>
  <c r="Y94" i="4"/>
  <c r="R94" i="4"/>
  <c r="Q94" i="4"/>
  <c r="AF93" i="4"/>
  <c r="Y93" i="4"/>
  <c r="R93" i="4"/>
  <c r="Q93" i="4"/>
  <c r="AF92" i="4"/>
  <c r="Y92" i="4"/>
  <c r="R92" i="4"/>
  <c r="Q92" i="4"/>
  <c r="AF91" i="4"/>
  <c r="Y91" i="4"/>
  <c r="R91" i="4"/>
  <c r="Q91" i="4"/>
  <c r="AF90" i="4"/>
  <c r="Y90" i="4"/>
  <c r="R90" i="4"/>
  <c r="Q90" i="4"/>
  <c r="AF89" i="4"/>
  <c r="Y89" i="4"/>
  <c r="R89" i="4"/>
  <c r="Q89" i="4"/>
  <c r="AF88" i="4"/>
  <c r="Y88" i="4"/>
  <c r="R88" i="4"/>
  <c r="Q88" i="4"/>
  <c r="AF87" i="4"/>
  <c r="Y87" i="4"/>
  <c r="R87" i="4"/>
  <c r="Q87" i="4"/>
  <c r="AF86" i="4"/>
  <c r="Y86" i="4"/>
  <c r="R86" i="4"/>
  <c r="Q86" i="4"/>
  <c r="AF85" i="4"/>
  <c r="Y85" i="4"/>
  <c r="R85" i="4"/>
  <c r="Q85" i="4"/>
  <c r="AF84" i="4"/>
  <c r="Y84" i="4"/>
  <c r="R84" i="4"/>
  <c r="Q84" i="4"/>
  <c r="AF83" i="4"/>
  <c r="Y83" i="4"/>
  <c r="R83" i="4"/>
  <c r="Q83" i="4"/>
  <c r="AF82" i="4"/>
  <c r="Y82" i="4"/>
  <c r="R82" i="4"/>
  <c r="Q82" i="4"/>
  <c r="AF81" i="4"/>
  <c r="Y81" i="4"/>
  <c r="R81" i="4"/>
  <c r="Q81" i="4"/>
  <c r="AF80" i="4"/>
  <c r="Y80" i="4"/>
  <c r="R80" i="4"/>
  <c r="Q80" i="4"/>
  <c r="AF79" i="4"/>
  <c r="Y79" i="4"/>
  <c r="R79" i="4"/>
  <c r="Q79" i="4"/>
  <c r="AF78" i="4"/>
  <c r="Y78" i="4"/>
  <c r="R78" i="4"/>
  <c r="Q78" i="4"/>
  <c r="AF77" i="4"/>
  <c r="Y77" i="4"/>
  <c r="R77" i="4"/>
  <c r="Q77" i="4"/>
  <c r="AF76" i="4"/>
  <c r="Y76" i="4"/>
  <c r="R76" i="4"/>
  <c r="Q76" i="4"/>
  <c r="AF75" i="4"/>
  <c r="Y75" i="4"/>
  <c r="R75" i="4"/>
  <c r="Q75" i="4"/>
  <c r="AF74" i="4"/>
  <c r="Y74" i="4"/>
  <c r="R74" i="4"/>
  <c r="Q74" i="4"/>
  <c r="AF73" i="4"/>
  <c r="Y73" i="4"/>
  <c r="R73" i="4"/>
  <c r="Q73" i="4"/>
  <c r="AF72" i="4"/>
  <c r="Y72" i="4"/>
  <c r="R72" i="4"/>
  <c r="Q72" i="4"/>
  <c r="AF71" i="4"/>
  <c r="Y71" i="4"/>
  <c r="R71" i="4"/>
  <c r="Q71" i="4"/>
  <c r="AF70" i="4"/>
  <c r="Y70" i="4"/>
  <c r="R70" i="4"/>
  <c r="Q70" i="4"/>
  <c r="AF69" i="4"/>
  <c r="Y69" i="4"/>
  <c r="R69" i="4"/>
  <c r="Q69" i="4"/>
  <c r="AF68" i="4"/>
  <c r="Y68" i="4"/>
  <c r="R68" i="4"/>
  <c r="Q68" i="4"/>
  <c r="AF67" i="4"/>
  <c r="Y67" i="4"/>
  <c r="R67" i="4"/>
  <c r="Q67" i="4"/>
  <c r="AF66" i="4"/>
  <c r="Y66" i="4"/>
  <c r="R66" i="4"/>
  <c r="Q66" i="4"/>
  <c r="AF65" i="4"/>
  <c r="Y65" i="4"/>
  <c r="R65" i="4"/>
  <c r="Q65" i="4"/>
  <c r="AF64" i="4"/>
  <c r="Y64" i="4"/>
  <c r="R64" i="4"/>
  <c r="Q64" i="4"/>
  <c r="AF63" i="4"/>
  <c r="Y63" i="4"/>
  <c r="R63" i="4"/>
  <c r="Q63" i="4"/>
  <c r="AF62" i="4"/>
  <c r="Y62" i="4"/>
  <c r="R62" i="4"/>
  <c r="Q62" i="4"/>
  <c r="AF61" i="4"/>
  <c r="Y61" i="4"/>
  <c r="R61" i="4"/>
  <c r="Q61" i="4"/>
  <c r="AF60" i="4"/>
  <c r="Y60" i="4"/>
  <c r="R60" i="4"/>
  <c r="Q60" i="4"/>
  <c r="AF59" i="4"/>
  <c r="Y59" i="4"/>
  <c r="R59" i="4"/>
  <c r="Q59" i="4"/>
  <c r="AF58" i="4"/>
  <c r="Y58" i="4"/>
  <c r="R58" i="4"/>
  <c r="Q58" i="4"/>
  <c r="AF57" i="4"/>
  <c r="Y57" i="4"/>
  <c r="R57" i="4"/>
  <c r="Q57" i="4"/>
  <c r="AF56" i="4"/>
  <c r="Y56" i="4"/>
  <c r="R56" i="4"/>
  <c r="Q56" i="4"/>
  <c r="AF55" i="4"/>
  <c r="Y55" i="4"/>
  <c r="R55" i="4"/>
  <c r="Q55" i="4"/>
  <c r="AF54" i="4"/>
  <c r="Y54" i="4"/>
  <c r="R54" i="4"/>
  <c r="Q54" i="4"/>
  <c r="AF53" i="4"/>
  <c r="Y53" i="4"/>
  <c r="R53" i="4"/>
  <c r="Q53" i="4"/>
  <c r="AF52" i="4"/>
  <c r="Y52" i="4"/>
  <c r="R52" i="4"/>
  <c r="Q52" i="4"/>
  <c r="AF51" i="4"/>
  <c r="Y51" i="4"/>
  <c r="R51" i="4"/>
  <c r="Q51" i="4"/>
  <c r="AF50" i="4"/>
  <c r="Y50" i="4"/>
  <c r="R50" i="4"/>
  <c r="Q50" i="4"/>
  <c r="AF49" i="4"/>
  <c r="Y49" i="4"/>
  <c r="R49" i="4"/>
  <c r="Q49" i="4"/>
  <c r="X48" i="4"/>
  <c r="AF48" i="4" s="1"/>
  <c r="R48" i="4"/>
  <c r="Q48" i="4"/>
  <c r="X47" i="4"/>
  <c r="AF47" i="4" s="1"/>
  <c r="R47" i="4"/>
  <c r="Q47" i="4"/>
  <c r="X46" i="4"/>
  <c r="AF46" i="4" s="1"/>
  <c r="R46" i="4"/>
  <c r="Q46" i="4"/>
  <c r="X45" i="4"/>
  <c r="Y45" i="4" s="1"/>
  <c r="R45" i="4"/>
  <c r="Q45" i="4"/>
  <c r="X44" i="4"/>
  <c r="AF44" i="4" s="1"/>
  <c r="R44" i="4"/>
  <c r="Q44" i="4"/>
  <c r="X43" i="4"/>
  <c r="AF43" i="4" s="1"/>
  <c r="R43" i="4"/>
  <c r="Q43" i="4"/>
  <c r="X42" i="4"/>
  <c r="Y42" i="4" s="1"/>
  <c r="R42" i="4"/>
  <c r="Q42" i="4"/>
  <c r="X41" i="4"/>
  <c r="Y41" i="4" s="1"/>
  <c r="R41" i="4"/>
  <c r="Q41" i="4"/>
  <c r="X40" i="4"/>
  <c r="Y40" i="4" s="1"/>
  <c r="R40" i="4"/>
  <c r="Q40" i="4"/>
  <c r="X39" i="4"/>
  <c r="Y39" i="4" s="1"/>
  <c r="R39" i="4"/>
  <c r="Q39" i="4"/>
  <c r="X38" i="4"/>
  <c r="Y38" i="4" s="1"/>
  <c r="R38" i="4"/>
  <c r="Q38" i="4"/>
  <c r="X37" i="4"/>
  <c r="Y37" i="4" s="1"/>
  <c r="R37" i="4"/>
  <c r="Q37" i="4"/>
  <c r="AF36" i="4"/>
  <c r="Y36" i="4"/>
  <c r="R36" i="4"/>
  <c r="Q36" i="4"/>
  <c r="X35" i="4"/>
  <c r="Y35" i="4" s="1"/>
  <c r="R35" i="4"/>
  <c r="Q35" i="4"/>
  <c r="X34" i="4"/>
  <c r="Y34" i="4" s="1"/>
  <c r="R34" i="4"/>
  <c r="Q34" i="4"/>
  <c r="X33" i="4"/>
  <c r="Y33" i="4" s="1"/>
  <c r="R33" i="4"/>
  <c r="Q33" i="4"/>
  <c r="X32" i="4"/>
  <c r="Y32" i="4" s="1"/>
  <c r="R32" i="4"/>
  <c r="Q32" i="4"/>
  <c r="AD31" i="4"/>
  <c r="X31" i="4"/>
  <c r="AF31" i="4" s="1"/>
  <c r="R31" i="4"/>
  <c r="Q31" i="4"/>
  <c r="X30" i="4"/>
  <c r="AF30" i="4" s="1"/>
  <c r="R30" i="4"/>
  <c r="Q30" i="4"/>
  <c r="X29" i="4"/>
  <c r="Y29" i="4" s="1"/>
  <c r="R29" i="4"/>
  <c r="Q29" i="4"/>
  <c r="X28" i="4"/>
  <c r="AF28" i="4" s="1"/>
  <c r="R28" i="4"/>
  <c r="Q28" i="4"/>
  <c r="X27" i="4"/>
  <c r="Y27" i="4" s="1"/>
  <c r="R27" i="4"/>
  <c r="Q27" i="4"/>
  <c r="X26" i="4"/>
  <c r="AF26" i="4" s="1"/>
  <c r="R26" i="4"/>
  <c r="Q26" i="4"/>
  <c r="X25" i="4"/>
  <c r="Y25" i="4" s="1"/>
  <c r="R25" i="4"/>
  <c r="Q25" i="4"/>
  <c r="X24" i="4"/>
  <c r="AF24" i="4" s="1"/>
  <c r="R24" i="4"/>
  <c r="Q24" i="4"/>
  <c r="X23" i="4"/>
  <c r="AF23" i="4" s="1"/>
  <c r="R23" i="4"/>
  <c r="Q23" i="4"/>
  <c r="X22" i="4"/>
  <c r="AF22" i="4" s="1"/>
  <c r="R22" i="4"/>
  <c r="Q22" i="4"/>
  <c r="X21" i="4"/>
  <c r="Y21" i="4" s="1"/>
  <c r="R21" i="4"/>
  <c r="Q21" i="4"/>
  <c r="X20" i="4"/>
  <c r="AF20" i="4" s="1"/>
  <c r="R20" i="4"/>
  <c r="Q20" i="4"/>
  <c r="X19" i="4"/>
  <c r="AF19" i="4" s="1"/>
  <c r="R19" i="4"/>
  <c r="Q19" i="4"/>
  <c r="X18" i="4"/>
  <c r="AF18" i="4" s="1"/>
  <c r="R18" i="4"/>
  <c r="Q18" i="4"/>
  <c r="X17" i="4"/>
  <c r="Y17" i="4" s="1"/>
  <c r="R17" i="4"/>
  <c r="Q17" i="4"/>
  <c r="X16" i="4"/>
  <c r="AF16" i="4" s="1"/>
  <c r="R16" i="4"/>
  <c r="Q16" i="4"/>
  <c r="X15" i="4"/>
  <c r="Y15" i="4" s="1"/>
  <c r="R15" i="4"/>
  <c r="Q15" i="4"/>
  <c r="X14" i="4"/>
  <c r="Y14" i="4" s="1"/>
  <c r="R14" i="4"/>
  <c r="Q14" i="4"/>
  <c r="AF13" i="4"/>
  <c r="Y13" i="4"/>
  <c r="R13" i="4"/>
  <c r="Q13" i="4"/>
  <c r="X12" i="4"/>
  <c r="Y12" i="4" s="1"/>
  <c r="R12" i="4"/>
  <c r="Q12" i="4"/>
  <c r="X11" i="4"/>
  <c r="Y11" i="4" s="1"/>
  <c r="R11" i="4"/>
  <c r="Q11" i="4"/>
  <c r="X10" i="4"/>
  <c r="Y10" i="4" s="1"/>
  <c r="R10" i="4"/>
  <c r="Q10" i="4"/>
  <c r="X9" i="4"/>
  <c r="AF9" i="4" s="1"/>
  <c r="R9" i="4"/>
  <c r="Q9" i="4"/>
  <c r="X8" i="4"/>
  <c r="Y8" i="4" s="1"/>
  <c r="R8" i="4"/>
  <c r="Q8" i="4"/>
  <c r="X7" i="4"/>
  <c r="AF7" i="4" s="1"/>
  <c r="R7" i="4"/>
  <c r="Q7" i="4"/>
  <c r="X6" i="4"/>
  <c r="AF6" i="4" s="1"/>
  <c r="R6" i="4"/>
  <c r="Q6" i="4"/>
  <c r="X5" i="4"/>
  <c r="AF5" i="4" s="1"/>
  <c r="R5" i="4"/>
  <c r="Q5" i="4"/>
  <c r="AF4" i="4"/>
  <c r="Y4" i="4"/>
  <c r="R4" i="4"/>
  <c r="Q4" i="4"/>
  <c r="AF3" i="4"/>
  <c r="Y3" i="4"/>
  <c r="R3" i="4"/>
  <c r="Q3" i="4"/>
  <c r="AF2" i="4"/>
  <c r="Y2" i="4"/>
  <c r="R2" i="4"/>
  <c r="Q2" i="4"/>
  <c r="C89" i="5" l="1"/>
  <c r="E89" i="5" s="1"/>
  <c r="B21" i="5"/>
  <c r="V6" i="1" s="1"/>
  <c r="B24" i="5"/>
  <c r="V9" i="1" s="1"/>
  <c r="B34" i="5"/>
  <c r="AF445" i="4"/>
  <c r="B28" i="5"/>
  <c r="AF424" i="4"/>
  <c r="AF446" i="4"/>
  <c r="AF38" i="4"/>
  <c r="AF147" i="4"/>
  <c r="AF42" i="4"/>
  <c r="C76" i="5"/>
  <c r="AF14" i="4"/>
  <c r="AF120" i="4"/>
  <c r="AF281" i="4"/>
  <c r="AF440" i="4"/>
  <c r="B30" i="5"/>
  <c r="AF34" i="4"/>
  <c r="Y422" i="4"/>
  <c r="B31" i="5"/>
  <c r="AF35" i="4"/>
  <c r="Y269" i="4"/>
  <c r="AF33" i="4"/>
  <c r="Y450" i="4"/>
  <c r="AF436" i="4"/>
  <c r="AF27" i="4"/>
  <c r="AF171" i="4"/>
  <c r="D80" i="5"/>
  <c r="AF277" i="4"/>
  <c r="AF431" i="4"/>
  <c r="AF11" i="4"/>
  <c r="AF40" i="4"/>
  <c r="Y46" i="4"/>
  <c r="AF435" i="4"/>
  <c r="Y438" i="4"/>
  <c r="B20" i="5"/>
  <c r="V5" i="1" s="1"/>
  <c r="AF21" i="4"/>
  <c r="AF448" i="4"/>
  <c r="AF455" i="4"/>
  <c r="B29" i="5"/>
  <c r="Y18" i="4"/>
  <c r="AF25" i="4"/>
  <c r="Y134" i="4"/>
  <c r="AF447" i="4"/>
  <c r="AF12" i="4"/>
  <c r="AF32" i="4"/>
  <c r="AF41" i="4"/>
  <c r="Y44" i="4"/>
  <c r="AF439" i="4"/>
  <c r="Y452" i="4"/>
  <c r="B78" i="5"/>
  <c r="AF159" i="4"/>
  <c r="Y420" i="4"/>
  <c r="Y26" i="4"/>
  <c r="AF128" i="4"/>
  <c r="C81" i="5"/>
  <c r="Y16" i="4"/>
  <c r="AF45" i="4"/>
  <c r="AF265" i="4"/>
  <c r="B23" i="5"/>
  <c r="V8" i="1" s="1"/>
  <c r="B27" i="5"/>
  <c r="Y9" i="4"/>
  <c r="AF17" i="4"/>
  <c r="Y20" i="4"/>
  <c r="AF37" i="4"/>
  <c r="AF133" i="4"/>
  <c r="Y139" i="4"/>
  <c r="Y151" i="4"/>
  <c r="Y163" i="4"/>
  <c r="Y247" i="4"/>
  <c r="Y259" i="4"/>
  <c r="AF268" i="4"/>
  <c r="AF280" i="4"/>
  <c r="Y298" i="4"/>
  <c r="AF421" i="4"/>
  <c r="D35" i="5"/>
  <c r="B76" i="5"/>
  <c r="AF29" i="4"/>
  <c r="D76" i="5"/>
  <c r="D78" i="5"/>
  <c r="C80" i="5"/>
  <c r="AF124" i="4"/>
  <c r="AF130" i="4"/>
  <c r="AF142" i="4"/>
  <c r="Y145" i="4"/>
  <c r="AF154" i="4"/>
  <c r="Y157" i="4"/>
  <c r="AF166" i="4"/>
  <c r="Y169" i="4"/>
  <c r="AF250" i="4"/>
  <c r="Y253" i="4"/>
  <c r="AF262" i="4"/>
  <c r="Y271" i="4"/>
  <c r="Y283" i="4"/>
  <c r="AF289" i="4"/>
  <c r="Y292" i="4"/>
  <c r="B81" i="5"/>
  <c r="E81" i="5" s="1"/>
  <c r="AF427" i="4"/>
  <c r="AF433" i="4"/>
  <c r="B80" i="5"/>
  <c r="AF15" i="4"/>
  <c r="AF419" i="4"/>
  <c r="AF451" i="4"/>
  <c r="B25" i="5"/>
  <c r="V10" i="1" s="1"/>
  <c r="AF10" i="4"/>
  <c r="Y30" i="4"/>
  <c r="C78" i="5"/>
  <c r="AF119" i="4"/>
  <c r="Y125" i="4"/>
  <c r="AF140" i="4"/>
  <c r="Y143" i="4"/>
  <c r="AF146" i="4"/>
  <c r="AF152" i="4"/>
  <c r="Y155" i="4"/>
  <c r="AF158" i="4"/>
  <c r="AF164" i="4"/>
  <c r="Y167" i="4"/>
  <c r="AF170" i="4"/>
  <c r="AF248" i="4"/>
  <c r="Y251" i="4"/>
  <c r="AF254" i="4"/>
  <c r="AF260" i="4"/>
  <c r="AF272" i="4"/>
  <c r="Y275" i="4"/>
  <c r="AF284" i="4"/>
  <c r="Y290" i="4"/>
  <c r="AF293" i="4"/>
  <c r="Y428" i="4"/>
  <c r="Y434" i="4"/>
  <c r="AF443" i="4"/>
  <c r="D79" i="5"/>
  <c r="E79" i="5" s="1"/>
  <c r="B26" i="5"/>
  <c r="V11" i="1" s="1"/>
  <c r="C5" i="5"/>
  <c r="B5" i="5" s="1"/>
  <c r="AF8" i="4"/>
  <c r="Y22" i="4"/>
  <c r="Y28" i="4"/>
  <c r="Y129" i="4"/>
  <c r="AF138" i="4"/>
  <c r="AF150" i="4"/>
  <c r="AF162" i="4"/>
  <c r="AF246" i="4"/>
  <c r="AF258" i="4"/>
  <c r="AF297" i="4"/>
  <c r="Y432" i="4"/>
  <c r="H51" i="5"/>
  <c r="I46" i="5" s="1"/>
  <c r="Y5" i="4"/>
  <c r="AF39" i="4"/>
  <c r="Y123" i="4"/>
  <c r="AF135" i="4"/>
  <c r="Y141" i="4"/>
  <c r="Y153" i="4"/>
  <c r="Y165" i="4"/>
  <c r="Y249" i="4"/>
  <c r="Y255" i="4"/>
  <c r="Y261" i="4"/>
  <c r="AF270" i="4"/>
  <c r="Y273" i="4"/>
  <c r="AF276" i="4"/>
  <c r="AF282" i="4"/>
  <c r="Y285" i="4"/>
  <c r="Y288" i="4"/>
  <c r="Y294" i="4"/>
  <c r="AF423" i="4"/>
  <c r="Y426" i="4"/>
  <c r="Y444" i="4"/>
  <c r="B32" i="5"/>
  <c r="E87" i="5"/>
  <c r="E84" i="5"/>
  <c r="E90" i="5"/>
  <c r="Y19" i="4"/>
  <c r="Y31" i="4"/>
  <c r="Y43" i="4"/>
  <c r="Y122" i="4"/>
  <c r="Y144" i="4"/>
  <c r="Y156" i="4"/>
  <c r="Y168" i="4"/>
  <c r="Y252" i="4"/>
  <c r="Y274" i="4"/>
  <c r="Y286" i="4"/>
  <c r="Y291" i="4"/>
  <c r="Y425" i="4"/>
  <c r="Y437" i="4"/>
  <c r="Y449" i="4"/>
  <c r="Y7" i="4"/>
  <c r="Y24" i="4"/>
  <c r="Y48" i="4"/>
  <c r="Y127" i="4"/>
  <c r="Y132" i="4"/>
  <c r="Y137" i="4"/>
  <c r="Y149" i="4"/>
  <c r="Y161" i="4"/>
  <c r="Y245" i="4"/>
  <c r="Y257" i="4"/>
  <c r="Y267" i="4"/>
  <c r="Y279" i="4"/>
  <c r="Y296" i="4"/>
  <c r="Y418" i="4"/>
  <c r="Y430" i="4"/>
  <c r="Y442" i="4"/>
  <c r="Y454" i="4"/>
  <c r="H19" i="5"/>
  <c r="V19" i="1"/>
  <c r="C22" i="5"/>
  <c r="B22" i="5" s="1"/>
  <c r="V7" i="1" s="1"/>
  <c r="H36" i="5"/>
  <c r="H39" i="5" s="1"/>
  <c r="B12" i="5"/>
  <c r="Y6" i="4"/>
  <c r="Y23" i="4"/>
  <c r="Y47" i="4"/>
  <c r="Y126" i="4"/>
  <c r="Y148" i="4"/>
  <c r="Y160" i="4"/>
  <c r="Y244" i="4"/>
  <c r="Y256" i="4"/>
  <c r="Y266" i="4"/>
  <c r="Y278" i="4"/>
  <c r="Y295" i="4"/>
  <c r="Y417" i="4"/>
  <c r="Y429" i="4"/>
  <c r="Y441" i="4"/>
  <c r="Y453" i="4"/>
  <c r="H57" i="5"/>
  <c r="H72" i="5" l="1"/>
  <c r="B77" i="5"/>
  <c r="E77" i="5" s="1"/>
  <c r="E80" i="5"/>
  <c r="C92" i="5"/>
  <c r="D92" i="5"/>
  <c r="H69" i="5"/>
  <c r="E78" i="5"/>
  <c r="I47" i="5"/>
  <c r="E76" i="5"/>
  <c r="I50" i="5"/>
  <c r="I49" i="5"/>
  <c r="F5" i="5"/>
  <c r="K6" i="1" s="1"/>
  <c r="E6" i="1"/>
  <c r="H68" i="5"/>
  <c r="I48" i="5"/>
  <c r="H67" i="5"/>
  <c r="I5" i="5"/>
  <c r="N6" i="1" s="1"/>
  <c r="I38" i="5"/>
  <c r="I32" i="5"/>
  <c r="I37" i="5"/>
  <c r="I33" i="5"/>
  <c r="I35" i="5"/>
  <c r="I34" i="5"/>
  <c r="H66" i="5"/>
  <c r="H70" i="5"/>
  <c r="C35" i="5"/>
  <c r="B35" i="5"/>
  <c r="B6" i="1"/>
  <c r="H5" i="5"/>
  <c r="B11" i="5"/>
  <c r="D12" i="5" s="1"/>
  <c r="I36" i="5"/>
  <c r="H60" i="5"/>
  <c r="H28" i="5"/>
  <c r="B14" i="5"/>
  <c r="I19" i="5"/>
  <c r="V13" i="1"/>
  <c r="I51" i="5" l="1"/>
  <c r="B92" i="5"/>
  <c r="E92" i="5"/>
  <c r="I23" i="5"/>
  <c r="I20" i="5"/>
  <c r="I22" i="5"/>
  <c r="I24" i="5"/>
  <c r="I21" i="5"/>
  <c r="I27" i="5"/>
  <c r="I26" i="5"/>
  <c r="I25" i="5"/>
  <c r="H71" i="5"/>
  <c r="I70" i="5" s="1"/>
  <c r="I58" i="5"/>
  <c r="I56" i="5"/>
  <c r="I59" i="5"/>
  <c r="I57" i="5"/>
  <c r="D11" i="5"/>
  <c r="I39" i="5"/>
  <c r="I28" i="5" l="1"/>
  <c r="I60" i="5"/>
  <c r="I69" i="5"/>
  <c r="I68" i="5"/>
  <c r="I67" i="5"/>
  <c r="I66" i="5"/>
  <c r="I71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<sst xmlns="http://schemas.openxmlformats.org/spreadsheetml/2006/main" count="88392" uniqueCount="3135">
  <si>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</si>
  <si>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</si>
  <si>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</si>
  <si>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</si>
  <si>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</si>
  <si>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</si>
  <si>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</si>
  <si>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</si>
  <si>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</si>
  <si>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</si>
  <si>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</si>
  <si>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</si>
  <si>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</si>
  <si>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</si>
  <si>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</si>
  <si>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</si>
  <si>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</si>
  <si>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</si>
  <si>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</si>
  <si>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</si>
  <si>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</si>
  <si>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</si>
  <si>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</si>
  <si>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</si>
  <si>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</si>
  <si>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</si>
  <si>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</si>
  <si>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</si>
  <si>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May Closed Flag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</si>
  <si>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</si>
  <si>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</si>
  <si>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</si>
  <si>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</si>
  <si>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</si>
  <si>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</si>
  <si>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</si>
  <si>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</si>
  <si>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</si>
  <si>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</si>
  <si>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</si>
  <si>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</si>
  <si>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</si>
  <si>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</si>
  <si>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</si>
  <si>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</si>
  <si>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</si>
  <si>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</si>
  <si>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</si>
  <si>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</si>
  <si>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</si>
  <si>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</si>
  <si>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</si>
  <si>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</si>
  <si>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First Energy</t>
  </si>
  <si>
    <t>Utility and C&amp;I</t>
  </si>
  <si>
    <t>Mr. Gaurav</t>
  </si>
  <si>
    <t>PE25032601</t>
  </si>
  <si>
    <t>Module Defects</t>
  </si>
  <si>
    <t>Rajkot</t>
  </si>
  <si>
    <t>Gujarat</t>
  </si>
  <si>
    <t xml:space="preserve">hotspot found </t>
  </si>
  <si>
    <t>Hotspot</t>
  </si>
  <si>
    <t>NSMP2409546021</t>
  </si>
  <si>
    <t xml:space="preserve">Multi Cell Hotspot </t>
  </si>
  <si>
    <t>Inspection</t>
  </si>
  <si>
    <t>Rejected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</si>
  <si>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</si>
  <si>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</si>
  <si>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</si>
  <si>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</si>
  <si>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</si>
  <si>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</si>
  <si>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</si>
  <si>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</si>
  <si>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>WIP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</si>
  <si>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</si>
  <si>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</si>
  <si>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</si>
  <si>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</si>
  <si>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</si>
  <si>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</si>
  <si>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</si>
  <si>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</si>
  <si>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</si>
  <si>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</si>
  <si>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</si>
  <si>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</si>
  <si>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</si>
  <si>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</si>
  <si>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</si>
  <si>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</si>
  <si>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</si>
  <si>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</si>
  <si>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</si>
  <si>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</si>
  <si>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</si>
  <si>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</si>
  <si>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</si>
  <si>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</si>
  <si>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</si>
  <si>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</si>
  <si>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</si>
  <si>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</si>
  <si>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</si>
  <si>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</si>
  <si>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</si>
  <si>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</si>
  <si>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</si>
  <si>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</si>
  <si>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</si>
  <si>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</si>
  <si>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</si>
  <si>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</si>
  <si>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</si>
  <si>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 Energy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</si>
  <si>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</si>
  <si>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</si>
  <si>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</si>
  <si>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</si>
  <si>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</si>
  <si>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</si>
  <si>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</si>
  <si>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</si>
  <si>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</si>
  <si>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</si>
  <si>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</si>
  <si>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</si>
  <si>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</si>
  <si>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</si>
  <si>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P JB Issue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</si>
  <si>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</si>
  <si>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</si>
  <si>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</si>
  <si>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</si>
  <si>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</si>
  <si>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</si>
  <si>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</si>
  <si>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</si>
  <si>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</si>
  <si>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</si>
  <si>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</si>
  <si>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</si>
  <si>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</si>
  <si>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</si>
  <si>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</si>
  <si>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</si>
  <si>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</si>
  <si>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</si>
  <si>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</si>
  <si>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</si>
  <si>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</si>
  <si>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</si>
  <si>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</si>
  <si>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</si>
  <si>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</si>
  <si>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</si>
  <si>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</si>
  <si>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</si>
  <si>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</si>
  <si>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</si>
  <si>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</si>
  <si>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</si>
  <si>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</si>
  <si>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</si>
  <si>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</si>
  <si>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</si>
  <si>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</si>
  <si>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</si>
  <si>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</si>
  <si>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</si>
  <si>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</si>
  <si>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</si>
  <si>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</si>
  <si>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</si>
  <si>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</si>
  <si>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</si>
  <si>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</si>
  <si>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</si>
  <si>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</si>
  <si>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</si>
  <si>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</si>
  <si>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</si>
  <si>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</si>
  <si>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</si>
  <si>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</si>
  <si>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</si>
  <si>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</si>
  <si>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</si>
  <si>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Cell Contamination</t>
  </si>
  <si>
    <t>NSM210446420</t>
  </si>
  <si>
    <t>RA GREEN ENERGks</t>
  </si>
  <si>
    <t>Channel Sales</t>
  </si>
  <si>
    <t>Kumar Tale</t>
  </si>
  <si>
    <t>PE31032602</t>
  </si>
  <si>
    <t>MC 4 Connector Burn</t>
  </si>
  <si>
    <t>Nagpur</t>
  </si>
  <si>
    <t>Found okay</t>
  </si>
  <si>
    <t>No Issue</t>
  </si>
  <si>
    <t>NSMP25050188956</t>
  </si>
  <si>
    <t>G2TB</t>
  </si>
  <si>
    <t>No Issue Found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</si>
  <si>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</si>
  <si>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</si>
  <si>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</si>
  <si>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</si>
  <si>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</si>
  <si>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</si>
  <si>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</si>
  <si>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</si>
  <si>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</si>
  <si>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</si>
  <si>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</si>
  <si>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</si>
  <si>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</si>
  <si>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</si>
  <si>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</si>
  <si>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</si>
  <si>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</si>
  <si>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</si>
  <si>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</si>
  <si>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</si>
  <si>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</si>
  <si>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</si>
  <si>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</si>
  <si>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</si>
  <si>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</si>
  <si>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</si>
  <si>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</si>
  <si>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</si>
  <si>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</si>
  <si>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</si>
  <si>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</si>
  <si>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</si>
  <si>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</si>
  <si>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</si>
  <si>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cell burn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</si>
  <si>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</si>
  <si>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</si>
  <si>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</si>
  <si>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</si>
  <si>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</si>
  <si>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</si>
  <si>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</si>
  <si>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</si>
  <si>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</si>
  <si>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</si>
  <si>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</si>
  <si>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</si>
  <si>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</si>
  <si>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</si>
  <si>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</si>
  <si>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</si>
  <si>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</si>
  <si>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</si>
  <si>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</si>
  <si>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</si>
  <si>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</si>
  <si>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</si>
  <si>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</si>
  <si>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</si>
  <si>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</si>
  <si>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</si>
  <si>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</si>
  <si>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</si>
  <si>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</si>
  <si>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</si>
  <si>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</si>
  <si>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</si>
  <si>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</si>
  <si>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</si>
  <si>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</si>
  <si>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</si>
  <si>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</si>
  <si>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</si>
  <si>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</si>
  <si>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</si>
  <si>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</si>
  <si>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</si>
  <si>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</si>
  <si>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</si>
  <si>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</si>
  <si>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</si>
  <si>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</si>
  <si>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</si>
  <si>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</si>
  <si>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</si>
  <si>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</si>
  <si>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</si>
  <si>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</si>
  <si>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</si>
  <si>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</si>
  <si>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</si>
  <si>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</si>
  <si>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</si>
  <si>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</si>
  <si>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</si>
  <si>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</si>
  <si>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</si>
  <si>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</si>
  <si>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</si>
  <si>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</si>
  <si>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</si>
  <si>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</si>
  <si>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</si>
  <si>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Both Glass Broken</t>
  </si>
  <si>
    <t>Glass Breakage</t>
  </si>
  <si>
    <t>NSMI24050064954</t>
  </si>
  <si>
    <t>Both Side Glass Breakage</t>
  </si>
  <si>
    <t>NSMI24050064599</t>
  </si>
  <si>
    <t>NSMI24050057589</t>
  </si>
  <si>
    <t>NSMI24050057259</t>
  </si>
  <si>
    <t>Glass Broken &amp; Burn Spot</t>
  </si>
  <si>
    <t>NSMI24050053859</t>
  </si>
  <si>
    <t>Glass Breakage &amp; Burn Spot</t>
  </si>
  <si>
    <t>NSMI24050063310</t>
  </si>
  <si>
    <t>NSMI24050057514</t>
  </si>
  <si>
    <t>Ok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</si>
  <si>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</si>
  <si>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</si>
  <si>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</si>
  <si>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</si>
  <si>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</si>
  <si>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</si>
  <si>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</si>
  <si>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</si>
  <si>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</si>
  <si>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</si>
  <si>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</si>
  <si>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</si>
  <si>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</si>
  <si>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</si>
  <si>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</si>
  <si>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</si>
  <si>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</si>
  <si>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</si>
  <si>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</si>
  <si>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</si>
  <si>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</si>
  <si>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</si>
  <si>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</si>
  <si>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</si>
  <si>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</si>
  <si>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</si>
  <si>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True Sun Trading Company</t>
  </si>
  <si>
    <t>Joel Jacob</t>
  </si>
  <si>
    <t>PE27042603</t>
  </si>
  <si>
    <t xml:space="preserve">Panel Blast </t>
  </si>
  <si>
    <t>CHANGANASSERRY</t>
  </si>
  <si>
    <t>Kerala</t>
  </si>
  <si>
    <t>No Visit</t>
  </si>
  <si>
    <t>Tab lead Burn</t>
  </si>
  <si>
    <t>NSMP25080647747</t>
  </si>
  <si>
    <t>CN</t>
  </si>
  <si>
    <t>Replacement</t>
  </si>
  <si>
    <t>Solar Square</t>
  </si>
  <si>
    <t>Murali</t>
  </si>
  <si>
    <t>PE26032602</t>
  </si>
  <si>
    <t>Multiple Defects Identified</t>
  </si>
  <si>
    <t>Hyderabad</t>
  </si>
  <si>
    <t>Telangana</t>
  </si>
  <si>
    <t>Improper Ribbon Soldering</t>
  </si>
  <si>
    <t>NSMP25121224541</t>
  </si>
  <si>
    <t>CN / Replacement</t>
  </si>
  <si>
    <t>Forign Particle - Cell Piece</t>
  </si>
  <si>
    <t>NSMP25121227616</t>
  </si>
  <si>
    <t>Cell Chip</t>
  </si>
  <si>
    <t>NSMP26021318226</t>
  </si>
  <si>
    <t>Cell Crack</t>
  </si>
  <si>
    <t>NSMP26011281494</t>
  </si>
  <si>
    <t>PE30042601</t>
  </si>
  <si>
    <t>JB Melting</t>
  </si>
  <si>
    <t>Kanpur</t>
  </si>
  <si>
    <t>N JB Burn marks observed</t>
  </si>
  <si>
    <t>NSMP26011281961</t>
  </si>
  <si>
    <t>PE29042602</t>
  </si>
  <si>
    <t>JB improper fixing</t>
  </si>
  <si>
    <t>Jabalpur</t>
  </si>
  <si>
    <t>MP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</si>
  <si>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</si>
  <si>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</si>
  <si>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</si>
  <si>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</si>
  <si>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</si>
  <si>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</si>
  <si>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</si>
  <si>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</si>
  <si>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</si>
  <si>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</si>
  <si>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</si>
  <si>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</si>
  <si>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</si>
  <si>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</si>
  <si>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</si>
  <si>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</si>
  <si>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</si>
  <si>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</si>
  <si>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</si>
  <si>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</si>
  <si>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</si>
  <si>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</si>
  <si>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</si>
  <si>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</si>
  <si>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</si>
  <si>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NSMP2301326148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</si>
  <si>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</si>
  <si>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</si>
  <si>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</si>
  <si>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</si>
  <si>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</si>
  <si>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</si>
  <si>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</si>
  <si>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</si>
  <si>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</si>
  <si>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</si>
  <si>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</si>
  <si>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</si>
  <si>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</si>
  <si>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</si>
  <si>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</si>
  <si>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</si>
  <si>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</si>
  <si>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</si>
  <si>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</si>
  <si>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</si>
  <si>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</si>
  <si>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</si>
  <si>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</si>
  <si>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</si>
  <si>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</si>
  <si>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</si>
  <si>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</si>
  <si>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</si>
  <si>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</si>
  <si>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</si>
  <si>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</si>
  <si>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</si>
  <si>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</si>
  <si>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</si>
  <si>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</si>
  <si>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</si>
  <si>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</si>
  <si>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</si>
  <si>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</si>
  <si>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</si>
  <si>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</si>
  <si>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</si>
  <si>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</si>
  <si>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</si>
  <si>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</si>
  <si>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</si>
  <si>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</si>
  <si>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</si>
  <si>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</si>
  <si>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</si>
  <si>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</si>
  <si>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</si>
  <si>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</si>
  <si>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</si>
  <si>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</si>
  <si>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</si>
  <si>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</si>
  <si>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</si>
  <si>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</si>
  <si>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</si>
  <si>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</si>
  <si>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</si>
  <si>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</si>
  <si>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</si>
  <si>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</si>
  <si>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</si>
  <si>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</si>
  <si>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</si>
  <si>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</si>
  <si>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</si>
  <si>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</si>
  <si>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</si>
  <si>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</si>
  <si>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</si>
  <si>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</si>
  <si>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</si>
  <si>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</si>
  <si>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</si>
  <si>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</si>
  <si>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</si>
  <si>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PMS</t>
  </si>
  <si>
    <t>NSMI24060101027</t>
  </si>
  <si>
    <t>P &amp; M JB Cold Soldering</t>
  </si>
  <si>
    <t>NSMI24060101202</t>
  </si>
  <si>
    <t>NSMI24060100596</t>
  </si>
  <si>
    <t>NSMI24060100939</t>
  </si>
  <si>
    <t>SILRES Energy Solutions Private Limited</t>
  </si>
  <si>
    <t>Bharath Gokul C</t>
  </si>
  <si>
    <t>PE5052601</t>
  </si>
  <si>
    <t>Burn Marks</t>
  </si>
  <si>
    <t>Chennai</t>
  </si>
  <si>
    <t>Tamil Nadu</t>
  </si>
  <si>
    <t>NSMP24050485627</t>
  </si>
  <si>
    <t>Sarath Ananda</t>
  </si>
  <si>
    <t>PE18022602</t>
  </si>
  <si>
    <t>Trivandram</t>
  </si>
  <si>
    <t>NSMP2304026350</t>
  </si>
  <si>
    <t>PE20022602</t>
  </si>
  <si>
    <t>Thrissur</t>
  </si>
  <si>
    <t>NSMP2309611339</t>
  </si>
  <si>
    <t>PE24042601</t>
  </si>
  <si>
    <t>Snail Trail issue</t>
  </si>
  <si>
    <t>TRIVANDRAM</t>
  </si>
  <si>
    <t>Air entrapment during the lamination process</t>
  </si>
  <si>
    <t>NSMG26031760548</t>
  </si>
  <si>
    <t>PE24042602</t>
  </si>
  <si>
    <t>Insect Inside and Busbar Rust</t>
  </si>
  <si>
    <t>Aesthetic</t>
  </si>
  <si>
    <t>NSMP26021346925</t>
  </si>
  <si>
    <t>Prime Pack</t>
  </si>
  <si>
    <t>Aesthetic Issue</t>
  </si>
  <si>
    <t>PE26022602</t>
  </si>
  <si>
    <t>Indore</t>
  </si>
  <si>
    <t>JB moved</t>
  </si>
  <si>
    <t>NSMP25121229015</t>
  </si>
  <si>
    <t>N JB Improper fixing</t>
  </si>
  <si>
    <t>NSMP25121241454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</si>
  <si>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</si>
  <si>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</si>
  <si>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</si>
  <si>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</si>
  <si>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</si>
  <si>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</si>
  <si>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</si>
  <si>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</si>
  <si>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</si>
  <si>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</si>
  <si>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</si>
  <si>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</si>
  <si>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</si>
  <si>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</si>
  <si>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</si>
  <si>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</si>
  <si>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</si>
  <si>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</si>
  <si>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</si>
  <si>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</si>
  <si>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</si>
  <si>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</si>
  <si>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</si>
  <si>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</si>
  <si>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</si>
  <si>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</si>
  <si>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</si>
  <si>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</si>
  <si>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</si>
  <si>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</si>
  <si>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</si>
  <si>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</si>
  <si>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</si>
  <si>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</si>
  <si>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</si>
  <si>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</si>
  <si>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</si>
  <si>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</si>
  <si>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</si>
  <si>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</si>
  <si>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</si>
  <si>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</si>
  <si>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</si>
  <si>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</si>
  <si>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</si>
  <si>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</si>
  <si>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</si>
  <si>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</si>
  <si>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</si>
  <si>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</si>
  <si>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</si>
  <si>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</si>
  <si>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</si>
  <si>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</si>
  <si>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</si>
  <si>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</si>
  <si>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</si>
  <si>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</si>
  <si>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</si>
  <si>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</si>
  <si>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</si>
  <si>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</si>
  <si>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</si>
  <si>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</si>
  <si>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</si>
  <si>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</si>
  <si>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</si>
  <si>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</si>
  <si>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</si>
  <si>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</si>
  <si>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</si>
  <si>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</si>
  <si>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</si>
  <si>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</si>
  <si>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</si>
  <si>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</si>
  <si>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</si>
  <si>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</si>
  <si>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</si>
  <si>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</si>
  <si>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</si>
  <si>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</si>
  <si>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</si>
  <si>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</si>
  <si>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</si>
  <si>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</si>
  <si>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</si>
  <si>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</si>
  <si>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</si>
  <si>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</si>
  <si>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</si>
  <si>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</si>
  <si>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NSMP2212285462</t>
  </si>
  <si>
    <t>NSMP2301295194</t>
  </si>
  <si>
    <t>NSMI24060105868</t>
  </si>
  <si>
    <t>NSMI24050044919</t>
  </si>
  <si>
    <t>NSMI24050052640</t>
  </si>
  <si>
    <t>NSMI24050052624</t>
  </si>
  <si>
    <t>NSMI24050044900</t>
  </si>
  <si>
    <t>N JB Cold Soldering &amp; Glass Breakage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</si>
  <si>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</si>
  <si>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</si>
  <si>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</si>
  <si>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</si>
  <si>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</si>
  <si>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</si>
  <si>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</si>
  <si>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</si>
  <si>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</si>
  <si>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</si>
  <si>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</si>
  <si>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</si>
  <si>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</si>
  <si>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</si>
  <si>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</si>
  <si>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</si>
  <si>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</si>
  <si>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</si>
  <si>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</si>
  <si>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</si>
  <si>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</si>
  <si>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</si>
  <si>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</si>
  <si>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</si>
  <si>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</si>
  <si>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</si>
  <si>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</si>
  <si>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</si>
  <si>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</si>
  <si>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</si>
  <si>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</si>
  <si>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</si>
  <si>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</si>
  <si>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</si>
  <si>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</si>
  <si>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</si>
  <si>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</si>
  <si>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</si>
  <si>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</si>
  <si>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</si>
  <si>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</si>
  <si>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</si>
  <si>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</si>
  <si>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</si>
  <si>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</si>
  <si>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</si>
  <si>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</si>
  <si>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</si>
  <si>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</si>
  <si>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</si>
  <si>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</si>
  <si>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</si>
  <si>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</si>
  <si>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</si>
  <si>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</si>
  <si>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</si>
  <si>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</si>
  <si>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</si>
  <si>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</si>
  <si>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</si>
  <si>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</si>
  <si>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</si>
  <si>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</si>
  <si>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</si>
  <si>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</si>
  <si>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</si>
  <si>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</si>
  <si>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</si>
  <si>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</si>
  <si>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</si>
  <si>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</si>
  <si>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 xml:space="preserve">PNS 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</si>
  <si>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</si>
  <si>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</si>
  <si>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</si>
  <si>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</si>
  <si>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</si>
  <si>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</si>
  <si>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</si>
  <si>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</si>
  <si>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</si>
  <si>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</si>
  <si>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</si>
  <si>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</si>
  <si>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</si>
  <si>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</si>
  <si>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</si>
  <si>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</si>
  <si>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</si>
  <si>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</si>
  <si>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</si>
  <si>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</si>
  <si>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>NSMI24060126652</t>
  </si>
  <si>
    <t>NSMI24060106612</t>
  </si>
  <si>
    <t>NSMI24060106553</t>
  </si>
  <si>
    <t xml:space="preserve">PR 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</si>
  <si>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</si>
  <si>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</si>
  <si>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</si>
  <si>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</si>
  <si>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</si>
  <si>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</si>
  <si>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</si>
  <si>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</si>
  <si>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</si>
  <si>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</si>
  <si>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</si>
  <si>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</si>
  <si>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</si>
  <si>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</si>
  <si>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</si>
  <si>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</si>
  <si>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</si>
  <si>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</si>
  <si>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</si>
  <si>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</si>
  <si>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</si>
  <si>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</si>
  <si>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</si>
  <si>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</si>
  <si>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</si>
  <si>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</si>
  <si>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</si>
  <si>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</si>
  <si>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</si>
  <si>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</si>
  <si>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</si>
  <si>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</si>
  <si>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</si>
  <si>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</si>
  <si>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</si>
  <si>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</si>
  <si>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</si>
  <si>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</si>
  <si>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</si>
  <si>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</si>
  <si>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</si>
  <si>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</si>
  <si>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</si>
  <si>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</si>
  <si>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</si>
  <si>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</si>
  <si>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</si>
  <si>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</si>
  <si>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</si>
  <si>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</si>
  <si>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</si>
  <si>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</si>
  <si>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</si>
  <si>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</si>
  <si>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</si>
  <si>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</si>
  <si>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</si>
  <si>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</si>
  <si>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</si>
  <si>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</si>
  <si>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</si>
  <si>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</si>
  <si>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</si>
  <si>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</si>
  <si>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</si>
  <si>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</si>
  <si>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</si>
  <si>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</si>
  <si>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</si>
  <si>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</si>
  <si>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</si>
  <si>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</si>
  <si>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</si>
  <si>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</si>
  <si>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</si>
  <si>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</si>
  <si>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</si>
  <si>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</si>
  <si>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</si>
  <si>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</si>
  <si>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</si>
  <si>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</si>
  <si>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</si>
  <si>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</si>
  <si>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</si>
  <si>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</si>
  <si>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</si>
  <si>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</si>
  <si>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</si>
  <si>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</si>
  <si>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</si>
  <si>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</si>
  <si>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</si>
  <si>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</si>
  <si>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</si>
  <si>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</si>
  <si>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</si>
  <si>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</si>
  <si>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</si>
  <si>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</si>
  <si>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</si>
  <si>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</si>
  <si>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</si>
  <si>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</si>
  <si>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</si>
  <si>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</si>
  <si>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</si>
  <si>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</si>
  <si>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</si>
  <si>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</si>
  <si>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</si>
  <si>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</si>
  <si>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</si>
  <si>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</si>
  <si>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</si>
  <si>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</si>
  <si>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</si>
  <si>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</si>
  <si>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</si>
  <si>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</si>
  <si>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</si>
  <si>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</si>
  <si>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</si>
  <si>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</si>
  <si>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</si>
  <si>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</si>
  <si>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</si>
  <si>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</si>
  <si>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</si>
  <si>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</si>
  <si>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</si>
  <si>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</si>
  <si>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</si>
  <si>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</si>
  <si>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</si>
  <si>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</si>
  <si>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</si>
  <si>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</si>
  <si>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</si>
  <si>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</si>
  <si>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</si>
  <si>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</si>
  <si>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</si>
  <si>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</si>
  <si>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</si>
  <si>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</si>
  <si>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</si>
  <si>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</si>
  <si>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</si>
  <si>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</si>
  <si>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</si>
  <si>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</si>
  <si>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</si>
  <si>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</si>
  <si>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</si>
  <si>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</si>
  <si>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</si>
  <si>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</si>
  <si>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</si>
  <si>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</si>
  <si>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</si>
  <si>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</si>
  <si>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>Yanara Power</t>
  </si>
  <si>
    <t xml:space="preserve">Ashish Jindal </t>
  </si>
  <si>
    <t>PE01052601</t>
  </si>
  <si>
    <t>Multiple Issues</t>
  </si>
  <si>
    <t>Holi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</si>
  <si>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</si>
  <si>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</si>
  <si>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</si>
  <si>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</si>
  <si>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</si>
  <si>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</si>
  <si>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</si>
  <si>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P JB Cold Soldering &amp; Back Glass Broken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</si>
  <si>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</si>
  <si>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</si>
  <si>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</si>
  <si>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</si>
  <si>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</si>
  <si>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</si>
  <si>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</si>
  <si>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</si>
  <si>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</si>
  <si>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</si>
  <si>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</si>
  <si>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</si>
  <si>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</si>
  <si>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</si>
  <si>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</si>
  <si>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</si>
  <si>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</si>
  <si>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</si>
  <si>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</si>
  <si>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 Company</t>
  </si>
  <si>
    <t>Anisha</t>
  </si>
  <si>
    <t>PE12052604</t>
  </si>
  <si>
    <t>Module Burnt</t>
  </si>
  <si>
    <t xml:space="preserve"> Sangli</t>
  </si>
  <si>
    <t>MC4 connectors damaged</t>
  </si>
  <si>
    <t>NSMP24122090183</t>
  </si>
  <si>
    <t>Improper connection between the module-side MC4 and the string output MC4</t>
  </si>
  <si>
    <t>Cresta solar</t>
  </si>
  <si>
    <t>Shashank Sir</t>
  </si>
  <si>
    <t>PE07052601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</si>
  <si>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</si>
  <si>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</si>
  <si>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</si>
  <si>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</si>
  <si>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</si>
  <si>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</si>
  <si>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</si>
  <si>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</si>
  <si>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</si>
  <si>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</si>
  <si>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</si>
  <si>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</si>
  <si>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</si>
  <si>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</si>
  <si>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</si>
  <si>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</si>
  <si>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</si>
  <si>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</si>
  <si>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</si>
  <si>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</si>
  <si>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</si>
  <si>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</si>
  <si>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</si>
  <si>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</si>
  <si>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</si>
  <si>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</si>
  <si>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</si>
  <si>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</si>
  <si>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</si>
  <si>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</si>
  <si>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</si>
  <si>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</si>
  <si>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</si>
  <si>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</si>
  <si>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</si>
  <si>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</si>
  <si>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</si>
  <si>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</si>
  <si>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</si>
  <si>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</si>
  <si>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</si>
  <si>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</si>
  <si>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</si>
  <si>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</si>
  <si>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</si>
  <si>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</si>
  <si>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</si>
  <si>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</si>
  <si>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</si>
  <si>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</si>
  <si>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</si>
  <si>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</si>
  <si>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</si>
  <si>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</si>
  <si>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</si>
  <si>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</si>
  <si>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</si>
  <si>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</si>
  <si>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</si>
  <si>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</si>
  <si>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</si>
  <si>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</si>
  <si>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</si>
  <si>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</si>
  <si>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</si>
  <si>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</si>
  <si>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</si>
  <si>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</si>
  <si>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</si>
  <si>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</si>
  <si>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</si>
  <si>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</si>
  <si>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</si>
  <si>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</si>
  <si>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</si>
  <si>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</si>
  <si>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</si>
  <si>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</si>
  <si>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</si>
  <si>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</si>
  <si>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</si>
  <si>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</si>
  <si>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</si>
  <si>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</si>
  <si>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</si>
  <si>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</si>
  <si>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</si>
  <si>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</si>
  <si>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</si>
  <si>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</si>
  <si>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</si>
  <si>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</si>
  <si>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</si>
  <si>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</si>
  <si>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</si>
  <si>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</si>
  <si>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</si>
  <si>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</si>
  <si>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</si>
  <si>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</si>
  <si>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</si>
  <si>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</si>
  <si>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</si>
  <si>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</si>
  <si>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</si>
  <si>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</si>
  <si>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</si>
  <si>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</si>
  <si>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</si>
  <si>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</si>
  <si>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</si>
  <si>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</si>
  <si>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</si>
  <si>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</si>
  <si>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</si>
  <si>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</si>
  <si>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</si>
  <si>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</si>
  <si>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</si>
  <si>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</si>
  <si>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</si>
  <si>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</si>
  <si>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</si>
  <si>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</si>
  <si>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</si>
  <si>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</si>
  <si>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</si>
  <si>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</si>
  <si>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</si>
  <si>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</si>
  <si>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</si>
  <si>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</si>
  <si>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</si>
  <si>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</si>
  <si>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</si>
  <si>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</si>
  <si>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</si>
  <si>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</si>
  <si>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</si>
  <si>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</si>
  <si>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</si>
  <si>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</si>
  <si>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</si>
  <si>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</si>
  <si>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</si>
  <si>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P JB Cold Soldering &amp; Glass Breakage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</si>
  <si>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</si>
  <si>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</si>
  <si>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</si>
  <si>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</si>
  <si>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</si>
  <si>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</si>
  <si>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</si>
  <si>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</si>
  <si>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</si>
  <si>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</si>
  <si>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</si>
  <si>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</si>
  <si>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</si>
  <si>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</si>
  <si>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</si>
  <si>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</si>
  <si>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</si>
  <si>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</si>
  <si>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</si>
  <si>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</si>
  <si>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</si>
  <si>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</si>
  <si>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</si>
  <si>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</si>
  <si>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</si>
  <si>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</si>
  <si>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</si>
  <si>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</si>
  <si>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</si>
  <si>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</si>
  <si>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</si>
  <si>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</si>
  <si>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</si>
  <si>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</si>
  <si>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</si>
  <si>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</si>
  <si>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</si>
  <si>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PE27042601</t>
  </si>
  <si>
    <t>NSMP2211207221</t>
  </si>
  <si>
    <t>PE27042602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</si>
  <si>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</si>
  <si>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</si>
  <si>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</si>
  <si>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</si>
  <si>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</si>
  <si>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</si>
  <si>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</si>
  <si>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</si>
  <si>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</si>
  <si>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</si>
  <si>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</si>
  <si>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P JB Issue &amp; Glass Breakage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</si>
  <si>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</si>
  <si>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</si>
  <si>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</si>
  <si>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</si>
  <si>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</si>
  <si>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</si>
  <si>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</si>
  <si>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</si>
  <si>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</si>
  <si>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</si>
  <si>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</si>
  <si>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</si>
  <si>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</si>
  <si>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</si>
  <si>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</si>
  <si>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</si>
  <si>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</si>
  <si>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</si>
  <si>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PNR</t>
  </si>
  <si>
    <t>NSMI24060079186</t>
  </si>
  <si>
    <t>P &amp; N JB Issue &amp; Glass Breakage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</si>
  <si>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</si>
  <si>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</si>
  <si>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</si>
  <si>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</si>
  <si>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</si>
  <si>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</si>
  <si>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</si>
  <si>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</si>
  <si>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</si>
  <si>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</si>
  <si>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</si>
  <si>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</si>
  <si>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</si>
  <si>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</si>
  <si>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</si>
  <si>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</si>
  <si>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</si>
  <si>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</si>
  <si>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</si>
  <si>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</si>
  <si>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</si>
  <si>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</si>
  <si>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</si>
  <si>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</si>
  <si>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</si>
  <si>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</si>
  <si>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</si>
  <si>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</si>
  <si>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</si>
  <si>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</si>
  <si>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</si>
  <si>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</si>
  <si>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</si>
  <si>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</si>
  <si>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</si>
  <si>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</si>
  <si>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</si>
  <si>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</si>
  <si>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</si>
  <si>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</si>
  <si>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</si>
  <si>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</si>
  <si>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</si>
  <si>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</si>
  <si>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</si>
  <si>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</si>
  <si>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</si>
  <si>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</si>
  <si>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</si>
  <si>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</si>
  <si>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</si>
  <si>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</si>
  <si>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</si>
  <si>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</si>
  <si>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</si>
  <si>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</si>
  <si>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</si>
  <si>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</si>
  <si>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</si>
  <si>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</si>
  <si>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</si>
  <si>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</si>
  <si>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</si>
  <si>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</si>
  <si>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</si>
  <si>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</si>
  <si>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</si>
  <si>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</si>
  <si>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</si>
  <si>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</si>
  <si>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</si>
  <si>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</si>
  <si>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</si>
  <si>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</si>
  <si>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</si>
  <si>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</si>
  <si>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</si>
  <si>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</si>
  <si>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</si>
  <si>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</si>
  <si>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</si>
  <si>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</si>
  <si>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</si>
  <si>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</si>
  <si>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</si>
  <si>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</si>
  <si>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</si>
  <si>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</si>
  <si>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</si>
  <si>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</si>
  <si>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</si>
  <si>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</si>
  <si>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</si>
  <si>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</si>
  <si>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</si>
  <si>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</si>
  <si>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</si>
  <si>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</si>
  <si>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</si>
  <si>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</si>
  <si>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</si>
  <si>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</si>
  <si>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</si>
  <si>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</si>
  <si>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</si>
  <si>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</si>
  <si>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</si>
  <si>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</si>
  <si>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</si>
  <si>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</si>
  <si>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</si>
  <si>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</si>
  <si>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</si>
  <si>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</si>
  <si>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</si>
  <si>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</si>
  <si>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</si>
  <si>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</si>
  <si>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</si>
  <si>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</si>
  <si>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</si>
  <si>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</si>
  <si>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</si>
  <si>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</si>
  <si>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</si>
  <si>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</si>
  <si>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</si>
  <si>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</si>
  <si>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</si>
  <si>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</si>
  <si>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</si>
  <si>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</si>
  <si>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OK</t>
  </si>
  <si>
    <t>NSMI24060145392</t>
  </si>
  <si>
    <t>No Issue Found &amp; Glass Breakage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</si>
  <si>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</si>
  <si>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</si>
  <si>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</si>
  <si>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</si>
  <si>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</si>
  <si>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</si>
  <si>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</si>
  <si>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</si>
  <si>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</si>
  <si>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</si>
  <si>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</si>
  <si>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</si>
  <si>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</si>
  <si>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</si>
  <si>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</si>
  <si>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</si>
  <si>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</si>
  <si>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</si>
  <si>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</si>
  <si>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</si>
  <si>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</si>
  <si>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</si>
  <si>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</si>
  <si>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</si>
  <si>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</si>
  <si>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</si>
  <si>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</si>
  <si>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</si>
  <si>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</si>
  <si>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</si>
  <si>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</si>
  <si>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</si>
  <si>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</si>
  <si>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</si>
  <si>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</si>
  <si>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</si>
  <si>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</si>
  <si>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</si>
  <si>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</si>
  <si>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</si>
  <si>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</si>
  <si>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</si>
  <si>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</si>
  <si>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</si>
  <si>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</si>
  <si>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</si>
  <si>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</si>
  <si>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</si>
  <si>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</si>
  <si>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</si>
  <si>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</si>
  <si>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</si>
  <si>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</si>
  <si>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</si>
  <si>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</si>
  <si>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</si>
  <si>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</si>
  <si>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</si>
  <si>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</si>
  <si>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</si>
  <si>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</si>
  <si>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</si>
  <si>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</si>
  <si>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</si>
  <si>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</si>
  <si>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</si>
  <si>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</si>
  <si>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</si>
  <si>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</si>
  <si>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</si>
  <si>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</si>
  <si>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</si>
  <si>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</si>
  <si>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</si>
  <si>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</si>
  <si>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</si>
  <si>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</si>
  <si>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</si>
  <si>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</si>
  <si>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</si>
  <si>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</si>
  <si>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</si>
  <si>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</si>
  <si>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</si>
  <si>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P &amp; N JB Cold Soldering &amp; Glass Breakage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</si>
  <si>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</si>
  <si>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</si>
  <si>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</si>
  <si>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</si>
  <si>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</si>
  <si>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</si>
  <si>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</si>
  <si>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</si>
  <si>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</si>
  <si>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</si>
  <si>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</si>
  <si>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</si>
  <si>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</si>
  <si>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</si>
  <si>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</si>
  <si>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</si>
  <si>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</si>
  <si>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</si>
  <si>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</si>
  <si>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</si>
  <si>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</si>
  <si>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</si>
  <si>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</si>
  <si>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</si>
  <si>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</si>
  <si>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</si>
  <si>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</si>
  <si>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</si>
  <si>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</si>
  <si>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</si>
  <si>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</si>
  <si>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</si>
  <si>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</si>
  <si>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</si>
  <si>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</si>
  <si>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</si>
  <si>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</si>
  <si>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</si>
  <si>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</si>
  <si>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</si>
  <si>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</si>
  <si>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</si>
  <si>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</si>
  <si>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</si>
  <si>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</si>
  <si>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</si>
  <si>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</si>
  <si>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</si>
  <si>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</si>
  <si>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</si>
  <si>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</si>
  <si>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</si>
  <si>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</si>
  <si>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</si>
  <si>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</si>
  <si>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</si>
  <si>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</si>
  <si>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</si>
  <si>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</si>
  <si>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</si>
  <si>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</si>
  <si>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</si>
  <si>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</si>
  <si>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</si>
  <si>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</si>
  <si>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</si>
  <si>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</si>
  <si>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</si>
  <si>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</si>
  <si>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</si>
  <si>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</si>
  <si>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</si>
  <si>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</si>
  <si>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</si>
  <si>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</si>
  <si>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</si>
  <si>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</si>
  <si>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</si>
  <si>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</si>
  <si>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</si>
  <si>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</si>
  <si>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</si>
  <si>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 JB Cold Soldering &amp; Cell Burn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</si>
  <si>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</si>
  <si>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</si>
  <si>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</si>
  <si>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</si>
  <si>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</si>
  <si>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</si>
  <si>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</si>
  <si>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</si>
  <si>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</si>
  <si>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</si>
  <si>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</si>
  <si>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</si>
  <si>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</si>
  <si>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</si>
  <si>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</si>
  <si>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</si>
  <si>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</si>
  <si>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</si>
  <si>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</si>
  <si>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</si>
  <si>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</si>
  <si>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</si>
  <si>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</si>
  <si>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</si>
  <si>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</si>
  <si>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</si>
  <si>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</si>
  <si>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</si>
  <si>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</si>
  <si>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</si>
  <si>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 xml:space="preserve">Burning Module </t>
  </si>
  <si>
    <t>Module Burn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</si>
  <si>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</si>
  <si>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</si>
  <si>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</si>
  <si>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</si>
  <si>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</si>
  <si>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</si>
  <si>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</si>
  <si>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</si>
  <si>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</si>
  <si>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</si>
  <si>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</si>
  <si>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</si>
  <si>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</si>
  <si>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</si>
  <si>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</si>
  <si>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</si>
  <si>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</si>
  <si>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</si>
  <si>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</si>
  <si>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</si>
  <si>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</si>
  <si>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</si>
  <si>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</si>
  <si>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</si>
  <si>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</si>
  <si>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</si>
  <si>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</si>
  <si>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</si>
  <si>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</si>
  <si>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</si>
  <si>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</si>
  <si>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</si>
  <si>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</si>
  <si>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</si>
  <si>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</si>
  <si>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</si>
  <si>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</si>
  <si>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</si>
  <si>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</si>
  <si>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</si>
  <si>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</si>
  <si>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</si>
  <si>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</si>
  <si>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</si>
  <si>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</si>
  <si>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</si>
  <si>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</si>
  <si>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</si>
  <si>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</si>
  <si>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</si>
  <si>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</si>
  <si>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</si>
  <si>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</si>
  <si>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</si>
  <si>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</si>
  <si>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</si>
  <si>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</si>
  <si>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</si>
  <si>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</si>
  <si>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</si>
  <si>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</si>
  <si>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</si>
  <si>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</si>
  <si>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</si>
  <si>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</si>
  <si>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</si>
  <si>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</si>
  <si>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</si>
  <si>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</si>
  <si>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</si>
  <si>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</si>
  <si>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</si>
  <si>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</si>
  <si>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</si>
  <si>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</si>
  <si>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</si>
  <si>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</si>
  <si>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</si>
  <si>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</si>
  <si>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</si>
  <si>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</si>
  <si>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</si>
  <si>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</si>
  <si>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</si>
  <si>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</si>
  <si>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</si>
  <si>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</si>
  <si>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</si>
  <si>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</si>
  <si>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</si>
  <si>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</si>
  <si>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</si>
  <si>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</si>
  <si>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</si>
  <si>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</si>
  <si>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</si>
  <si>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</si>
  <si>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</si>
  <si>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</si>
  <si>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</si>
  <si>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</si>
  <si>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</si>
  <si>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</si>
  <si>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</si>
  <si>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</si>
  <si>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</si>
  <si>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</si>
  <si>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</si>
  <si>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</si>
  <si>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</si>
  <si>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</si>
  <si>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</si>
  <si>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Akshay Ravi </t>
  </si>
  <si>
    <t>PE16052601</t>
  </si>
  <si>
    <t>Manufacturing Defect</t>
  </si>
  <si>
    <t>Kovvuru</t>
  </si>
  <si>
    <t>Andhra Pradesh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</si>
  <si>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</si>
  <si>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</si>
  <si>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</si>
  <si>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</si>
  <si>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</si>
  <si>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</si>
  <si>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</si>
  <si>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</si>
  <si>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</si>
  <si>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</si>
  <si>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</si>
  <si>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</si>
  <si>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</si>
  <si>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</si>
  <si>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</si>
  <si>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</si>
  <si>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</si>
  <si>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</si>
  <si>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</si>
  <si>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</si>
  <si>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</si>
  <si>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</si>
  <si>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</si>
  <si>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</si>
  <si>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</si>
  <si>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</si>
  <si>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All JB Issue &amp; Glass Breakage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</si>
  <si>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</si>
  <si>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</si>
  <si>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</si>
  <si>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</si>
  <si>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</si>
  <si>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</si>
  <si>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</si>
  <si>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</si>
  <si>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</si>
  <si>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</si>
  <si>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</si>
  <si>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</si>
  <si>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</si>
  <si>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</si>
  <si>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</si>
  <si>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</si>
  <si>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</si>
  <si>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</si>
  <si>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</si>
  <si>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</si>
  <si>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</si>
  <si>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</si>
  <si>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</si>
  <si>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</si>
  <si>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</si>
  <si>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</si>
  <si>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</si>
  <si>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</si>
  <si>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</si>
  <si>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</si>
  <si>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</si>
  <si>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</si>
  <si>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</si>
  <si>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</si>
  <si>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</si>
  <si>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</si>
  <si>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</si>
  <si>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</si>
  <si>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</si>
  <si>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</si>
  <si>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</si>
  <si>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</si>
  <si>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</si>
  <si>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</si>
  <si>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</si>
  <si>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</si>
  <si>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</si>
  <si>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</si>
  <si>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</si>
  <si>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</si>
  <si>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</si>
  <si>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</si>
  <si>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</si>
  <si>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</si>
  <si>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</si>
  <si>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</si>
  <si>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</si>
  <si>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</si>
  <si>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</si>
  <si>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</si>
  <si>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</si>
  <si>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</si>
  <si>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</si>
  <si>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</si>
  <si>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</si>
  <si>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</si>
  <si>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</si>
  <si>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</si>
  <si>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</si>
  <si>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</si>
  <si>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</si>
  <si>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</si>
  <si>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</si>
  <si>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</si>
  <si>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</si>
  <si>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</si>
  <si>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</si>
  <si>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</si>
  <si>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</si>
  <si>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</si>
  <si>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</si>
  <si>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</si>
  <si>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</si>
  <si>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</si>
  <si>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</si>
  <si>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</si>
  <si>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</si>
  <si>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</si>
  <si>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</si>
  <si>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</si>
  <si>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</si>
  <si>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</si>
  <si>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</si>
  <si>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</si>
  <si>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</si>
  <si>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</si>
  <si>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</si>
  <si>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</si>
  <si>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</si>
  <si>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</si>
  <si>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</si>
  <si>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</si>
  <si>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</si>
  <si>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</si>
  <si>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</si>
  <si>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</si>
  <si>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</si>
  <si>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PE20052601</t>
  </si>
  <si>
    <t>Backsheet dent</t>
  </si>
  <si>
    <t>Pune</t>
  </si>
  <si>
    <t>NSMP25090818043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</si>
  <si>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</si>
  <si>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</si>
  <si>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</si>
  <si>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</si>
  <si>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</si>
  <si>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</si>
  <si>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</si>
  <si>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PMR</t>
  </si>
  <si>
    <t>NSMI24060156428</t>
  </si>
  <si>
    <t>P &amp; M JB Issue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</si>
  <si>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</si>
  <si>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</si>
  <si>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</si>
  <si>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</si>
  <si>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</si>
  <si>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</si>
  <si>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</si>
  <si>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</si>
  <si>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</si>
  <si>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</si>
  <si>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</si>
  <si>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</si>
  <si>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</si>
  <si>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</si>
  <si>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</si>
  <si>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</si>
  <si>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</si>
  <si>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</si>
  <si>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</si>
  <si>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</si>
  <si>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</si>
  <si>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</si>
  <si>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</si>
  <si>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</si>
  <si>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</si>
  <si>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</si>
  <si>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</si>
  <si>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</si>
  <si>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</si>
  <si>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</si>
  <si>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</si>
  <si>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</si>
  <si>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</si>
  <si>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</si>
  <si>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</si>
  <si>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</si>
  <si>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</si>
  <si>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</si>
  <si>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</si>
  <si>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</si>
  <si>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</si>
  <si>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</si>
  <si>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</si>
  <si>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</si>
  <si>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</si>
  <si>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</si>
  <si>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</si>
  <si>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</si>
  <si>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</si>
  <si>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</si>
  <si>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</si>
  <si>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</si>
  <si>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</si>
  <si>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</si>
  <si>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</si>
  <si>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</si>
  <si>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</si>
  <si>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</si>
  <si>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</si>
  <si>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</si>
  <si>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</si>
  <si>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</si>
  <si>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</si>
  <si>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</si>
  <si>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</si>
  <si>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</si>
  <si>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</si>
  <si>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</si>
  <si>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</si>
  <si>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</si>
  <si>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</si>
  <si>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</si>
  <si>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</si>
  <si>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</si>
  <si>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</si>
  <si>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</si>
  <si>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</si>
  <si>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</si>
  <si>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</si>
  <si>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</si>
  <si>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</si>
  <si>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</si>
  <si>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</si>
  <si>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</si>
  <si>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</si>
  <si>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</si>
  <si>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</si>
  <si>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</si>
  <si>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</si>
  <si>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</si>
  <si>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</si>
  <si>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</si>
  <si>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</si>
  <si>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</si>
  <si>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</si>
  <si>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</si>
  <si>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</si>
  <si>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</si>
  <si>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</si>
  <si>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</si>
  <si>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</si>
  <si>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</si>
  <si>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</si>
  <si>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</si>
  <si>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</si>
  <si>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AS</t>
  </si>
  <si>
    <t>NSMI24060075390</t>
  </si>
  <si>
    <t>All JB Cold Soldering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</si>
  <si>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</si>
  <si>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</si>
  <si>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</si>
  <si>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</si>
  <si>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</si>
  <si>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</si>
  <si>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</si>
  <si>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</si>
  <si>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</si>
  <si>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</si>
  <si>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</si>
  <si>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</si>
  <si>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</si>
  <si>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</si>
  <si>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</si>
  <si>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</si>
  <si>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</si>
  <si>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</si>
  <si>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</si>
  <si>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</si>
  <si>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</si>
  <si>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</si>
  <si>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</si>
  <si>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</si>
  <si>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</si>
  <si>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</si>
  <si>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</si>
  <si>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</si>
  <si>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</si>
  <si>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</si>
  <si>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</si>
  <si>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</si>
  <si>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</si>
  <si>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</si>
  <si>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</si>
  <si>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</si>
  <si>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</si>
  <si>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</si>
  <si>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</si>
  <si>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</si>
  <si>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</si>
  <si>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</si>
  <si>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</si>
  <si>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</si>
  <si>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</si>
  <si>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</si>
  <si>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</si>
  <si>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</si>
  <si>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</si>
  <si>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</si>
  <si>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</si>
  <si>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</si>
  <si>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</si>
  <si>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</si>
  <si>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</si>
  <si>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</si>
  <si>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</si>
  <si>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</si>
  <si>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</si>
  <si>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</si>
  <si>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</si>
  <si>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</si>
  <si>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</si>
  <si>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</si>
  <si>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</si>
  <si>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</si>
  <si>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</si>
  <si>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</si>
  <si>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</si>
  <si>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</si>
  <si>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</si>
  <si>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</si>
  <si>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</si>
  <si>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</si>
  <si>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</si>
  <si>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</si>
  <si>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</si>
  <si>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</si>
  <si>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</si>
  <si>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</si>
  <si>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</si>
  <si>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</si>
  <si>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</si>
  <si>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</si>
  <si>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</si>
  <si>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</si>
  <si>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</si>
  <si>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</si>
  <si>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</si>
  <si>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</si>
  <si>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</si>
  <si>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</si>
  <si>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</si>
  <si>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</si>
  <si>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</si>
  <si>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</si>
  <si>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</si>
  <si>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</si>
  <si>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</si>
  <si>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</si>
  <si>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</si>
  <si>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</si>
  <si>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</si>
  <si>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</si>
  <si>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</si>
  <si>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</si>
  <si>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</si>
  <si>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</si>
  <si>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</si>
  <si>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</si>
  <si>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</si>
  <si>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</si>
  <si>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</si>
  <si>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</si>
  <si>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</si>
  <si>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</si>
  <si>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All JB Issue &amp; JB Reverse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</si>
  <si>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</si>
  <si>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</si>
  <si>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</si>
  <si>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</si>
  <si>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</si>
  <si>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</si>
  <si>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</si>
  <si>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</si>
  <si>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</si>
  <si>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</si>
  <si>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</si>
  <si>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NMS</t>
  </si>
  <si>
    <t>NSMI24070223696</t>
  </si>
  <si>
    <t>N &amp; M JB Cold Soldering</t>
  </si>
  <si>
    <t>NSMI24070231559</t>
  </si>
  <si>
    <t>NSMI24070231571</t>
  </si>
  <si>
    <t>Continuum</t>
  </si>
  <si>
    <t>Amiya Ranjan Behera</t>
  </si>
  <si>
    <t>PE06052602</t>
  </si>
  <si>
    <t>Diode Bypass Module Issue</t>
  </si>
  <si>
    <t>Bhavnagar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</si>
  <si>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</si>
  <si>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</si>
  <si>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</si>
  <si>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</si>
  <si>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</si>
  <si>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</si>
  <si>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</si>
  <si>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</si>
  <si>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</si>
  <si>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</si>
  <si>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</si>
  <si>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</si>
  <si>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</si>
  <si>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</si>
  <si>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</si>
  <si>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</si>
  <si>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</si>
  <si>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</si>
  <si>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</si>
  <si>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</si>
  <si>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</si>
  <si>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</si>
  <si>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</si>
  <si>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</si>
  <si>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</si>
  <si>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</si>
  <si>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</si>
  <si>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</si>
  <si>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</si>
  <si>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</si>
  <si>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</si>
  <si>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</si>
  <si>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</si>
  <si>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</si>
  <si>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</si>
  <si>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</si>
  <si>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</si>
  <si>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</si>
  <si>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</si>
  <si>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</si>
  <si>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</si>
  <si>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</si>
  <si>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</si>
  <si>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</si>
  <si>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</si>
  <si>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</si>
  <si>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</si>
  <si>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</si>
  <si>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</si>
  <si>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</si>
  <si>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</si>
  <si>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</si>
  <si>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MR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</si>
  <si>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</si>
  <si>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</si>
  <si>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</si>
  <si>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</si>
  <si>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</si>
  <si>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</si>
  <si>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</si>
  <si>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</si>
  <si>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</si>
  <si>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</si>
  <si>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</si>
  <si>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</si>
  <si>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</si>
  <si>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</si>
  <si>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</si>
  <si>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</si>
  <si>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</si>
  <si>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</si>
  <si>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</si>
  <si>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</si>
  <si>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</si>
  <si>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</si>
  <si>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</si>
  <si>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</si>
  <si>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</si>
  <si>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</si>
  <si>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</si>
  <si>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</si>
  <si>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</si>
  <si>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</si>
  <si>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</si>
  <si>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</si>
  <si>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</si>
  <si>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</si>
  <si>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</si>
  <si>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</si>
  <si>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</si>
  <si>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</si>
  <si>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</si>
  <si>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</si>
  <si>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</si>
  <si>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</si>
  <si>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</si>
  <si>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</si>
  <si>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</si>
  <si>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</si>
  <si>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</si>
  <si>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</si>
  <si>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</si>
  <si>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</si>
  <si>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</si>
  <si>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</si>
  <si>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</si>
  <si>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</si>
  <si>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</si>
  <si>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</si>
  <si>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</si>
  <si>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</si>
  <si>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</si>
  <si>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</si>
  <si>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</si>
  <si>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</si>
  <si>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</si>
  <si>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</si>
  <si>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</si>
  <si>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</si>
  <si>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</si>
  <si>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</si>
  <si>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</si>
  <si>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</si>
  <si>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</si>
  <si>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</si>
  <si>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</si>
  <si>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</si>
  <si>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</si>
  <si>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</si>
  <si>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</si>
  <si>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</si>
  <si>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</si>
  <si>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</si>
  <si>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</si>
  <si>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</si>
  <si>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</si>
  <si>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</si>
  <si>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</si>
  <si>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</si>
  <si>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</si>
  <si>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</si>
  <si>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</si>
  <si>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</si>
  <si>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</si>
  <si>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</si>
  <si>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</si>
  <si>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</si>
  <si>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</si>
  <si>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</si>
  <si>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</si>
  <si>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</si>
  <si>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</si>
  <si>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</si>
  <si>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</si>
  <si>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</si>
  <si>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</si>
  <si>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</si>
  <si>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</si>
  <si>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</si>
  <si>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</si>
  <si>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</si>
  <si>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</si>
  <si>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</si>
  <si>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</si>
  <si>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</si>
  <si>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</si>
  <si>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</si>
  <si>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</si>
  <si>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</si>
  <si>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</si>
  <si>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</si>
  <si>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</si>
  <si>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</si>
  <si>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</si>
  <si>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</si>
  <si>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</si>
  <si>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</si>
  <si>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</si>
  <si>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</si>
  <si>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</si>
  <si>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</si>
  <si>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</si>
  <si>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</si>
  <si>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</si>
  <si>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</si>
  <si>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</si>
  <si>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</si>
  <si>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</si>
  <si>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</si>
  <si>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</si>
  <si>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</si>
  <si>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</si>
  <si>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</si>
  <si>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</si>
  <si>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</si>
  <si>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</si>
  <si>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</si>
  <si>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</si>
  <si>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</si>
  <si>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</si>
  <si>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</si>
  <si>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</si>
  <si>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</si>
  <si>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</si>
  <si>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</si>
  <si>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</si>
  <si>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</si>
  <si>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</si>
  <si>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</si>
  <si>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</si>
  <si>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</si>
  <si>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</si>
  <si>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</si>
  <si>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</si>
  <si>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</si>
  <si>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</si>
  <si>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</si>
  <si>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</si>
  <si>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</si>
  <si>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</si>
  <si>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</si>
  <si>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</si>
  <si>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</si>
  <si>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</si>
  <si>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</si>
  <si>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</si>
  <si>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</si>
  <si>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</si>
  <si>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</si>
  <si>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</si>
  <si>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</si>
  <si>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</si>
  <si>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</si>
  <si>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</si>
  <si>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</si>
  <si>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</si>
  <si>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PE23052601</t>
  </si>
  <si>
    <t>Low generation</t>
  </si>
  <si>
    <t>Kochi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</si>
  <si>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</si>
  <si>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</si>
  <si>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</si>
  <si>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</si>
  <si>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</si>
  <si>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</si>
  <si>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</si>
  <si>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</si>
  <si>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</si>
  <si>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</si>
  <si>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</si>
  <si>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</si>
  <si>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</si>
  <si>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</si>
  <si>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</si>
  <si>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</si>
  <si>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</si>
  <si>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</si>
  <si>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</si>
  <si>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</si>
  <si>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</si>
  <si>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</si>
  <si>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</si>
  <si>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</si>
  <si>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</si>
  <si>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</si>
  <si>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</si>
  <si>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</si>
  <si>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BUSBAR OPEN</t>
  </si>
  <si>
    <t>String Busbar Open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</si>
  <si>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</si>
  <si>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</si>
  <si>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</si>
  <si>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</si>
  <si>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</si>
  <si>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</si>
  <si>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</si>
  <si>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</si>
  <si>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</si>
  <si>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</si>
  <si>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</si>
  <si>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</si>
  <si>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</si>
  <si>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</si>
  <si>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</si>
  <si>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</si>
  <si>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</si>
  <si>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</si>
  <si>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</si>
  <si>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</si>
  <si>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</si>
  <si>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</si>
  <si>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</si>
  <si>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</si>
  <si>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</si>
  <si>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</si>
  <si>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</si>
  <si>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</si>
  <si>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</si>
  <si>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</si>
  <si>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</si>
  <si>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</si>
  <si>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</si>
  <si>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</si>
  <si>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Sunrise Technologies</t>
  </si>
  <si>
    <t>MURALI NARAYANA RAO KURAPATI</t>
  </si>
  <si>
    <t>PE06052603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</si>
  <si>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</si>
  <si>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</si>
  <si>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</si>
  <si>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</si>
  <si>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</si>
  <si>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</si>
  <si>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</si>
  <si>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</si>
  <si>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</si>
  <si>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</si>
  <si>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</si>
  <si>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</si>
  <si>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</si>
  <si>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</si>
  <si>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</si>
  <si>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</si>
  <si>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</si>
  <si>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</si>
  <si>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</si>
  <si>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</si>
  <si>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</si>
  <si>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</si>
  <si>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</si>
  <si>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</si>
  <si>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P &amp; N JB Issue</t>
  </si>
  <si>
    <t>NSMP2305129624</t>
  </si>
  <si>
    <t>NSMP2305121845</t>
  </si>
  <si>
    <t>NSMP2305131077</t>
  </si>
  <si>
    <t>NSMP2305130123</t>
  </si>
  <si>
    <t>NSMP2305129899</t>
  </si>
  <si>
    <t>PE20052603</t>
  </si>
  <si>
    <t>TRIVANDRUM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</si>
  <si>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</si>
  <si>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</si>
  <si>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</si>
  <si>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</si>
  <si>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</si>
  <si>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</si>
  <si>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</si>
  <si>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</si>
  <si>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</si>
  <si>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</si>
  <si>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</si>
  <si>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</si>
  <si>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</si>
  <si>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</si>
  <si>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</si>
  <si>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</si>
  <si>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</si>
  <si>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</si>
  <si>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</si>
  <si>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</si>
  <si>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</si>
  <si>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</si>
  <si>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</si>
  <si>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</si>
  <si>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</si>
  <si>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</si>
  <si>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</si>
  <si>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</si>
  <si>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</si>
  <si>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</si>
  <si>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</si>
  <si>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</si>
  <si>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</si>
  <si>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</si>
  <si>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</si>
  <si>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</si>
  <si>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</si>
  <si>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</si>
  <si>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</si>
  <si>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</si>
  <si>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</si>
  <si>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</si>
  <si>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</si>
  <si>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</si>
  <si>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</si>
  <si>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</si>
  <si>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</si>
  <si>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</si>
  <si>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</si>
  <si>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</si>
  <si>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</si>
  <si>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</si>
  <si>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</si>
  <si>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</si>
  <si>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</si>
  <si>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</si>
  <si>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</si>
  <si>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</si>
  <si>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</si>
  <si>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</si>
  <si>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</si>
  <si>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</si>
  <si>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</si>
  <si>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</si>
  <si>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</si>
  <si>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</si>
  <si>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</si>
  <si>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</si>
  <si>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</si>
  <si>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</si>
  <si>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</si>
  <si>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</si>
  <si>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</si>
  <si>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</si>
  <si>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</si>
  <si>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</si>
  <si>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</si>
  <si>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</si>
  <si>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</si>
  <si>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</si>
  <si>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</si>
  <si>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</si>
  <si>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</si>
  <si>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</si>
  <si>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</si>
  <si>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</si>
  <si>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</si>
  <si>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</si>
  <si>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</si>
  <si>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</si>
  <si>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</si>
  <si>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</si>
  <si>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</si>
  <si>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</si>
  <si>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</si>
  <si>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</si>
  <si>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</si>
  <si>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</si>
  <si>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</si>
  <si>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</si>
  <si>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</si>
  <si>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</si>
  <si>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</si>
  <si>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</si>
  <si>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</si>
  <si>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</si>
  <si>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</si>
  <si>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</si>
  <si>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</si>
  <si>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</si>
  <si>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</si>
  <si>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</si>
  <si>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</si>
  <si>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</si>
  <si>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</si>
  <si>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</si>
  <si>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</si>
  <si>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</si>
  <si>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</si>
  <si>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</si>
  <si>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</si>
  <si>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</si>
  <si>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</si>
  <si>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</si>
  <si>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</si>
  <si>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</si>
  <si>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</si>
  <si>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</si>
  <si>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</si>
  <si>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</si>
  <si>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</si>
  <si>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</si>
  <si>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</si>
  <si>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</si>
  <si>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</si>
  <si>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</si>
  <si>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</si>
  <si>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</si>
  <si>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</si>
  <si>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</si>
  <si>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</si>
  <si>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</si>
  <si>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</si>
  <si>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</si>
  <si>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</si>
  <si>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</si>
  <si>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</si>
  <si>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</si>
  <si>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</si>
  <si>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</si>
  <si>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</si>
  <si>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</si>
  <si>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</si>
  <si>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</si>
  <si>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</si>
  <si>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</si>
  <si>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</si>
  <si>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</si>
  <si>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</si>
  <si>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</si>
  <si>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</si>
  <si>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</si>
  <si>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</si>
  <si>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</si>
  <si>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</si>
  <si>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</si>
  <si>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</si>
  <si>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</si>
  <si>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</si>
  <si>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</si>
  <si>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NSMP2303564675</t>
  </si>
  <si>
    <t>PE25052601</t>
  </si>
  <si>
    <t>Chandanappally PTA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</si>
  <si>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</si>
  <si>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</si>
  <si>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</si>
  <si>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</si>
  <si>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</si>
  <si>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</si>
  <si>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</si>
  <si>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</si>
  <si>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</si>
  <si>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</si>
  <si>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</si>
  <si>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</si>
  <si>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</si>
  <si>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</si>
  <si>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</si>
  <si>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</si>
  <si>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</si>
  <si>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</si>
  <si>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</si>
  <si>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</si>
  <si>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</si>
  <si>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</si>
  <si>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</si>
  <si>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</si>
  <si>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</si>
  <si>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</si>
  <si>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</si>
  <si>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</si>
  <si>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</si>
  <si>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</si>
  <si>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</si>
  <si>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</si>
  <si>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</si>
  <si>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</si>
  <si>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</si>
  <si>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</si>
  <si>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</si>
  <si>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</si>
  <si>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</si>
  <si>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</si>
  <si>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</si>
  <si>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</si>
  <si>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</si>
  <si>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</si>
  <si>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</si>
  <si>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</si>
  <si>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</si>
  <si>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</si>
  <si>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</si>
  <si>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</si>
  <si>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</si>
  <si>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</si>
  <si>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</si>
  <si>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</si>
  <si>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</si>
  <si>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</si>
  <si>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</si>
  <si>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 xml:space="preserve">OK 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</si>
  <si>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</si>
  <si>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</si>
  <si>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</si>
  <si>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</si>
  <si>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</si>
  <si>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</si>
  <si>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</si>
  <si>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</si>
  <si>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</si>
  <si>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</si>
  <si>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</si>
  <si>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</si>
  <si>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</si>
  <si>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</si>
  <si>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</si>
  <si>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</si>
  <si>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</si>
  <si>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</si>
  <si>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>PE26052603</t>
  </si>
  <si>
    <t>Manakkakadavu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</si>
  <si>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</si>
  <si>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</si>
  <si>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</si>
  <si>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</si>
  <si>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</si>
  <si>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</si>
  <si>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</si>
  <si>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</si>
  <si>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</si>
  <si>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</si>
  <si>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</si>
  <si>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</si>
  <si>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</si>
  <si>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</si>
  <si>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</si>
  <si>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</si>
  <si>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</si>
  <si>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</si>
  <si>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</si>
  <si>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</si>
  <si>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</si>
  <si>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</si>
  <si>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</si>
  <si>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</si>
  <si>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</si>
  <si>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</si>
  <si>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</si>
  <si>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</si>
  <si>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</si>
  <si>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</si>
  <si>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</si>
  <si>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</si>
  <si>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</si>
  <si>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</si>
  <si>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</si>
  <si>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</si>
  <si>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</si>
  <si>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</si>
  <si>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</si>
  <si>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</si>
  <si>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</si>
  <si>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</si>
  <si>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</si>
  <si>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</si>
  <si>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</si>
  <si>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</si>
  <si>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</si>
  <si>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</si>
  <si>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</si>
  <si>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</si>
  <si>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</si>
  <si>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</si>
  <si>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</si>
  <si>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</si>
  <si>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</si>
  <si>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</si>
  <si>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</si>
  <si>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</si>
  <si>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</si>
  <si>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</si>
  <si>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</si>
  <si>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</si>
  <si>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PE18052601</t>
  </si>
  <si>
    <t xml:space="preserve">N Jb change </t>
  </si>
  <si>
    <t>NSMP25022718107</t>
  </si>
  <si>
    <t xml:space="preserve">P &amp; M jb change </t>
  </si>
  <si>
    <t>NSMP25022719752</t>
  </si>
  <si>
    <t xml:space="preserve">P &amp; M JB Issue </t>
  </si>
  <si>
    <t>PE26052601</t>
  </si>
  <si>
    <t>N Jb change</t>
  </si>
  <si>
    <t>NSMP25050263002</t>
  </si>
  <si>
    <t>P &amp; M jb change</t>
  </si>
  <si>
    <t>NSMP25050262853</t>
  </si>
  <si>
    <t>All jb change</t>
  </si>
  <si>
    <t>NSMP25050263000</t>
  </si>
  <si>
    <t>NSMP25050262998</t>
  </si>
  <si>
    <t>NSMP25050260829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</si>
  <si>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</si>
  <si>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</si>
  <si>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</si>
  <si>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</si>
  <si>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</si>
  <si>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</si>
  <si>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</si>
  <si>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</si>
  <si>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</si>
  <si>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</si>
  <si>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</si>
  <si>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</si>
  <si>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</si>
  <si>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</si>
  <si>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</si>
  <si>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</si>
  <si>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</si>
  <si>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</si>
  <si>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</si>
  <si>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</si>
  <si>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</si>
  <si>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</si>
  <si>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</si>
  <si>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</si>
  <si>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</si>
  <si>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</si>
  <si>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</si>
  <si>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</si>
  <si>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</si>
  <si>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</si>
  <si>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</si>
  <si>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</si>
  <si>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</si>
  <si>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</si>
  <si>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</si>
  <si>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</si>
  <si>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</si>
  <si>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</si>
  <si>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</si>
  <si>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</si>
  <si>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</si>
  <si>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</si>
  <si>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</si>
  <si>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</si>
  <si>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</si>
  <si>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</si>
  <si>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</si>
  <si>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</si>
  <si>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</si>
  <si>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</si>
  <si>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</si>
  <si>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</si>
  <si>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</si>
  <si>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</si>
  <si>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</si>
  <si>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</si>
  <si>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</si>
  <si>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</si>
  <si>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</si>
  <si>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</si>
  <si>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</si>
  <si>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</si>
  <si>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</si>
  <si>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</si>
  <si>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</si>
  <si>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</si>
  <si>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</si>
  <si>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</si>
  <si>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</si>
  <si>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</si>
  <si>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</si>
  <si>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</si>
  <si>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</si>
  <si>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</si>
  <si>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</si>
  <si>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</si>
  <si>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</si>
  <si>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</si>
  <si>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</si>
  <si>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</si>
  <si>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</si>
  <si>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</si>
  <si>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</si>
  <si>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</si>
  <si>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</si>
  <si>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</si>
  <si>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</si>
  <si>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</si>
  <si>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</si>
  <si>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</si>
  <si>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</si>
  <si>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</si>
  <si>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</si>
  <si>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</si>
  <si>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</si>
  <si>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</si>
  <si>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</si>
  <si>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</si>
  <si>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</si>
  <si>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</si>
  <si>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</si>
  <si>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</si>
  <si>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</si>
  <si>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</si>
  <si>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</si>
  <si>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</si>
  <si>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</si>
  <si>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</si>
  <si>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</si>
  <si>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</si>
  <si>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</si>
  <si>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</si>
  <si>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</si>
  <si>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</si>
  <si>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</si>
  <si>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</si>
  <si>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</si>
  <si>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</si>
  <si>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</si>
  <si>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</si>
  <si>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</si>
  <si>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</si>
  <si>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</si>
  <si>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</si>
  <si>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</si>
  <si>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</si>
  <si>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</si>
  <si>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</si>
  <si>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</si>
  <si>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</si>
  <si>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NSMP2304021855</t>
  </si>
  <si>
    <t>NSMP2304071628</t>
  </si>
  <si>
    <t>NSMP2304071809</t>
  </si>
  <si>
    <t>NSMP2304071753</t>
  </si>
  <si>
    <t>NSMP2304010958</t>
  </si>
  <si>
    <t>Maya Power</t>
  </si>
  <si>
    <t>Saurabh Dalal</t>
  </si>
  <si>
    <t>PE25052602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</si>
  <si>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</si>
  <si>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</si>
  <si>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</si>
  <si>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</si>
  <si>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</si>
  <si>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</si>
  <si>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</si>
  <si>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</si>
  <si>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</si>
  <si>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</si>
  <si>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</si>
  <si>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</si>
  <si>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</si>
  <si>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</si>
  <si>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</si>
  <si>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</si>
  <si>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</si>
  <si>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</si>
  <si>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</si>
  <si>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</si>
  <si>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</si>
  <si>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</si>
  <si>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</si>
  <si>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</si>
  <si>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</si>
  <si>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</si>
  <si>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</si>
  <si>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</si>
  <si>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</si>
  <si>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</si>
  <si>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</si>
  <si>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</si>
  <si>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</si>
  <si>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</si>
  <si>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</si>
  <si>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</si>
  <si>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</si>
  <si>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</si>
  <si>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</si>
  <si>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</si>
  <si>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</si>
  <si>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</si>
  <si>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</si>
  <si>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</si>
  <si>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</si>
  <si>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</si>
  <si>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</si>
  <si>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</si>
  <si>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</si>
  <si>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</si>
  <si>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</si>
  <si>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</si>
  <si>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</si>
  <si>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</si>
  <si>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</si>
  <si>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</si>
  <si>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</si>
  <si>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</si>
  <si>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</si>
  <si>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</si>
  <si>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</si>
  <si>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</si>
  <si>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</si>
  <si>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</si>
  <si>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</si>
  <si>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</si>
  <si>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</si>
  <si>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</si>
  <si>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</si>
  <si>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</si>
  <si>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</si>
  <si>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</si>
  <si>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</si>
  <si>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</si>
  <si>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</si>
  <si>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</si>
  <si>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</si>
  <si>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</si>
  <si>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</si>
  <si>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</si>
  <si>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</si>
  <si>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</si>
  <si>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</si>
  <si>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</si>
  <si>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</si>
  <si>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</si>
  <si>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</si>
  <si>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</si>
  <si>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</si>
  <si>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</si>
  <si>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</si>
  <si>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</si>
  <si>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</si>
  <si>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</si>
  <si>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</si>
  <si>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</si>
  <si>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</si>
  <si>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</si>
  <si>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</si>
  <si>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</si>
  <si>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P JB Cold Soldering &amp; Back Glass Breakage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</si>
  <si>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</si>
  <si>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</si>
  <si>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</si>
  <si>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</si>
  <si>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</si>
  <si>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</si>
  <si>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</si>
  <si>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</si>
  <si>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</si>
  <si>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</si>
  <si>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</si>
  <si>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</si>
  <si>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</si>
  <si>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</si>
  <si>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</si>
  <si>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</si>
  <si>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</si>
  <si>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</si>
  <si>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</si>
  <si>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</si>
  <si>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</si>
  <si>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</si>
  <si>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</si>
  <si>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</si>
  <si>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</si>
  <si>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</si>
  <si>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</si>
  <si>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</si>
  <si>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</si>
  <si>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</si>
  <si>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</si>
  <si>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GLASS BROKEN MODULE</t>
  </si>
  <si>
    <t>NSMI24070185566</t>
  </si>
  <si>
    <t>CHART DATA (linked)</t>
  </si>
  <si>
    <t>FIELD SERVICE DASHBOARD</t>
  </si>
  <si>
    <t>May 2026  •  Solar Module Complaints &amp; Defect Analysis</t>
  </si>
  <si>
    <t>Site</t>
  </si>
  <si>
    <t>Modules</t>
  </si>
  <si>
    <t>Total Complaints</t>
  </si>
  <si>
    <t>Closed Modules</t>
  </si>
  <si>
    <t>WIP / Open</t>
  </si>
  <si>
    <t>Closure Rate</t>
  </si>
  <si>
    <t>Avg Resolution</t>
  </si>
  <si>
    <t>Daily Complaints Trend  - May 2026</t>
  </si>
  <si>
    <t>Defect Type</t>
  </si>
  <si>
    <t>Count</t>
  </si>
  <si>
    <t>Complaints by Site (Top 8)</t>
  </si>
  <si>
    <t>Complaints by State</t>
  </si>
  <si>
    <t>Defect Type Mix</t>
  </si>
  <si>
    <t>Others</t>
  </si>
  <si>
    <t>Week</t>
  </si>
  <si>
    <t>Resolution Time (TAT) Distribution</t>
  </si>
  <si>
    <t>Weekly Complaint Volume</t>
  </si>
  <si>
    <t>Date</t>
  </si>
  <si>
    <t>Visited</t>
  </si>
  <si>
    <t>MANUFACTURING PLANT-WISE</t>
  </si>
  <si>
    <t>MODULE TYPE DEFECT ANALYSIS - MAY 2026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</si>
  <si>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</si>
  <si>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</si>
  <si>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</si>
  <si>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</si>
  <si>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</si>
  <si>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</si>
  <si>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</si>
  <si>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</si>
  <si>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</si>
  <si>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</si>
  <si>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</si>
  <si>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</si>
  <si>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</si>
  <si>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Kunal &amp; Nilanjan</t>
  </si>
  <si>
    <t>Blupine</t>
  </si>
  <si>
    <t>Bhimsen + Raja</t>
  </si>
  <si>
    <t>By Mail</t>
  </si>
  <si>
    <t>TRUE SUN TRADING COMPANY</t>
  </si>
  <si>
    <t>Kamal</t>
  </si>
  <si>
    <t>Bhimsen + Raja + Nilanjan + Kunal</t>
  </si>
  <si>
    <t>Gourab + Amit + Bani</t>
  </si>
  <si>
    <t>Uma Trading</t>
  </si>
  <si>
    <t>Bhimsen + Raja + Kunal + Kamal</t>
  </si>
  <si>
    <t>Pavan</t>
  </si>
  <si>
    <t>Refund</t>
  </si>
  <si>
    <t>Andhra Predesh</t>
  </si>
  <si>
    <t>Gourab + Amit</t>
  </si>
  <si>
    <t>SUNRISE TECHNOLOGIES</t>
  </si>
  <si>
    <t>Chanchal</t>
  </si>
  <si>
    <t>Kamal + Raja + Kunal</t>
  </si>
  <si>
    <t>NAMP2301326148</t>
  </si>
  <si>
    <t>Asthetic</t>
  </si>
  <si>
    <t>Asthetic Issue</t>
  </si>
  <si>
    <t xml:space="preserve">Tab lead burn 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</si>
  <si>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</si>
  <si>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</si>
  <si>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</si>
  <si>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</si>
  <si>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</si>
  <si>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</si>
  <si>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</si>
  <si>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</si>
  <si>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</si>
  <si>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</si>
  <si>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</si>
  <si>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</si>
  <si>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</si>
  <si>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</si>
  <si>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</si>
  <si>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</si>
  <si>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</si>
  <si>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</si>
  <si>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</si>
  <si>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</si>
  <si>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</si>
  <si>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</si>
  <si>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</si>
  <si>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</si>
  <si>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</si>
  <si>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</si>
  <si>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</si>
  <si>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</si>
  <si>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</si>
  <si>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</si>
  <si>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</si>
  <si>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</si>
  <si>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</si>
  <si>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</si>
  <si>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</si>
  <si>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</si>
  <si>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</si>
  <si>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</si>
  <si>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</si>
  <si>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</si>
  <si>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</si>
  <si>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</si>
  <si>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</si>
  <si>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</si>
  <si>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</si>
  <si>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</si>
  <si>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</si>
  <si>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</si>
  <si>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</si>
  <si>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</si>
  <si>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</si>
  <si>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</si>
  <si>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</si>
  <si>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</si>
  <si>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</si>
  <si>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</si>
  <si>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</si>
  <si>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</si>
  <si>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</si>
  <si>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</si>
  <si>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</si>
  <si>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</si>
  <si>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</si>
  <si>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</si>
  <si>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</si>
  <si>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</si>
  <si>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</si>
  <si>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</si>
  <si>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</si>
  <si>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</si>
  <si>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</si>
  <si>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</si>
  <si>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</si>
  <si>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</si>
  <si>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</si>
  <si>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</si>
  <si>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</si>
  <si>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</si>
  <si>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</si>
  <si>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</si>
  <si>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</si>
  <si>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</si>
  <si>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</si>
  <si>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</si>
  <si>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</si>
  <si>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</si>
  <si>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</si>
  <si>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</si>
  <si>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</si>
  <si>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</si>
  <si>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</si>
  <si>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</si>
  <si>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</si>
  <si>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</si>
  <si>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</si>
  <si>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</si>
  <si>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</si>
  <si>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</si>
  <si>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</si>
  <si>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</si>
  <si>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</si>
  <si>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</si>
  <si>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</si>
  <si>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</si>
  <si>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</si>
  <si>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</si>
  <si>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</si>
  <si>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MAY 2026 - FIELD SERVICE ANALYSIS</t>
  </si>
  <si>
    <t>KEY PERFORMANCE INDICATORS</t>
  </si>
  <si>
    <t>Repairable Defects</t>
  </si>
  <si>
    <t xml:space="preserve">May Expense </t>
  </si>
  <si>
    <t>Per Module cost</t>
  </si>
  <si>
    <t>Avg Resolution Day</t>
  </si>
  <si>
    <t>Metric</t>
  </si>
  <si>
    <t>Value</t>
  </si>
  <si>
    <t>Total Complaints (May)</t>
  </si>
  <si>
    <t>WIP Rate</t>
  </si>
  <si>
    <t>WIP Modules</t>
  </si>
  <si>
    <t>State covered</t>
  </si>
  <si>
    <t xml:space="preserve"> COMPLAINTS BY SITE</t>
  </si>
  <si>
    <t xml:space="preserve"> COMPLAINTS BY STATE</t>
  </si>
  <si>
    <t>% Share</t>
  </si>
  <si>
    <t>TOTAL</t>
  </si>
  <si>
    <t>Cresta Solar</t>
  </si>
  <si>
    <t xml:space="preserve"> RESOLUTION TYPE</t>
  </si>
  <si>
    <t>Resolution</t>
  </si>
  <si>
    <t>Inspection (WIP)</t>
  </si>
  <si>
    <t>CN (Credit Note)</t>
  </si>
  <si>
    <t xml:space="preserve"> DAILY COMPLAINTS TREND - MAY 2026</t>
  </si>
  <si>
    <t>Modules Visited</t>
  </si>
  <si>
    <t>WEEK-WISE BREAKDOWN</t>
  </si>
  <si>
    <t>W1 (01-07 May)</t>
  </si>
  <si>
    <t>W2 (08-14 May)</t>
  </si>
  <si>
    <t>W3 (15-21 May)</t>
  </si>
  <si>
    <t>W4 (22-28 May)</t>
  </si>
  <si>
    <t>W5 (29-31 May)</t>
  </si>
  <si>
    <t>Plant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</si>
  <si>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</si>
  <si>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</si>
  <si>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</si>
  <si>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</si>
  <si>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</si>
  <si>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</si>
  <si>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</si>
  <si>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</si>
  <si>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</si>
  <si>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</si>
  <si>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MAY 2026 - DEFECT ANALYSIS (PIVOT)</t>
  </si>
  <si>
    <t>(Multiple Items)</t>
  </si>
  <si>
    <t>Row Labels</t>
  </si>
  <si>
    <t>Module Count</t>
  </si>
  <si>
    <t>Under 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</si>
</sst>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&quot;₹&quot;\ #,##0.00"/>
    <numFmt numFmtId="167" formatCode="0.0&quot; days&quot;"/>
  </numFmts>
  <fonts count="70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8" fillId="0" borderId="0"/>
  </cellStyleXfs>
  <cellXfs count="246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19" xfId="0" applyFont="1" applyFill="1" applyBorder="1" applyAlignment="1">
      <alignment horizontal="center"/>
    </xf>
    <xf numFmtId="0" fontId="39" fillId="14" borderId="19" xfId="0" applyFont="1" applyFill="1" applyBorder="1" applyAlignment="1">
      <alignment horizontal="center"/>
    </xf>
    <xf numFmtId="0" fontId="40" fillId="15" borderId="19" xfId="0" applyFont="1" applyFill="1" applyBorder="1" applyAlignment="1">
      <alignment horizontal="center"/>
    </xf>
    <xf numFmtId="0" fontId="41" fillId="16" borderId="19" xfId="0" applyFont="1" applyFill="1" applyBorder="1" applyAlignment="1">
      <alignment horizontal="center"/>
    </xf>
    <xf numFmtId="0" fontId="42" fillId="17" borderId="20" xfId="0" applyFont="1" applyFill="1" applyBorder="1" applyAlignment="1">
      <alignment horizontal="center"/>
    </xf>
    <xf numFmtId="3" fontId="44" fillId="13" borderId="21" xfId="0" applyNumberFormat="1" applyFont="1" applyFill="1" applyBorder="1" applyAlignment="1">
      <alignment horizontal="center"/>
    </xf>
    <xf numFmtId="3" fontId="45" fillId="14" borderId="21" xfId="0" applyNumberFormat="1" applyFont="1" applyFill="1" applyBorder="1" applyAlignment="1">
      <alignment horizontal="center"/>
    </xf>
    <xf numFmtId="3" fontId="46" fillId="15" borderId="21" xfId="0" applyNumberFormat="1" applyFont="1" applyFill="1" applyBorder="1" applyAlignment="1">
      <alignment horizontal="center"/>
    </xf>
    <xf numFmtId="164" fontId="43" fillId="16" borderId="21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2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2" xfId="0" applyNumberFormat="1" applyFont="1" applyFill="1" applyBorder="1" applyAlignment="1">
      <alignment horizontal="center"/>
    </xf>
    <xf numFmtId="0" fontId="26" fillId="9" borderId="24" xfId="0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0" borderId="19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7" xfId="0" applyNumberFormat="1" applyFont="1" applyBorder="1" applyAlignment="1">
      <alignment horizontal="center"/>
    </xf>
    <xf numFmtId="0" fontId="52" fillId="0" borderId="19" xfId="0" applyFont="1" applyBorder="1"/>
    <xf numFmtId="3" fontId="49" fillId="0" borderId="0" xfId="0" applyNumberFormat="1" applyFont="1" applyAlignment="1">
      <alignment horizontal="center"/>
    </xf>
    <xf numFmtId="164" fontId="51" fillId="0" borderId="27" xfId="0" applyNumberFormat="1" applyFont="1" applyBorder="1" applyAlignment="1">
      <alignment horizontal="center"/>
    </xf>
    <xf numFmtId="0" fontId="25" fillId="0" borderId="19" xfId="0" applyFont="1" applyBorder="1"/>
    <xf numFmtId="3" fontId="30" fillId="0" borderId="0" xfId="0" applyNumberFormat="1" applyFont="1" applyAlignment="1">
      <alignment horizontal="center"/>
    </xf>
    <xf numFmtId="3" fontId="0" fillId="0" borderId="27" xfId="0" applyNumberFormat="1" applyBorder="1" applyAlignment="1">
      <alignment horizontal="center"/>
    </xf>
    <xf numFmtId="0" fontId="0" fillId="0" borderId="21" xfId="0" applyBorder="1"/>
    <xf numFmtId="3" fontId="0" fillId="0" borderId="28" xfId="0" applyNumberFormat="1" applyBorder="1" applyAlignment="1">
      <alignment horizontal="center"/>
    </xf>
    <xf numFmtId="0" fontId="0" fillId="0" borderId="28" xfId="0" applyBorder="1"/>
    <xf numFmtId="3" fontId="0" fillId="0" borderId="29" xfId="0" applyNumberFormat="1" applyBorder="1" applyAlignment="1">
      <alignment horizontal="center"/>
    </xf>
    <xf numFmtId="0" fontId="26" fillId="9" borderId="19" xfId="0" applyFont="1" applyFill="1" applyBorder="1"/>
    <xf numFmtId="0" fontId="26" fillId="9" borderId="27" xfId="0" applyFont="1" applyFill="1" applyBorder="1" applyAlignment="1">
      <alignment horizontal="center"/>
    </xf>
    <xf numFmtId="0" fontId="0" fillId="0" borderId="19" xfId="0" applyBorder="1"/>
    <xf numFmtId="3" fontId="29" fillId="0" borderId="0" xfId="0" applyNumberFormat="1" applyFon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7" fillId="8" borderId="21" xfId="0" applyFont="1" applyFill="1" applyBorder="1"/>
    <xf numFmtId="3" fontId="27" fillId="8" borderId="28" xfId="0" applyNumberFormat="1" applyFont="1" applyFill="1" applyBorder="1" applyAlignment="1">
      <alignment horizontal="center"/>
    </xf>
    <xf numFmtId="164" fontId="27" fillId="8" borderId="29" xfId="0" applyNumberFormat="1" applyFont="1" applyFill="1" applyBorder="1" applyAlignment="1">
      <alignment horizontal="center"/>
    </xf>
    <xf numFmtId="0" fontId="26" fillId="9" borderId="19" xfId="0" applyFont="1" applyFill="1" applyBorder="1" applyAlignment="1">
      <alignment horizontal="center"/>
    </xf>
    <xf numFmtId="16" fontId="0" fillId="0" borderId="19" xfId="0" applyNumberFormat="1" applyBorder="1" applyAlignment="1">
      <alignment horizontal="center"/>
    </xf>
    <xf numFmtId="16" fontId="0" fillId="0" borderId="21" xfId="0" applyNumberFormat="1" applyBorder="1" applyAlignment="1">
      <alignment horizontal="center"/>
    </xf>
    <xf numFmtId="0" fontId="35" fillId="9" borderId="30" xfId="0" applyFont="1" applyFill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4" fillId="0" borderId="33" xfId="0" applyFont="1" applyBorder="1"/>
    <xf numFmtId="164" fontId="0" fillId="0" borderId="34" xfId="0" applyNumberFormat="1" applyBorder="1" applyAlignment="1">
      <alignment horizontal="center"/>
    </xf>
    <xf numFmtId="0" fontId="36" fillId="8" borderId="35" xfId="0" applyFont="1" applyFill="1" applyBorder="1"/>
    <xf numFmtId="3" fontId="27" fillId="8" borderId="36" xfId="0" applyNumberFormat="1" applyFont="1" applyFill="1" applyBorder="1" applyAlignment="1">
      <alignment horizontal="center"/>
    </xf>
    <xf numFmtId="164" fontId="27" fillId="8" borderId="37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2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0" xfId="0" applyNumberFormat="1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10" fillId="4" borderId="40" xfId="0" applyFont="1" applyFill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5" fillId="4" borderId="40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2" fillId="4" borderId="41" xfId="0" applyFont="1" applyFill="1" applyBorder="1" applyAlignment="1">
      <alignment horizontal="center"/>
    </xf>
    <xf numFmtId="1" fontId="10" fillId="4" borderId="42" xfId="0" applyNumberFormat="1" applyFont="1" applyFill="1" applyBorder="1" applyAlignment="1">
      <alignment horizontal="center"/>
    </xf>
    <xf numFmtId="1" fontId="10" fillId="4" borderId="40" xfId="0" applyNumberFormat="1" applyFont="1" applyFill="1" applyBorder="1" applyAlignment="1">
      <alignment horizontal="center"/>
    </xf>
    <xf numFmtId="15" fontId="3" fillId="3" borderId="40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0" fillId="0" borderId="46" xfId="0" applyBorder="1"/>
    <xf numFmtId="0" fontId="28" fillId="10" borderId="0" xfId="0" applyFont="1" applyFill="1"/>
    <xf numFmtId="10" fontId="0" fillId="0" borderId="0" xfId="0" applyNumberFormat="1"/>
    <xf numFmtId="0" fontId="63" fillId="19" borderId="0" xfId="0" applyFont="1" applyFill="1"/>
    <xf numFmtId="0" fontId="65" fillId="0" borderId="0" xfId="0" applyFont="1"/>
    <xf numFmtId="0" fontId="65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4" fillId="20" borderId="0" xfId="0" applyFont="1" applyFill="1"/>
    <xf numFmtId="0" fontId="27" fillId="20" borderId="0" xfId="0" applyFont="1" applyFill="1"/>
    <xf numFmtId="0" fontId="37" fillId="12" borderId="20" xfId="0" applyFont="1" applyFill="1" applyBorder="1" applyAlignment="1">
      <alignment horizontal="center"/>
    </xf>
    <xf numFmtId="0" fontId="66" fillId="23" borderId="23" xfId="0" applyFont="1" applyFill="1" applyBorder="1" applyAlignment="1">
      <alignment horizontal="center"/>
    </xf>
    <xf numFmtId="8" fontId="69" fillId="23" borderId="22" xfId="0" applyNumberFormat="1" applyFont="1" applyFill="1" applyBorder="1" applyAlignment="1">
      <alignment horizontal="center"/>
    </xf>
    <xf numFmtId="166" fontId="68" fillId="24" borderId="29" xfId="0" applyNumberFormat="1" applyFont="1" applyFill="1" applyBorder="1"/>
    <xf numFmtId="0" fontId="67" fillId="24" borderId="27" xfId="0" applyFont="1" applyFill="1" applyBorder="1" applyAlignment="1">
      <alignment horizontal="center"/>
    </xf>
    <xf numFmtId="3" fontId="59" fillId="20" borderId="48" xfId="0" applyNumberFormat="1" applyFont="1" applyFill="1" applyBorder="1" applyAlignment="1">
      <alignment horizontal="left" vertical="center" indent="1"/>
    </xf>
    <xf numFmtId="0" fontId="0" fillId="0" borderId="38" xfId="0" applyBorder="1"/>
    <xf numFmtId="3" fontId="60" fillId="20" borderId="48" xfId="0" applyNumberFormat="1" applyFont="1" applyFill="1" applyBorder="1" applyAlignment="1">
      <alignment horizontal="left" vertical="center" indent="1"/>
    </xf>
    <xf numFmtId="3" fontId="61" fillId="20" borderId="48" xfId="0" applyNumberFormat="1" applyFont="1" applyFill="1" applyBorder="1" applyAlignment="1">
      <alignment horizontal="left" vertical="center" indent="1"/>
    </xf>
    <xf numFmtId="0" fontId="58" fillId="20" borderId="47" xfId="0" applyFont="1" applyFill="1" applyBorder="1" applyAlignment="1">
      <alignment indent="1"/>
    </xf>
    <xf numFmtId="0" fontId="0" fillId="0" borderId="39" xfId="0" applyBorder="1"/>
    <xf numFmtId="167" fontId="59" fillId="20" borderId="48" xfId="0" applyNumberFormat="1" applyFont="1" applyFill="1" applyBorder="1" applyAlignment="1">
      <alignment horizontal="left" vertical="center" indent="1"/>
    </xf>
    <xf numFmtId="164" fontId="59" fillId="20" borderId="48" xfId="0" applyNumberFormat="1" applyFont="1" applyFill="1" applyBorder="1" applyAlignment="1">
      <alignment horizontal="left" vertical="center" indent="1"/>
    </xf>
    <xf numFmtId="0" fontId="56" fillId="8" borderId="0" xfId="0" applyFont="1" applyFill="1" applyAlignment="1">
      <alignment horizontal="left" vertical="center" indent="1"/>
    </xf>
    <xf numFmtId="0" fontId="0" fillId="0" borderId="0" xfId="0"/>
    <xf numFmtId="0" fontId="57" fillId="8" borderId="0" xfId="0" applyFont="1" applyFill="1" applyAlignment="1">
      <alignment vertical="center" indent="1"/>
    </xf>
    <xf numFmtId="0" fontId="28" fillId="4" borderId="0" xfId="0" applyFont="1" applyFill="1"/>
    <xf numFmtId="0" fontId="28" fillId="10" borderId="23" xfId="0" applyFont="1" applyFill="1" applyBorder="1"/>
    <xf numFmtId="0" fontId="0" fillId="0" borderId="25" xfId="0" applyBorder="1"/>
    <xf numFmtId="0" fontId="0" fillId="0" borderId="26" xfId="0" applyBorder="1"/>
    <xf numFmtId="0" fontId="32" fillId="8" borderId="0" xfId="0" applyFont="1" applyFill="1" applyAlignment="1">
      <alignment horizontal="center"/>
    </xf>
    <xf numFmtId="0" fontId="28" fillId="21" borderId="0" xfId="0" applyFont="1" applyFill="1" applyAlignment="1">
      <alignment horizontal="center"/>
    </xf>
    <xf numFmtId="0" fontId="28" fillId="11" borderId="49" xfId="0" applyFont="1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0</c:v>
                </c:pt>
                <c:pt idx="1">
                  <c:v>958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C7-4727-90BC-A7E278AF0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4-4326-BD7F-10AB768E2B54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14-4326-BD7F-10AB768E2B54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14-4326-BD7F-10AB768E2B54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14-4326-BD7F-10AB768E2B54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14-4326-BD7F-10AB768E2B54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14-4326-BD7F-10AB768E2B54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F14-4326-BD7F-10AB768E2B54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F14-4326-BD7F-10AB768E2B54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F14-4326-BD7F-10AB768E2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D-47D9-97BF-0904464D2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89-47B7-9150-53D7A2FB2478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26</c:v>
                </c:pt>
                <c:pt idx="1">
                  <c:v>72</c:v>
                </c:pt>
                <c:pt idx="2">
                  <c:v>130</c:v>
                </c:pt>
                <c:pt idx="3">
                  <c:v>108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89-47B7-9150-53D7A2FB2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5700601543002"/>
          <c:y val="4.8345711749386518E-2"/>
          <c:w val="0.104139886587305"/>
          <c:h val="8.6398227480581832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2040</c:v>
                </c:pt>
                <c:pt idx="1">
                  <c:v>623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9-4812-A352-20D2FFCE9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183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3-4BA8-92D2-5F65BD5C1238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53-4BA8-92D2-5F65BD5C1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2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53-4BA8-92D2-5F65BD5C1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E61-493C-BA94-BEC4173444B8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E61-493C-BA94-BEC4173444B8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E61-493C-BA94-BEC4173444B8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E61-493C-BA94-BEC4173444B8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E61-493C-BA94-BEC4173444B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E61-493C-BA94-BEC417344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t"/>
      <c:layout>
        <c:manualLayout>
          <c:xMode val="edge"/>
          <c:yMode val="edge"/>
          <c:x val="0"/>
          <c:y val="9.8010752885749675E-2"/>
          <c:w val="0.21718989241607489"/>
          <c:h val="0.5781473137997817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1153</c:v>
                </c:pt>
                <c:pt idx="4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3-4F43-8825-CB4E4CA9B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00000000-000A-0000-FFFF-FFFF02000000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DefectPivot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CybELZGCOmTbAFnuQmbHa_Af_9iQnPty5st9M1aae5aW0?e=mMc0Ba" TargetMode="External"/><Relationship Id="rId21" Type="http://schemas.openxmlformats.org/officeDocument/2006/relationships/hyperlink" Target="../../../../../:f:/g/personal/soubhagya_swain_premierenergies_com/IgDXQJJf6zmGQ7IXs3HXy5dLAcKsojoe2H5OQ_xxcSFNIj4?e=u5nbKI" TargetMode="External"/><Relationship Id="rId42" Type="http://schemas.openxmlformats.org/officeDocument/2006/relationships/hyperlink" Target="../../../../../:f:/g/personal/soubhagya_swain_premierenergies_com/IgBbyc3sY1uOSIZhgQG8JUV8ARXABL42M8y0-Ak416L4I-k?e=t5Oi0i" TargetMode="External"/><Relationship Id="rId47" Type="http://schemas.openxmlformats.org/officeDocument/2006/relationships/hyperlink" Target="../../../../../:f:/g/personal/soubhagya_swain_premierenergies_com/IgCKTNO8hW6mQZ1qK0rPoScnARxzuhZcj9v_hLhSTvmA3aQ?e=DXv6XR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CkboAzoen4QI5Ai8jVhl54AX1KcXADr7zA66xtKu5jqxw?e=edaA1y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Bbdn7C4W4SR42OBq-opVvmAfd8kWDqr-lJU6_a3bZZYVw?e=6ohtOj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BGjFyJf_u6R4R1NBrSkW5FASgVry41MXMez9cAj77THyc?e=cQLYkW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Avy5fdgeT5SIMd71qQUSZwAVxycewVa_WTjwgETNZXwzg?e=a7Z83X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Avy5fdgeT5SIMd71qQUSZwAVxycewVa_WTjwgETNZXwzg?e=a7Z83X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AaPQ8GINfoRKRQXw39ur6kAaUD3Z18Va4DSf74l-AHEiY?e=7dyeDc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D0adYxOpk8TpQ2Hn0fypcnAT9z8CNI-oIlPkHo6HK3stQ?e=TaQaoA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CoOqpOAzb1QLr90fv0kInoAXVYiV1EB-WncOzDx61mRHQ?e=8pYDpw" TargetMode="External"/><Relationship Id="rId41" Type="http://schemas.openxmlformats.org/officeDocument/2006/relationships/hyperlink" Target="../../../../../:f:/g/personal/soubhagya_swain_premierenergies_com/IgCkboAzoen4QI5Ai8jVhl54AX1KcXADr7zA66xtKu5jqxw?e=edaA1y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D0adYxOpk8TpQ2Hn0fypcnAT9z8CNI-oIlPkHo6HK3stQ?e=TaQaoA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tNF6Y0nhDS7PeP24qyQ4TAYEezK5rsrc3oc6lWAoMt10?e=L87uqR" TargetMode="External"/><Relationship Id="rId28" Type="http://schemas.openxmlformats.org/officeDocument/2006/relationships/hyperlink" Target="../../../../../:f:/g/personal/soubhagya_swain_premierenergies_com/IgAvy5fdgeT5SIMd71qQUSZwAVxycewVa_WTjwgETNZXwzg?e=a7Z83X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boAzoen4QI5Ai8jVhl54AX1KcXADr7zA66xtKu5jqxw?e=edaA1y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CkboAzoen4QI5Ai8jVhl54AX1KcXADr7zA66xtKu5jqxw?e=edaA1y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DqezEap1OFSYqsD3qvd_5lAdcXdGxP4V5H4KHQAafo_H4?e=ET9Deb" TargetMode="External"/><Relationship Id="rId34" Type="http://schemas.openxmlformats.org/officeDocument/2006/relationships/hyperlink" Target="../../../../../:f:/g/personal/soubhagya_swain_premierenergies_com/IgAvy5fdgeT5SIMd71qQUSZwAVxycewVa_WTjwgETNZXwzg?e=a7Z83X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CkboAzoen4QI5Ai8jVhl54AX1KcXADr7zA66xtKu5jqxw?e=edaA1y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DgBfEMzY98TrVyc6IRRMQsAasvOpaJNSYAOYCREhxBxmU?e=O7jrAU" TargetMode="External"/><Relationship Id="rId24" Type="http://schemas.openxmlformats.org/officeDocument/2006/relationships/hyperlink" Target="../../../../../:f:/g/personal/soubhagya_swain_premierenergies_com/IgCel3stfnxMS5nndDBzDSgKATHQ-4u9zwOxe18eEawIf-s?e=905AsO" TargetMode="External"/><Relationship Id="rId40" Type="http://schemas.openxmlformats.org/officeDocument/2006/relationships/hyperlink" Target="../../../../../:f:/g/personal/soubhagya_swain_premierenergies_com/IgAvy5fdgeT5SIMd71qQUSZwAVxycewVa_WTjwgETNZXwzg?e=a7Z83X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X80"/>
  <sheetViews>
    <sheetView showGridLines="0" zoomScale="74" zoomScaleNormal="66" workbookViewId="0">
      <selection activeCell="E6" sqref="E6:F6"/>
    </sheetView>
  </sheetViews>
  <sheetFormatPr defaultRowHeight="14.5" outlineLevelCol="1"/>
  <cols>
    <col min="1" max="1" width="3.6328125" customWidth="1"/>
    <col min="2" max="19" width="12.7265625" customWidth="1"/>
    <col min="21" max="23" width="8.7265625" customWidth="1" outlineLevel="1"/>
  </cols>
  <sheetData>
    <row r="1" spans="1:24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2925</v>
      </c>
      <c r="V1" s="173"/>
      <c r="W1" s="173"/>
    </row>
    <row r="2" spans="1:24" ht="42" customHeight="1">
      <c r="A2" s="170"/>
      <c r="B2" s="233" t="s">
        <v>2926</v>
      </c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234"/>
      <c r="O2" s="234"/>
      <c r="P2" s="234"/>
      <c r="Q2" s="234"/>
      <c r="R2" s="234"/>
      <c r="S2" s="170"/>
      <c r="T2" s="205"/>
      <c r="U2" s="206"/>
      <c r="V2" s="206"/>
      <c r="W2" s="173"/>
    </row>
    <row r="3" spans="1:24" ht="22" customHeight="1">
      <c r="A3" s="170"/>
      <c r="B3" s="235" t="s">
        <v>2927</v>
      </c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4"/>
      <c r="S3" s="170"/>
      <c r="T3" s="217"/>
      <c r="U3" s="173" t="s">
        <v>2928</v>
      </c>
      <c r="V3" s="173" t="s">
        <v>2929</v>
      </c>
      <c r="W3" s="173"/>
      <c r="X3" s="217"/>
    </row>
    <row r="4" spans="1:24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0</v>
      </c>
      <c r="W4" s="173"/>
      <c r="X4" s="217"/>
    </row>
    <row r="5" spans="1:24" ht="20" customHeight="1">
      <c r="A5" s="170"/>
      <c r="B5" s="229" t="s">
        <v>2930</v>
      </c>
      <c r="C5" s="230"/>
      <c r="D5" s="170"/>
      <c r="E5" s="229" t="s">
        <v>2931</v>
      </c>
      <c r="F5" s="230"/>
      <c r="G5" s="170"/>
      <c r="H5" s="229" t="s">
        <v>2932</v>
      </c>
      <c r="I5" s="230"/>
      <c r="J5" s="170"/>
      <c r="K5" s="229" t="s">
        <v>2933</v>
      </c>
      <c r="L5" s="230"/>
      <c r="M5" s="170"/>
      <c r="N5" s="229" t="s">
        <v>2934</v>
      </c>
      <c r="O5" s="230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958</v>
      </c>
      <c r="W5" s="173"/>
      <c r="X5" s="217"/>
    </row>
    <row r="6" spans="1:24" ht="40" customHeight="1">
      <c r="A6" s="170"/>
      <c r="B6" s="225">
        <f>'May-26 Analysis'!B5</f>
        <v>2674</v>
      </c>
      <c r="C6" s="226"/>
      <c r="D6" s="170"/>
      <c r="E6" s="227">
        <f>'May-26 Analysis'!C5</f>
        <v>2665</v>
      </c>
      <c r="F6" s="226"/>
      <c r="G6" s="170"/>
      <c r="H6" s="228">
        <f>'May-26 Analysis'!D5</f>
        <v>9</v>
      </c>
      <c r="I6" s="226"/>
      <c r="J6" s="170"/>
      <c r="K6" s="232">
        <f>'May-26 Analysis'!F5</f>
        <v>0.99663425579655951</v>
      </c>
      <c r="L6" s="226"/>
      <c r="M6" s="170"/>
      <c r="N6" s="231">
        <f>'May-26 Analysis'!I5</f>
        <v>32.700000000000003</v>
      </c>
      <c r="O6" s="226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customHeight="1">
      <c r="A8" s="170"/>
      <c r="B8" s="171" t="s">
        <v>2935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2929</v>
      </c>
      <c r="W12" s="173"/>
      <c r="X12" s="217"/>
    </row>
    <row r="13" spans="1:24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1641</v>
      </c>
      <c r="W13" s="173"/>
      <c r="X13" s="217"/>
    </row>
    <row r="14" spans="1:24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989</v>
      </c>
      <c r="W14" s="173"/>
      <c r="X14" s="217"/>
    </row>
    <row r="15" spans="1:24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2936</v>
      </c>
      <c r="V22" s="219" t="s">
        <v>2937</v>
      </c>
      <c r="W22" s="173"/>
      <c r="X22" s="217"/>
    </row>
    <row r="23" spans="1:24" ht="16" customHeight="1">
      <c r="A23" s="170"/>
      <c r="B23" s="171" t="s">
        <v>2938</v>
      </c>
      <c r="C23" s="170"/>
      <c r="D23" s="170"/>
      <c r="E23" s="170"/>
      <c r="F23" s="170"/>
      <c r="G23" s="170"/>
      <c r="H23" s="171" t="s">
        <v>2939</v>
      </c>
      <c r="I23" s="170"/>
      <c r="J23" s="170"/>
      <c r="K23" s="170"/>
      <c r="L23" s="170"/>
      <c r="M23" s="170"/>
      <c r="N23" s="171" t="s">
        <v>2940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2941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2942</v>
      </c>
      <c r="V37" s="173" t="s">
        <v>2929</v>
      </c>
      <c r="W37" s="173"/>
      <c r="X37" s="217"/>
    </row>
    <row r="38" spans="1:24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customHeight="1">
      <c r="A40" s="170"/>
      <c r="B40" s="171" t="s">
        <v>2943</v>
      </c>
      <c r="C40" s="170"/>
      <c r="D40" s="170"/>
      <c r="E40" s="170"/>
      <c r="F40" s="170"/>
      <c r="G40" s="170"/>
      <c r="H40" s="171" t="s">
        <v>2944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2945</v>
      </c>
      <c r="V45" s="173" t="s">
        <v>2946</v>
      </c>
      <c r="W45" s="173" t="s">
        <v>31</v>
      </c>
      <c r="X45" s="217"/>
    </row>
    <row r="46" spans="1:24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26</v>
      </c>
      <c r="X46" s="217"/>
    </row>
    <row r="47" spans="1:24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72</v>
      </c>
      <c r="X47" s="217"/>
    </row>
    <row r="48" spans="1:24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130</v>
      </c>
      <c r="X48" s="217"/>
    </row>
    <row r="49" spans="1:24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108</v>
      </c>
      <c r="X49" s="217"/>
    </row>
    <row r="50" spans="1:24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94</v>
      </c>
      <c r="X50" s="217"/>
    </row>
    <row r="51" spans="1:24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49</v>
      </c>
      <c r="X51" s="217"/>
    </row>
    <row r="52" spans="1:24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customHeight="1">
      <c r="A58" s="170"/>
      <c r="B58" s="204" t="s">
        <v>2947</v>
      </c>
      <c r="C58" s="170"/>
      <c r="D58" s="170"/>
      <c r="E58" s="170"/>
      <c r="F58" s="170"/>
      <c r="G58" s="170"/>
      <c r="H58" s="170"/>
      <c r="I58" s="170"/>
      <c r="J58" s="170"/>
      <c r="K58" s="204" t="s">
        <v>2948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140</v>
      </c>
      <c r="X68" s="217"/>
    </row>
    <row r="69" spans="1:24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>
      <c r="U80" s="173"/>
      <c r="V80" s="173"/>
      <c r="W80" s="173"/>
    </row>
  </sheetData>
  <mergeCells count="12">
    <mergeCell ref="B2:R2"/>
    <mergeCell ref="K5:L5"/>
    <mergeCell ref="E5:F5"/>
    <mergeCell ref="H5:I5"/>
    <mergeCell ref="B3:R3"/>
    <mergeCell ref="B6:C6"/>
    <mergeCell ref="E6:F6"/>
    <mergeCell ref="H6:I6"/>
    <mergeCell ref="N5:O5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87"/>
  <sheetViews>
    <sheetView zoomScale="90" zoomScaleNormal="90" workbookViewId="0">
      <selection activeCell="J4" sqref="J4"/>
    </sheetView>
  </sheetViews>
  <sheetFormatPr defaultRowHeight="14.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>
      <c r="A1" s="12" t="s">
        <v>2945</v>
      </c>
      <c r="B1" s="12" t="s">
        <v>2928</v>
      </c>
      <c r="C1" s="12" t="s">
        <v>2949</v>
      </c>
      <c r="D1" s="12" t="s">
        <v>11</v>
      </c>
      <c r="E1" s="12" t="s">
        <v>2950</v>
      </c>
      <c r="F1" s="12" t="s">
        <v>2951</v>
      </c>
      <c r="G1" s="12" t="s">
        <v>2952</v>
      </c>
      <c r="H1" s="12" t="s">
        <v>2953</v>
      </c>
      <c r="I1" s="12" t="s">
        <v>2954</v>
      </c>
      <c r="J1" s="12" t="s">
        <v>2955</v>
      </c>
      <c r="K1" s="12" t="s">
        <v>2956</v>
      </c>
      <c r="L1" s="12" t="s">
        <v>2957</v>
      </c>
      <c r="M1" s="7" t="s">
        <v>2958</v>
      </c>
    </row>
    <row r="2" spans="1:13">
      <c r="A2" s="6">
        <v>46143</v>
      </c>
      <c r="B2" s="3" t="s">
        <v>29</v>
      </c>
      <c r="C2" s="9" t="s">
        <v>35</v>
      </c>
      <c r="D2" s="3" t="s">
        <v>36</v>
      </c>
      <c r="E2" s="3">
        <v>1</v>
      </c>
      <c r="F2" s="3" t="s">
        <v>2959</v>
      </c>
      <c r="G2" s="4" t="s">
        <v>33</v>
      </c>
      <c r="H2" s="3" t="s">
        <v>31</v>
      </c>
      <c r="I2" s="3" t="s">
        <v>2960</v>
      </c>
      <c r="J2" s="16" t="s">
        <v>33</v>
      </c>
      <c r="K2" s="6">
        <v>46143</v>
      </c>
      <c r="L2" s="6">
        <v>46144</v>
      </c>
      <c r="M2" s="10"/>
    </row>
    <row r="3" spans="1:13">
      <c r="A3" s="6">
        <v>46143</v>
      </c>
      <c r="B3" s="3" t="s">
        <v>44</v>
      </c>
      <c r="C3" s="3" t="s">
        <v>48</v>
      </c>
      <c r="D3" s="3" t="s">
        <v>49</v>
      </c>
      <c r="E3" s="3">
        <v>2</v>
      </c>
      <c r="F3" s="3" t="s">
        <v>2961</v>
      </c>
      <c r="G3" s="7" t="s">
        <v>46</v>
      </c>
      <c r="H3" s="3" t="s">
        <v>31</v>
      </c>
      <c r="I3" s="3" t="s">
        <v>2960</v>
      </c>
      <c r="J3" s="16" t="s">
        <v>46</v>
      </c>
      <c r="K3" s="6">
        <v>46143</v>
      </c>
      <c r="L3" s="3"/>
      <c r="M3" s="10"/>
    </row>
    <row r="4" spans="1:13">
      <c r="A4" s="6">
        <v>46143</v>
      </c>
      <c r="B4" s="3" t="s">
        <v>53</v>
      </c>
      <c r="C4" s="3" t="s">
        <v>58</v>
      </c>
      <c r="D4" s="3" t="s">
        <v>59</v>
      </c>
      <c r="E4" s="3">
        <v>24</v>
      </c>
      <c r="F4" s="3" t="s">
        <v>2962</v>
      </c>
      <c r="G4" s="11" t="s">
        <v>56</v>
      </c>
      <c r="H4" s="3" t="s">
        <v>74</v>
      </c>
      <c r="I4" s="3" t="s">
        <v>64</v>
      </c>
      <c r="J4" s="16" t="s">
        <v>56</v>
      </c>
      <c r="K4" s="6">
        <v>46143</v>
      </c>
      <c r="L4" s="14"/>
      <c r="M4" s="10"/>
    </row>
    <row r="5" spans="1:13">
      <c r="A5" s="6">
        <v>46144</v>
      </c>
      <c r="B5" s="3" t="s">
        <v>53</v>
      </c>
      <c r="C5" s="3" t="s">
        <v>58</v>
      </c>
      <c r="D5" s="3" t="s">
        <v>59</v>
      </c>
      <c r="E5" s="3">
        <v>20</v>
      </c>
      <c r="F5" s="3" t="s">
        <v>2962</v>
      </c>
      <c r="G5" s="11" t="s">
        <v>56</v>
      </c>
      <c r="H5" s="3" t="s">
        <v>74</v>
      </c>
      <c r="I5" s="3" t="s">
        <v>64</v>
      </c>
      <c r="J5" s="16" t="s">
        <v>56</v>
      </c>
      <c r="K5" s="3"/>
      <c r="L5" s="14"/>
      <c r="M5" s="10"/>
    </row>
    <row r="6" spans="1:13">
      <c r="A6" s="6">
        <v>46144</v>
      </c>
      <c r="B6" s="3" t="s">
        <v>2963</v>
      </c>
      <c r="C6" s="3" t="s">
        <v>118</v>
      </c>
      <c r="D6" s="3" t="s">
        <v>59</v>
      </c>
      <c r="E6" s="15">
        <v>52</v>
      </c>
      <c r="F6" s="3" t="s">
        <v>2964</v>
      </c>
      <c r="G6" s="7" t="s">
        <v>116</v>
      </c>
      <c r="H6" s="3" t="s">
        <v>31</v>
      </c>
      <c r="I6" s="3" t="s">
        <v>2960</v>
      </c>
      <c r="J6" s="16" t="s">
        <v>116</v>
      </c>
      <c r="K6" s="6">
        <v>46143</v>
      </c>
      <c r="L6" s="3"/>
      <c r="M6" s="10"/>
    </row>
    <row r="7" spans="1:13">
      <c r="A7" s="6">
        <v>46144</v>
      </c>
      <c r="B7" s="3" t="s">
        <v>29</v>
      </c>
      <c r="C7" s="3" t="s">
        <v>184</v>
      </c>
      <c r="D7" s="3" t="s">
        <v>49</v>
      </c>
      <c r="E7" s="3">
        <v>1</v>
      </c>
      <c r="F7" s="3" t="s">
        <v>2961</v>
      </c>
      <c r="G7" s="11" t="s">
        <v>183</v>
      </c>
      <c r="H7" s="3" t="s">
        <v>31</v>
      </c>
      <c r="I7" s="3" t="s">
        <v>65</v>
      </c>
      <c r="J7" s="16" t="s">
        <v>183</v>
      </c>
      <c r="K7" s="3"/>
      <c r="L7" s="3"/>
      <c r="M7" s="10"/>
    </row>
    <row r="8" spans="1:13">
      <c r="A8" s="6">
        <v>46144</v>
      </c>
      <c r="B8" s="3" t="s">
        <v>29</v>
      </c>
      <c r="C8" s="3" t="s">
        <v>184</v>
      </c>
      <c r="D8" s="3" t="s">
        <v>49</v>
      </c>
      <c r="E8" s="3">
        <v>1</v>
      </c>
      <c r="F8" s="3" t="s">
        <v>2961</v>
      </c>
      <c r="G8" s="11" t="s">
        <v>183</v>
      </c>
      <c r="H8" s="3" t="s">
        <v>74</v>
      </c>
      <c r="I8" s="3" t="s">
        <v>64</v>
      </c>
      <c r="J8" s="16" t="s">
        <v>183</v>
      </c>
      <c r="K8" s="3"/>
      <c r="L8" s="3"/>
      <c r="M8" s="10"/>
    </row>
    <row r="9" spans="1:13">
      <c r="A9" s="28">
        <v>46146</v>
      </c>
      <c r="B9" s="27" t="s">
        <v>354</v>
      </c>
      <c r="C9" s="27" t="s">
        <v>358</v>
      </c>
      <c r="D9" s="27" t="s">
        <v>359</v>
      </c>
      <c r="E9" s="27">
        <v>4</v>
      </c>
      <c r="F9" s="27" t="s">
        <v>2965</v>
      </c>
      <c r="G9" s="33" t="s">
        <v>356</v>
      </c>
      <c r="H9" s="27" t="s">
        <v>31</v>
      </c>
      <c r="I9" s="27" t="s">
        <v>352</v>
      </c>
      <c r="J9" s="29" t="s">
        <v>356</v>
      </c>
      <c r="K9" s="27"/>
      <c r="L9" s="30"/>
      <c r="M9" s="31"/>
    </row>
    <row r="10" spans="1:13">
      <c r="A10" s="28">
        <v>46146</v>
      </c>
      <c r="B10" s="27" t="s">
        <v>2966</v>
      </c>
      <c r="C10" s="27" t="s">
        <v>347</v>
      </c>
      <c r="D10" s="27" t="s">
        <v>348</v>
      </c>
      <c r="E10" s="32">
        <v>1</v>
      </c>
      <c r="F10" s="27" t="s">
        <v>2965</v>
      </c>
      <c r="G10" s="33" t="s">
        <v>345</v>
      </c>
      <c r="H10" s="27" t="s">
        <v>31</v>
      </c>
      <c r="I10" s="27" t="s">
        <v>352</v>
      </c>
      <c r="J10" s="29" t="s">
        <v>345</v>
      </c>
      <c r="K10" s="34"/>
      <c r="L10" s="34"/>
      <c r="M10" s="31"/>
    </row>
    <row r="11" spans="1:13">
      <c r="A11" s="6">
        <v>46146</v>
      </c>
      <c r="B11" s="3" t="s">
        <v>190</v>
      </c>
      <c r="C11" s="3" t="s">
        <v>195</v>
      </c>
      <c r="D11" s="3" t="s">
        <v>49</v>
      </c>
      <c r="E11" s="3">
        <v>1</v>
      </c>
      <c r="F11" s="3" t="s">
        <v>2961</v>
      </c>
      <c r="G11" s="7" t="s">
        <v>193</v>
      </c>
      <c r="H11" s="3" t="s">
        <v>31</v>
      </c>
      <c r="I11" s="3" t="s">
        <v>2960</v>
      </c>
      <c r="J11" s="16" t="s">
        <v>193</v>
      </c>
      <c r="K11" s="3"/>
      <c r="L11" s="3"/>
      <c r="M11" s="10"/>
    </row>
    <row r="12" spans="1:13">
      <c r="A12" s="6">
        <v>46146</v>
      </c>
      <c r="B12" s="3" t="s">
        <v>29</v>
      </c>
      <c r="C12" s="3" t="s">
        <v>203</v>
      </c>
      <c r="D12" s="3" t="s">
        <v>204</v>
      </c>
      <c r="E12" s="3">
        <v>3</v>
      </c>
      <c r="F12" s="3" t="s">
        <v>2967</v>
      </c>
      <c r="G12" s="7" t="s">
        <v>202</v>
      </c>
      <c r="H12" s="3" t="s">
        <v>31</v>
      </c>
      <c r="I12" s="3" t="s">
        <v>43</v>
      </c>
      <c r="J12" s="16" t="s">
        <v>202</v>
      </c>
      <c r="K12" s="6">
        <v>46145</v>
      </c>
      <c r="L12" s="3"/>
      <c r="M12" s="10"/>
    </row>
    <row r="13" spans="1:13">
      <c r="A13" s="6">
        <v>46146</v>
      </c>
      <c r="B13" s="3" t="s">
        <v>209</v>
      </c>
      <c r="C13" s="3" t="s">
        <v>195</v>
      </c>
      <c r="D13" s="3" t="s">
        <v>49</v>
      </c>
      <c r="E13" s="3">
        <v>12</v>
      </c>
      <c r="F13" s="3" t="s">
        <v>2961</v>
      </c>
      <c r="G13" s="7" t="s">
        <v>211</v>
      </c>
      <c r="H13" s="3" t="s">
        <v>31</v>
      </c>
      <c r="I13" s="3" t="s">
        <v>2960</v>
      </c>
      <c r="J13" s="16" t="s">
        <v>211</v>
      </c>
      <c r="K13" s="3"/>
      <c r="L13" s="14"/>
      <c r="M13" s="10"/>
    </row>
    <row r="14" spans="1:13">
      <c r="A14" s="6">
        <v>46146</v>
      </c>
      <c r="B14" s="3" t="s">
        <v>53</v>
      </c>
      <c r="C14" s="3" t="s">
        <v>58</v>
      </c>
      <c r="D14" s="3" t="s">
        <v>59</v>
      </c>
      <c r="E14" s="3">
        <v>53</v>
      </c>
      <c r="F14" s="3" t="s">
        <v>2962</v>
      </c>
      <c r="G14" s="11" t="s">
        <v>56</v>
      </c>
      <c r="H14" s="3" t="s">
        <v>74</v>
      </c>
      <c r="I14" s="3" t="s">
        <v>64</v>
      </c>
      <c r="J14" s="16" t="s">
        <v>56</v>
      </c>
      <c r="K14" s="3"/>
      <c r="L14" s="14"/>
      <c r="M14" s="10"/>
    </row>
    <row r="15" spans="1:13">
      <c r="A15" s="6">
        <v>46146</v>
      </c>
      <c r="B15" s="3" t="s">
        <v>2963</v>
      </c>
      <c r="C15" s="3" t="s">
        <v>118</v>
      </c>
      <c r="D15" s="3" t="s">
        <v>59</v>
      </c>
      <c r="E15" s="15">
        <v>64</v>
      </c>
      <c r="F15" s="3" t="s">
        <v>2964</v>
      </c>
      <c r="G15" s="7" t="s">
        <v>116</v>
      </c>
      <c r="H15" s="3" t="s">
        <v>31</v>
      </c>
      <c r="I15" s="3" t="s">
        <v>2960</v>
      </c>
      <c r="J15" s="16" t="s">
        <v>116</v>
      </c>
      <c r="K15" s="13"/>
      <c r="L15" s="3"/>
      <c r="M15" s="41"/>
    </row>
    <row r="16" spans="1:13">
      <c r="A16" s="6">
        <v>46147</v>
      </c>
      <c r="B16" s="3" t="s">
        <v>354</v>
      </c>
      <c r="C16" s="3" t="s">
        <v>371</v>
      </c>
      <c r="D16" s="3" t="s">
        <v>204</v>
      </c>
      <c r="E16" s="3">
        <v>1</v>
      </c>
      <c r="F16" s="3" t="s">
        <v>2967</v>
      </c>
      <c r="G16" s="20" t="s">
        <v>369</v>
      </c>
      <c r="H16" s="3" t="s">
        <v>31</v>
      </c>
      <c r="I16" s="3" t="s">
        <v>2960</v>
      </c>
      <c r="J16" s="16" t="s">
        <v>369</v>
      </c>
      <c r="K16" s="13"/>
      <c r="L16" s="6">
        <v>46147</v>
      </c>
      <c r="M16" s="41"/>
    </row>
    <row r="17" spans="1:13">
      <c r="A17" s="6">
        <v>46147</v>
      </c>
      <c r="B17" s="3" t="s">
        <v>354</v>
      </c>
      <c r="C17" s="26" t="s">
        <v>376</v>
      </c>
      <c r="D17" s="3" t="s">
        <v>377</v>
      </c>
      <c r="E17" s="3">
        <v>1</v>
      </c>
      <c r="F17" s="3" t="s">
        <v>2961</v>
      </c>
      <c r="G17" s="4" t="s">
        <v>374</v>
      </c>
      <c r="H17" s="3" t="s">
        <v>31</v>
      </c>
      <c r="I17" s="3" t="s">
        <v>2960</v>
      </c>
      <c r="J17" s="16" t="s">
        <v>374</v>
      </c>
      <c r="K17" s="13"/>
      <c r="L17" s="6"/>
      <c r="M17" s="41"/>
    </row>
    <row r="18" spans="1:13">
      <c r="A18" s="6">
        <v>46147</v>
      </c>
      <c r="B18" s="3" t="s">
        <v>354</v>
      </c>
      <c r="C18" s="26" t="s">
        <v>376</v>
      </c>
      <c r="D18" s="3" t="s">
        <v>377</v>
      </c>
      <c r="E18" s="3">
        <v>1</v>
      </c>
      <c r="F18" s="3" t="s">
        <v>2961</v>
      </c>
      <c r="G18" s="43" t="s">
        <v>381</v>
      </c>
      <c r="H18" s="3" t="s">
        <v>31</v>
      </c>
      <c r="I18" s="3" t="s">
        <v>2960</v>
      </c>
      <c r="J18" s="16" t="s">
        <v>381</v>
      </c>
      <c r="K18" s="13"/>
      <c r="L18" s="6"/>
      <c r="M18" s="41"/>
    </row>
    <row r="19" spans="1:13">
      <c r="A19" s="6">
        <v>46147</v>
      </c>
      <c r="B19" s="3" t="s">
        <v>53</v>
      </c>
      <c r="C19" s="3" t="s">
        <v>58</v>
      </c>
      <c r="D19" s="3" t="s">
        <v>59</v>
      </c>
      <c r="E19" s="3">
        <v>55</v>
      </c>
      <c r="F19" s="3" t="s">
        <v>2962</v>
      </c>
      <c r="G19" s="11" t="s">
        <v>56</v>
      </c>
      <c r="H19" s="3" t="s">
        <v>74</v>
      </c>
      <c r="I19" s="3" t="s">
        <v>64</v>
      </c>
      <c r="J19" s="16" t="s">
        <v>56</v>
      </c>
      <c r="K19" s="3"/>
      <c r="L19" s="14"/>
      <c r="M19" s="10"/>
    </row>
    <row r="20" spans="1:13">
      <c r="A20" s="6">
        <v>46147</v>
      </c>
      <c r="B20" s="3" t="s">
        <v>2963</v>
      </c>
      <c r="C20" s="3" t="s">
        <v>118</v>
      </c>
      <c r="D20" s="3" t="s">
        <v>59</v>
      </c>
      <c r="E20" s="15">
        <v>53</v>
      </c>
      <c r="F20" s="3" t="s">
        <v>2964</v>
      </c>
      <c r="G20" s="7" t="s">
        <v>116</v>
      </c>
      <c r="H20" s="3" t="s">
        <v>31</v>
      </c>
      <c r="I20" s="3" t="s">
        <v>2960</v>
      </c>
      <c r="J20" s="16" t="s">
        <v>116</v>
      </c>
      <c r="K20" s="13"/>
      <c r="L20" s="3"/>
      <c r="M20" s="41"/>
    </row>
    <row r="21" spans="1:13">
      <c r="A21" s="6">
        <v>46147</v>
      </c>
      <c r="B21" s="26" t="s">
        <v>2966</v>
      </c>
      <c r="C21" s="26" t="s">
        <v>499</v>
      </c>
      <c r="D21" s="26" t="s">
        <v>348</v>
      </c>
      <c r="E21" s="3">
        <v>1</v>
      </c>
      <c r="F21" s="3" t="s">
        <v>2965</v>
      </c>
      <c r="G21" s="38" t="s">
        <v>498</v>
      </c>
      <c r="H21" s="3" t="s">
        <v>31</v>
      </c>
      <c r="I21" s="3" t="s">
        <v>352</v>
      </c>
      <c r="J21" s="16" t="s">
        <v>498</v>
      </c>
      <c r="K21" s="13"/>
      <c r="L21" s="3"/>
      <c r="M21" s="41"/>
    </row>
    <row r="22" spans="1:13">
      <c r="A22" s="6">
        <v>46147</v>
      </c>
      <c r="B22" s="26" t="s">
        <v>2966</v>
      </c>
      <c r="C22" s="26" t="s">
        <v>502</v>
      </c>
      <c r="D22" s="26" t="s">
        <v>348</v>
      </c>
      <c r="E22" s="3">
        <v>1</v>
      </c>
      <c r="F22" s="3" t="s">
        <v>2965</v>
      </c>
      <c r="G22" s="38" t="s">
        <v>501</v>
      </c>
      <c r="H22" s="3" t="s">
        <v>31</v>
      </c>
      <c r="I22" s="3" t="s">
        <v>352</v>
      </c>
      <c r="J22" s="16" t="s">
        <v>501</v>
      </c>
      <c r="K22" s="13"/>
      <c r="L22" s="3"/>
      <c r="M22" s="41"/>
    </row>
    <row r="23" spans="1:13">
      <c r="A23" s="6">
        <v>46147</v>
      </c>
      <c r="B23" s="26" t="s">
        <v>2966</v>
      </c>
      <c r="C23" s="26" t="s">
        <v>506</v>
      </c>
      <c r="D23" s="26" t="s">
        <v>348</v>
      </c>
      <c r="E23" s="3">
        <v>1</v>
      </c>
      <c r="F23" s="3" t="s">
        <v>2965</v>
      </c>
      <c r="G23" s="38" t="s">
        <v>504</v>
      </c>
      <c r="H23" s="3" t="s">
        <v>31</v>
      </c>
      <c r="I23" s="3" t="s">
        <v>352</v>
      </c>
      <c r="J23" s="16" t="s">
        <v>504</v>
      </c>
      <c r="K23" s="13"/>
      <c r="L23" s="3"/>
      <c r="M23" s="41"/>
    </row>
    <row r="24" spans="1:13">
      <c r="A24" s="6">
        <v>46147</v>
      </c>
      <c r="B24" s="26" t="s">
        <v>2966</v>
      </c>
      <c r="C24" s="26" t="s">
        <v>506</v>
      </c>
      <c r="D24" s="26" t="s">
        <v>348</v>
      </c>
      <c r="E24" s="3">
        <v>1</v>
      </c>
      <c r="F24" s="3" t="s">
        <v>2965</v>
      </c>
      <c r="G24" s="38" t="s">
        <v>509</v>
      </c>
      <c r="H24" s="3" t="s">
        <v>31</v>
      </c>
      <c r="I24" s="3" t="s">
        <v>352</v>
      </c>
      <c r="J24" s="16" t="s">
        <v>509</v>
      </c>
      <c r="K24" s="13"/>
      <c r="L24" s="3"/>
      <c r="M24" s="41"/>
    </row>
    <row r="25" spans="1:13">
      <c r="A25" s="6">
        <v>46148</v>
      </c>
      <c r="B25" s="3" t="s">
        <v>354</v>
      </c>
      <c r="C25" s="26" t="s">
        <v>516</v>
      </c>
      <c r="D25" s="26" t="s">
        <v>377</v>
      </c>
      <c r="E25" s="3">
        <v>2</v>
      </c>
      <c r="F25" s="3" t="s">
        <v>2961</v>
      </c>
      <c r="G25" s="38" t="s">
        <v>515</v>
      </c>
      <c r="H25" s="3" t="s">
        <v>31</v>
      </c>
      <c r="I25" s="3" t="s">
        <v>2960</v>
      </c>
      <c r="J25" s="16" t="s">
        <v>515</v>
      </c>
      <c r="K25" s="41"/>
      <c r="L25" s="41"/>
      <c r="M25" s="37">
        <v>46150</v>
      </c>
    </row>
    <row r="26" spans="1:13">
      <c r="A26" s="6">
        <v>46148</v>
      </c>
      <c r="B26" s="3" t="s">
        <v>2963</v>
      </c>
      <c r="C26" s="3" t="s">
        <v>118</v>
      </c>
      <c r="D26" s="3" t="s">
        <v>59</v>
      </c>
      <c r="E26" s="15">
        <v>58</v>
      </c>
      <c r="F26" s="3" t="s">
        <v>2964</v>
      </c>
      <c r="G26" s="7" t="s">
        <v>116</v>
      </c>
      <c r="H26" s="3" t="s">
        <v>31</v>
      </c>
      <c r="I26" s="3" t="s">
        <v>2960</v>
      </c>
      <c r="J26" s="16" t="s">
        <v>116</v>
      </c>
      <c r="K26" s="13"/>
      <c r="L26" s="3"/>
      <c r="M26" s="41"/>
    </row>
    <row r="27" spans="1:13">
      <c r="A27" s="6">
        <v>46148</v>
      </c>
      <c r="B27" s="3" t="s">
        <v>53</v>
      </c>
      <c r="C27" s="3" t="s">
        <v>58</v>
      </c>
      <c r="D27" s="3" t="s">
        <v>59</v>
      </c>
      <c r="E27" s="3">
        <v>34</v>
      </c>
      <c r="F27" s="3" t="s">
        <v>2962</v>
      </c>
      <c r="G27" s="11" t="s">
        <v>56</v>
      </c>
      <c r="H27" s="3" t="s">
        <v>74</v>
      </c>
      <c r="I27" s="3" t="s">
        <v>64</v>
      </c>
      <c r="J27" s="16" t="s">
        <v>56</v>
      </c>
      <c r="K27" s="3"/>
      <c r="L27" s="14"/>
      <c r="M27" s="10"/>
    </row>
    <row r="28" spans="1:13">
      <c r="A28" s="6">
        <v>46149</v>
      </c>
      <c r="B28" s="3" t="s">
        <v>53</v>
      </c>
      <c r="C28" s="3" t="s">
        <v>58</v>
      </c>
      <c r="D28" s="3" t="s">
        <v>59</v>
      </c>
      <c r="E28" s="3">
        <v>5</v>
      </c>
      <c r="F28" s="3" t="s">
        <v>2962</v>
      </c>
      <c r="G28" s="11" t="s">
        <v>56</v>
      </c>
      <c r="H28" s="3" t="s">
        <v>74</v>
      </c>
      <c r="I28" s="3" t="s">
        <v>64</v>
      </c>
      <c r="J28" s="16" t="s">
        <v>56</v>
      </c>
      <c r="K28" s="3"/>
      <c r="L28" s="6">
        <v>46149</v>
      </c>
      <c r="M28" s="10"/>
    </row>
    <row r="29" spans="1:13">
      <c r="A29" s="6">
        <v>46149</v>
      </c>
      <c r="B29" s="3" t="s">
        <v>2963</v>
      </c>
      <c r="C29" s="3" t="s">
        <v>118</v>
      </c>
      <c r="D29" s="3" t="s">
        <v>59</v>
      </c>
      <c r="E29" s="15">
        <v>44</v>
      </c>
      <c r="F29" s="3" t="s">
        <v>2964</v>
      </c>
      <c r="G29" s="7" t="s">
        <v>116</v>
      </c>
      <c r="H29" s="3" t="s">
        <v>31</v>
      </c>
      <c r="I29" s="3" t="s">
        <v>2960</v>
      </c>
      <c r="J29" s="16" t="s">
        <v>116</v>
      </c>
      <c r="K29" s="13"/>
      <c r="L29" s="3"/>
      <c r="M29" s="41"/>
    </row>
    <row r="30" spans="1:13">
      <c r="A30" s="6">
        <v>46150</v>
      </c>
      <c r="B30" s="48" t="s">
        <v>919</v>
      </c>
      <c r="C30" s="26" t="s">
        <v>358</v>
      </c>
      <c r="D30" s="26" t="s">
        <v>359</v>
      </c>
      <c r="E30" s="15">
        <v>1</v>
      </c>
      <c r="F30" s="3" t="s">
        <v>2965</v>
      </c>
      <c r="G30" s="38" t="s">
        <v>921</v>
      </c>
      <c r="H30" s="3" t="s">
        <v>31</v>
      </c>
      <c r="I30" s="3" t="s">
        <v>353</v>
      </c>
      <c r="J30" s="52" t="s">
        <v>921</v>
      </c>
      <c r="K30" s="13"/>
      <c r="L30" s="3"/>
      <c r="M30" s="41"/>
    </row>
    <row r="31" spans="1:13">
      <c r="A31" s="6">
        <v>46150</v>
      </c>
      <c r="B31" s="3" t="s">
        <v>2963</v>
      </c>
      <c r="C31" s="3" t="s">
        <v>118</v>
      </c>
      <c r="D31" s="3" t="s">
        <v>59</v>
      </c>
      <c r="E31" s="15">
        <v>52</v>
      </c>
      <c r="F31" s="3" t="s">
        <v>2964</v>
      </c>
      <c r="G31" s="7" t="s">
        <v>116</v>
      </c>
      <c r="H31" s="3" t="s">
        <v>31</v>
      </c>
      <c r="I31" s="3" t="s">
        <v>2960</v>
      </c>
      <c r="J31" s="16" t="s">
        <v>116</v>
      </c>
      <c r="K31" s="13"/>
      <c r="L31" s="41"/>
      <c r="M31" s="41"/>
    </row>
    <row r="32" spans="1:13">
      <c r="A32" s="6">
        <v>46151</v>
      </c>
      <c r="B32" s="3" t="s">
        <v>2963</v>
      </c>
      <c r="C32" s="3" t="s">
        <v>118</v>
      </c>
      <c r="D32" s="3" t="s">
        <v>59</v>
      </c>
      <c r="E32" s="15">
        <v>80</v>
      </c>
      <c r="F32" s="3" t="s">
        <v>2968</v>
      </c>
      <c r="G32" s="7" t="s">
        <v>116</v>
      </c>
      <c r="H32" s="3" t="s">
        <v>31</v>
      </c>
      <c r="I32" s="3" t="s">
        <v>2960</v>
      </c>
      <c r="J32" s="16" t="s">
        <v>116</v>
      </c>
      <c r="K32" s="13"/>
      <c r="L32" s="41"/>
      <c r="M32" s="41"/>
    </row>
    <row r="33" spans="1:13">
      <c r="A33" s="6">
        <v>46153</v>
      </c>
      <c r="B33" s="3" t="s">
        <v>2963</v>
      </c>
      <c r="C33" s="3" t="s">
        <v>118</v>
      </c>
      <c r="D33" s="3" t="s">
        <v>59</v>
      </c>
      <c r="E33" s="15">
        <v>85</v>
      </c>
      <c r="F33" s="3" t="s">
        <v>2968</v>
      </c>
      <c r="G33" s="7" t="s">
        <v>116</v>
      </c>
      <c r="H33" s="3" t="s">
        <v>31</v>
      </c>
      <c r="I33" s="3" t="s">
        <v>2960</v>
      </c>
      <c r="J33" s="16" t="s">
        <v>116</v>
      </c>
      <c r="K33" s="13"/>
      <c r="L33" s="41"/>
      <c r="M33" s="41"/>
    </row>
    <row r="34" spans="1:13">
      <c r="A34" s="6">
        <v>46153</v>
      </c>
      <c r="B34" s="26" t="s">
        <v>879</v>
      </c>
      <c r="C34" s="39" t="s">
        <v>883</v>
      </c>
      <c r="D34" s="39" t="s">
        <v>49</v>
      </c>
      <c r="E34" s="15">
        <v>26</v>
      </c>
      <c r="F34" s="3" t="s">
        <v>2969</v>
      </c>
      <c r="G34" s="38" t="s">
        <v>881</v>
      </c>
      <c r="H34" s="3" t="s">
        <v>31</v>
      </c>
      <c r="I34" s="3" t="s">
        <v>2960</v>
      </c>
      <c r="J34" s="16" t="s">
        <v>881</v>
      </c>
      <c r="K34" s="37">
        <v>46149</v>
      </c>
      <c r="L34" s="41"/>
      <c r="M34" s="37"/>
    </row>
    <row r="35" spans="1:13">
      <c r="A35" s="37">
        <v>46154</v>
      </c>
      <c r="B35" s="3" t="s">
        <v>2963</v>
      </c>
      <c r="C35" s="3" t="s">
        <v>118</v>
      </c>
      <c r="D35" s="3" t="s">
        <v>59</v>
      </c>
      <c r="E35" s="15">
        <v>88</v>
      </c>
      <c r="F35" s="3" t="s">
        <v>2968</v>
      </c>
      <c r="G35" s="7" t="s">
        <v>116</v>
      </c>
      <c r="H35" s="3" t="s">
        <v>31</v>
      </c>
      <c r="I35" s="3" t="s">
        <v>2960</v>
      </c>
      <c r="J35" s="16" t="s">
        <v>116</v>
      </c>
      <c r="K35" s="13"/>
      <c r="L35" s="41"/>
      <c r="M35" s="41"/>
    </row>
    <row r="36" spans="1:13">
      <c r="A36" s="37">
        <v>46155</v>
      </c>
      <c r="B36" s="19" t="s">
        <v>2970</v>
      </c>
      <c r="C36" s="26" t="s">
        <v>915</v>
      </c>
      <c r="D36" s="26" t="s">
        <v>49</v>
      </c>
      <c r="E36" s="3">
        <v>1</v>
      </c>
      <c r="F36" s="3" t="s">
        <v>2965</v>
      </c>
      <c r="G36" s="4" t="s">
        <v>913</v>
      </c>
      <c r="H36" s="3" t="s">
        <v>31</v>
      </c>
      <c r="I36" s="3" t="s">
        <v>65</v>
      </c>
      <c r="J36" s="16" t="s">
        <v>913</v>
      </c>
      <c r="K36" s="13"/>
      <c r="L36" s="41"/>
      <c r="M36" s="41"/>
    </row>
    <row r="37" spans="1:13">
      <c r="A37" s="37">
        <v>46155</v>
      </c>
      <c r="B37" s="3" t="s">
        <v>2963</v>
      </c>
      <c r="C37" s="3" t="s">
        <v>118</v>
      </c>
      <c r="D37" s="3" t="s">
        <v>59</v>
      </c>
      <c r="E37" s="15">
        <v>55</v>
      </c>
      <c r="F37" s="3" t="s">
        <v>2971</v>
      </c>
      <c r="G37" s="7" t="s">
        <v>116</v>
      </c>
      <c r="H37" s="3" t="s">
        <v>31</v>
      </c>
      <c r="I37" s="3" t="s">
        <v>2960</v>
      </c>
      <c r="J37" s="16" t="s">
        <v>116</v>
      </c>
      <c r="K37" s="13"/>
      <c r="L37" s="41"/>
      <c r="M37" s="41"/>
    </row>
    <row r="38" spans="1:13">
      <c r="A38" s="37">
        <v>46155</v>
      </c>
      <c r="B38" s="26" t="s">
        <v>879</v>
      </c>
      <c r="C38" s="39" t="s">
        <v>883</v>
      </c>
      <c r="D38" s="39" t="s">
        <v>49</v>
      </c>
      <c r="E38" s="15">
        <v>37</v>
      </c>
      <c r="F38" s="3" t="s">
        <v>2969</v>
      </c>
      <c r="G38" s="38" t="s">
        <v>881</v>
      </c>
      <c r="H38" s="3" t="s">
        <v>31</v>
      </c>
      <c r="I38" s="3" t="s">
        <v>2960</v>
      </c>
      <c r="J38" s="16" t="s">
        <v>881</v>
      </c>
      <c r="K38" s="13"/>
      <c r="L38" s="41"/>
      <c r="M38" s="41"/>
    </row>
    <row r="39" spans="1:13">
      <c r="A39" s="37">
        <v>46156</v>
      </c>
      <c r="B39" s="26" t="s">
        <v>354</v>
      </c>
      <c r="C39" s="26" t="s">
        <v>358</v>
      </c>
      <c r="D39" s="26" t="s">
        <v>359</v>
      </c>
      <c r="E39" s="3">
        <v>1</v>
      </c>
      <c r="F39" s="3" t="s">
        <v>2972</v>
      </c>
      <c r="G39" s="49" t="s">
        <v>1105</v>
      </c>
      <c r="H39" s="3" t="s">
        <v>31</v>
      </c>
      <c r="I39" s="3" t="s">
        <v>2960</v>
      </c>
      <c r="J39" s="16" t="s">
        <v>1105</v>
      </c>
      <c r="K39" s="37">
        <v>46156</v>
      </c>
      <c r="L39" s="41"/>
      <c r="M39" s="41"/>
    </row>
    <row r="40" spans="1:13">
      <c r="A40" s="37">
        <v>46156</v>
      </c>
      <c r="B40" s="26" t="s">
        <v>354</v>
      </c>
      <c r="C40" s="26" t="s">
        <v>358</v>
      </c>
      <c r="D40" s="26" t="s">
        <v>359</v>
      </c>
      <c r="E40" s="3">
        <v>2</v>
      </c>
      <c r="F40" s="3" t="s">
        <v>2972</v>
      </c>
      <c r="G40" s="38" t="s">
        <v>1107</v>
      </c>
      <c r="H40" s="3" t="s">
        <v>31</v>
      </c>
      <c r="I40" s="3" t="s">
        <v>2960</v>
      </c>
      <c r="J40" s="16" t="s">
        <v>1107</v>
      </c>
      <c r="K40" s="13"/>
      <c r="L40" s="41"/>
      <c r="M40" s="37">
        <v>46156</v>
      </c>
    </row>
    <row r="41" spans="1:13">
      <c r="A41" s="37">
        <v>46156</v>
      </c>
      <c r="B41" s="3" t="s">
        <v>2963</v>
      </c>
      <c r="C41" s="3" t="s">
        <v>118</v>
      </c>
      <c r="D41" s="3" t="s">
        <v>59</v>
      </c>
      <c r="E41" s="15">
        <v>101</v>
      </c>
      <c r="F41" s="3" t="s">
        <v>2971</v>
      </c>
      <c r="G41" s="7" t="s">
        <v>116</v>
      </c>
      <c r="H41" s="3" t="s">
        <v>31</v>
      </c>
      <c r="I41" s="3" t="s">
        <v>2960</v>
      </c>
      <c r="J41" s="16" t="s">
        <v>116</v>
      </c>
      <c r="K41" s="13"/>
      <c r="L41" s="41"/>
      <c r="M41" s="41"/>
    </row>
    <row r="42" spans="1:13">
      <c r="A42" s="37">
        <v>46156</v>
      </c>
      <c r="B42" s="26" t="s">
        <v>879</v>
      </c>
      <c r="C42" s="39" t="s">
        <v>883</v>
      </c>
      <c r="D42" s="39" t="s">
        <v>49</v>
      </c>
      <c r="E42" s="15">
        <v>52</v>
      </c>
      <c r="F42" s="3" t="s">
        <v>2969</v>
      </c>
      <c r="G42" s="38" t="s">
        <v>881</v>
      </c>
      <c r="H42" s="3" t="s">
        <v>31</v>
      </c>
      <c r="I42" s="3" t="s">
        <v>2960</v>
      </c>
      <c r="J42" s="16" t="s">
        <v>881</v>
      </c>
      <c r="K42" s="13"/>
      <c r="L42" s="41"/>
      <c r="M42" s="41"/>
    </row>
    <row r="43" spans="1:13">
      <c r="A43" s="6">
        <v>46156</v>
      </c>
      <c r="B43" s="26" t="s">
        <v>490</v>
      </c>
      <c r="C43" s="26" t="s">
        <v>494</v>
      </c>
      <c r="D43" s="26" t="s">
        <v>495</v>
      </c>
      <c r="E43" s="3">
        <v>1</v>
      </c>
      <c r="F43" s="3" t="s">
        <v>2965</v>
      </c>
      <c r="G43" s="38" t="s">
        <v>492</v>
      </c>
      <c r="H43" s="3" t="s">
        <v>31</v>
      </c>
      <c r="I43" s="3" t="s">
        <v>2973</v>
      </c>
      <c r="J43" s="16" t="s">
        <v>492</v>
      </c>
      <c r="K43" s="13"/>
      <c r="L43" s="3"/>
      <c r="M43" s="41"/>
    </row>
    <row r="44" spans="1:13">
      <c r="A44" s="37">
        <v>46157</v>
      </c>
      <c r="B44" s="3" t="s">
        <v>2963</v>
      </c>
      <c r="C44" s="3" t="s">
        <v>118</v>
      </c>
      <c r="D44" s="3" t="s">
        <v>59</v>
      </c>
      <c r="E44" s="15">
        <v>51</v>
      </c>
      <c r="F44" s="3" t="s">
        <v>2971</v>
      </c>
      <c r="G44" s="7" t="s">
        <v>116</v>
      </c>
      <c r="H44" s="3" t="s">
        <v>31</v>
      </c>
      <c r="I44" s="3" t="s">
        <v>2960</v>
      </c>
      <c r="J44" s="16" t="s">
        <v>116</v>
      </c>
      <c r="K44" s="13"/>
      <c r="L44" s="41"/>
      <c r="M44" s="41"/>
    </row>
    <row r="45" spans="1:13">
      <c r="A45" s="37">
        <v>46157</v>
      </c>
      <c r="B45" s="26" t="s">
        <v>879</v>
      </c>
      <c r="C45" s="39" t="s">
        <v>883</v>
      </c>
      <c r="D45" s="39" t="s">
        <v>49</v>
      </c>
      <c r="E45" s="15">
        <v>43</v>
      </c>
      <c r="F45" s="3" t="s">
        <v>2969</v>
      </c>
      <c r="G45" s="38" t="s">
        <v>881</v>
      </c>
      <c r="H45" s="3" t="s">
        <v>31</v>
      </c>
      <c r="I45" s="3" t="s">
        <v>2960</v>
      </c>
      <c r="J45" s="16" t="s">
        <v>881</v>
      </c>
      <c r="K45" s="13"/>
      <c r="L45" s="41"/>
      <c r="M45" s="41"/>
    </row>
    <row r="46" spans="1:13">
      <c r="A46" s="37">
        <v>46158</v>
      </c>
      <c r="B46" s="3" t="s">
        <v>2963</v>
      </c>
      <c r="C46" s="3" t="s">
        <v>118</v>
      </c>
      <c r="D46" s="3" t="s">
        <v>59</v>
      </c>
      <c r="E46" s="15">
        <v>87</v>
      </c>
      <c r="F46" s="3" t="s">
        <v>2971</v>
      </c>
      <c r="G46" s="7" t="s">
        <v>116</v>
      </c>
      <c r="H46" s="3" t="s">
        <v>31</v>
      </c>
      <c r="I46" s="3" t="s">
        <v>2960</v>
      </c>
      <c r="J46" s="16" t="s">
        <v>116</v>
      </c>
      <c r="K46" s="13"/>
      <c r="L46" s="41"/>
      <c r="M46" s="41"/>
    </row>
    <row r="47" spans="1:13">
      <c r="A47" s="37">
        <v>46158</v>
      </c>
      <c r="B47" s="26" t="s">
        <v>879</v>
      </c>
      <c r="C47" s="39" t="s">
        <v>883</v>
      </c>
      <c r="D47" s="39" t="s">
        <v>49</v>
      </c>
      <c r="E47" s="15">
        <v>34</v>
      </c>
      <c r="F47" s="3" t="s">
        <v>2969</v>
      </c>
      <c r="G47" s="38" t="s">
        <v>881</v>
      </c>
      <c r="H47" s="3" t="s">
        <v>31</v>
      </c>
      <c r="I47" s="3" t="s">
        <v>2960</v>
      </c>
      <c r="J47" s="16" t="s">
        <v>881</v>
      </c>
      <c r="K47" s="13"/>
      <c r="L47" s="41"/>
      <c r="M47" s="41"/>
    </row>
    <row r="48" spans="1:13">
      <c r="A48" s="37">
        <v>46158</v>
      </c>
      <c r="B48" s="26" t="s">
        <v>1587</v>
      </c>
      <c r="C48" s="50" t="s">
        <v>1591</v>
      </c>
      <c r="D48" s="26" t="s">
        <v>2974</v>
      </c>
      <c r="E48" s="15">
        <v>1</v>
      </c>
      <c r="F48" s="3" t="s">
        <v>2965</v>
      </c>
      <c r="G48" s="38" t="s">
        <v>1589</v>
      </c>
      <c r="H48" s="3" t="s">
        <v>31</v>
      </c>
      <c r="I48" s="3" t="s">
        <v>353</v>
      </c>
      <c r="J48" s="52" t="s">
        <v>1589</v>
      </c>
      <c r="K48" s="13"/>
      <c r="L48" s="41"/>
      <c r="M48" s="41"/>
    </row>
    <row r="49" spans="1:13">
      <c r="A49" s="37">
        <v>46159</v>
      </c>
      <c r="B49" s="3" t="s">
        <v>2963</v>
      </c>
      <c r="C49" s="3" t="s">
        <v>118</v>
      </c>
      <c r="D49" s="3" t="s">
        <v>59</v>
      </c>
      <c r="E49" s="15">
        <v>62</v>
      </c>
      <c r="F49" s="3" t="s">
        <v>2971</v>
      </c>
      <c r="G49" s="7" t="s">
        <v>116</v>
      </c>
      <c r="H49" s="3" t="s">
        <v>31</v>
      </c>
      <c r="I49" s="3" t="s">
        <v>2960</v>
      </c>
      <c r="J49" s="16" t="s">
        <v>116</v>
      </c>
      <c r="K49" s="13"/>
      <c r="L49" s="41"/>
      <c r="M49" s="41"/>
    </row>
    <row r="50" spans="1:13">
      <c r="A50" s="37">
        <v>46159</v>
      </c>
      <c r="B50" s="26" t="s">
        <v>879</v>
      </c>
      <c r="C50" s="39" t="s">
        <v>883</v>
      </c>
      <c r="D50" s="39" t="s">
        <v>49</v>
      </c>
      <c r="E50" s="15">
        <v>41</v>
      </c>
      <c r="F50" s="3" t="s">
        <v>2969</v>
      </c>
      <c r="G50" s="38" t="s">
        <v>881</v>
      </c>
      <c r="H50" s="3" t="s">
        <v>31</v>
      </c>
      <c r="I50" s="3" t="s">
        <v>2960</v>
      </c>
      <c r="J50" s="16" t="s">
        <v>881</v>
      </c>
      <c r="K50" s="13"/>
      <c r="L50" s="41"/>
      <c r="M50" s="41"/>
    </row>
    <row r="51" spans="1:13">
      <c r="A51" s="37">
        <v>46160</v>
      </c>
      <c r="B51" s="3" t="s">
        <v>2963</v>
      </c>
      <c r="C51" s="3" t="s">
        <v>118</v>
      </c>
      <c r="D51" s="3" t="s">
        <v>59</v>
      </c>
      <c r="E51" s="15">
        <v>31</v>
      </c>
      <c r="F51" s="3" t="s">
        <v>2971</v>
      </c>
      <c r="G51" s="7" t="s">
        <v>116</v>
      </c>
      <c r="H51" s="3" t="s">
        <v>31</v>
      </c>
      <c r="I51" s="3" t="s">
        <v>2960</v>
      </c>
      <c r="J51" s="16" t="s">
        <v>116</v>
      </c>
      <c r="K51" s="13"/>
      <c r="L51" s="41"/>
      <c r="M51" s="41"/>
    </row>
    <row r="52" spans="1:13">
      <c r="A52" s="37">
        <v>46160</v>
      </c>
      <c r="B52" s="26" t="s">
        <v>879</v>
      </c>
      <c r="C52" s="39" t="s">
        <v>883</v>
      </c>
      <c r="D52" s="39" t="s">
        <v>49</v>
      </c>
      <c r="E52" s="15">
        <v>58</v>
      </c>
      <c r="F52" s="3" t="s">
        <v>2969</v>
      </c>
      <c r="G52" s="38" t="s">
        <v>881</v>
      </c>
      <c r="H52" s="3" t="s">
        <v>31</v>
      </c>
      <c r="I52" s="3" t="s">
        <v>2960</v>
      </c>
      <c r="J52" s="16" t="s">
        <v>881</v>
      </c>
      <c r="K52" s="13"/>
      <c r="L52" s="41"/>
      <c r="M52" s="41"/>
    </row>
    <row r="53" spans="1:13">
      <c r="A53" s="37">
        <v>46161</v>
      </c>
      <c r="B53" s="26" t="s">
        <v>879</v>
      </c>
      <c r="C53" s="39" t="s">
        <v>883</v>
      </c>
      <c r="D53" s="39" t="s">
        <v>49</v>
      </c>
      <c r="E53" s="15">
        <v>42</v>
      </c>
      <c r="F53" s="3" t="s">
        <v>2975</v>
      </c>
      <c r="G53" s="38" t="s">
        <v>881</v>
      </c>
      <c r="H53" s="3" t="s">
        <v>31</v>
      </c>
      <c r="I53" s="3" t="s">
        <v>2960</v>
      </c>
      <c r="J53" s="16" t="s">
        <v>881</v>
      </c>
      <c r="K53" s="6"/>
      <c r="L53" s="41"/>
      <c r="M53" s="41"/>
    </row>
    <row r="54" spans="1:13">
      <c r="A54" s="37">
        <v>46162</v>
      </c>
      <c r="B54" s="26" t="s">
        <v>354</v>
      </c>
      <c r="C54" s="26" t="s">
        <v>1729</v>
      </c>
      <c r="D54" s="26" t="s">
        <v>49</v>
      </c>
      <c r="E54" s="15">
        <v>1</v>
      </c>
      <c r="F54" s="3" t="s">
        <v>2965</v>
      </c>
      <c r="G54" s="38" t="s">
        <v>1727</v>
      </c>
      <c r="H54" s="3" t="s">
        <v>31</v>
      </c>
      <c r="I54" s="3" t="s">
        <v>65</v>
      </c>
      <c r="J54" s="16" t="s">
        <v>1727</v>
      </c>
      <c r="K54" s="13"/>
      <c r="L54" s="41"/>
      <c r="M54" s="41"/>
    </row>
    <row r="55" spans="1:13">
      <c r="A55" s="37">
        <v>46162</v>
      </c>
      <c r="B55" s="3" t="s">
        <v>2963</v>
      </c>
      <c r="C55" s="3" t="s">
        <v>118</v>
      </c>
      <c r="D55" s="3" t="s">
        <v>59</v>
      </c>
      <c r="E55" s="15">
        <v>80</v>
      </c>
      <c r="F55" s="3" t="s">
        <v>2971</v>
      </c>
      <c r="G55" s="7" t="s">
        <v>116</v>
      </c>
      <c r="H55" s="3" t="s">
        <v>31</v>
      </c>
      <c r="I55" s="3" t="s">
        <v>2960</v>
      </c>
      <c r="J55" s="16" t="s">
        <v>116</v>
      </c>
      <c r="K55" s="13"/>
      <c r="L55" s="41"/>
      <c r="M55" s="41"/>
    </row>
    <row r="56" spans="1:13">
      <c r="A56" s="37">
        <v>46162</v>
      </c>
      <c r="B56" s="26" t="s">
        <v>879</v>
      </c>
      <c r="C56" s="39" t="s">
        <v>883</v>
      </c>
      <c r="D56" s="39" t="s">
        <v>49</v>
      </c>
      <c r="E56" s="15">
        <v>33</v>
      </c>
      <c r="F56" s="3" t="s">
        <v>2975</v>
      </c>
      <c r="G56" s="38" t="s">
        <v>881</v>
      </c>
      <c r="H56" s="3" t="s">
        <v>31</v>
      </c>
      <c r="I56" s="3" t="s">
        <v>2960</v>
      </c>
      <c r="J56" s="16" t="s">
        <v>881</v>
      </c>
      <c r="K56" s="13"/>
      <c r="L56" s="41"/>
      <c r="M56" s="41"/>
    </row>
    <row r="57" spans="1:13">
      <c r="A57" s="37">
        <v>46163</v>
      </c>
      <c r="B57" s="3" t="s">
        <v>2963</v>
      </c>
      <c r="C57" s="3" t="s">
        <v>118</v>
      </c>
      <c r="D57" s="3" t="s">
        <v>59</v>
      </c>
      <c r="E57" s="15">
        <v>42</v>
      </c>
      <c r="F57" s="3" t="s">
        <v>2971</v>
      </c>
      <c r="G57" s="7" t="s">
        <v>116</v>
      </c>
      <c r="H57" s="3" t="s">
        <v>31</v>
      </c>
      <c r="I57" s="3" t="s">
        <v>2960</v>
      </c>
      <c r="J57" s="16" t="s">
        <v>116</v>
      </c>
      <c r="K57" s="13"/>
      <c r="L57" s="41"/>
      <c r="M57" s="41"/>
    </row>
    <row r="58" spans="1:13">
      <c r="A58" s="37">
        <v>46163</v>
      </c>
      <c r="B58" s="26" t="s">
        <v>879</v>
      </c>
      <c r="C58" s="39" t="s">
        <v>883</v>
      </c>
      <c r="D58" s="39" t="s">
        <v>49</v>
      </c>
      <c r="E58" s="15">
        <v>62</v>
      </c>
      <c r="F58" s="3" t="s">
        <v>2975</v>
      </c>
      <c r="G58" s="38" t="s">
        <v>881</v>
      </c>
      <c r="H58" s="3" t="s">
        <v>31</v>
      </c>
      <c r="I58" s="3" t="s">
        <v>2960</v>
      </c>
      <c r="J58" s="16" t="s">
        <v>881</v>
      </c>
      <c r="K58" s="13"/>
      <c r="L58" s="41"/>
      <c r="M58" s="41"/>
    </row>
    <row r="59" spans="1:13">
      <c r="A59" s="37">
        <v>46164</v>
      </c>
      <c r="B59" s="26" t="s">
        <v>879</v>
      </c>
      <c r="C59" s="39" t="s">
        <v>883</v>
      </c>
      <c r="D59" s="39" t="s">
        <v>49</v>
      </c>
      <c r="E59" s="15">
        <v>27</v>
      </c>
      <c r="F59" s="3" t="s">
        <v>2975</v>
      </c>
      <c r="G59" s="38" t="s">
        <v>881</v>
      </c>
      <c r="H59" s="3" t="s">
        <v>31</v>
      </c>
      <c r="I59" s="3" t="s">
        <v>2960</v>
      </c>
      <c r="J59" s="16" t="s">
        <v>881</v>
      </c>
      <c r="K59" s="13"/>
      <c r="L59" s="41"/>
      <c r="M59" s="41"/>
    </row>
    <row r="60" spans="1:13">
      <c r="A60" s="37">
        <v>46165</v>
      </c>
      <c r="B60" s="3" t="s">
        <v>1982</v>
      </c>
      <c r="C60" s="50" t="s">
        <v>1986</v>
      </c>
      <c r="D60" s="26" t="s">
        <v>59</v>
      </c>
      <c r="E60" s="15">
        <v>41</v>
      </c>
      <c r="F60" s="3" t="s">
        <v>2971</v>
      </c>
      <c r="G60" s="49" t="s">
        <v>1984</v>
      </c>
      <c r="H60" s="3" t="s">
        <v>31</v>
      </c>
      <c r="I60" s="3" t="s">
        <v>2960</v>
      </c>
      <c r="J60" s="16" t="s">
        <v>1984</v>
      </c>
      <c r="K60" s="13"/>
      <c r="L60" s="41"/>
      <c r="M60" s="41"/>
    </row>
    <row r="61" spans="1:13">
      <c r="A61" s="37">
        <v>46165</v>
      </c>
      <c r="B61" s="26" t="s">
        <v>879</v>
      </c>
      <c r="C61" s="39" t="s">
        <v>883</v>
      </c>
      <c r="D61" s="39" t="s">
        <v>49</v>
      </c>
      <c r="E61" s="15">
        <v>52</v>
      </c>
      <c r="F61" s="3" t="s">
        <v>2975</v>
      </c>
      <c r="G61" s="38" t="s">
        <v>881</v>
      </c>
      <c r="H61" s="3" t="s">
        <v>31</v>
      </c>
      <c r="I61" s="3" t="s">
        <v>2960</v>
      </c>
      <c r="J61" s="16" t="s">
        <v>881</v>
      </c>
      <c r="K61" s="13"/>
      <c r="L61" s="41"/>
      <c r="M61" s="41"/>
    </row>
    <row r="62" spans="1:13">
      <c r="A62" s="37">
        <v>46166</v>
      </c>
      <c r="B62" s="26" t="s">
        <v>879</v>
      </c>
      <c r="C62" s="39" t="s">
        <v>883</v>
      </c>
      <c r="D62" s="39" t="s">
        <v>49</v>
      </c>
      <c r="E62" s="15">
        <v>64</v>
      </c>
      <c r="F62" s="3" t="s">
        <v>2975</v>
      </c>
      <c r="G62" s="38" t="s">
        <v>881</v>
      </c>
      <c r="H62" s="3" t="s">
        <v>31</v>
      </c>
      <c r="I62" s="3" t="s">
        <v>2960</v>
      </c>
      <c r="J62" s="16" t="s">
        <v>881</v>
      </c>
      <c r="K62" s="13"/>
      <c r="L62" s="41"/>
      <c r="M62" s="41"/>
    </row>
    <row r="63" spans="1:13">
      <c r="A63" s="37">
        <v>46167</v>
      </c>
      <c r="B63" s="3" t="s">
        <v>1982</v>
      </c>
      <c r="C63" s="50" t="s">
        <v>1986</v>
      </c>
      <c r="D63" s="26" t="s">
        <v>59</v>
      </c>
      <c r="E63" s="15">
        <v>78</v>
      </c>
      <c r="F63" s="3" t="s">
        <v>2971</v>
      </c>
      <c r="G63" s="49" t="s">
        <v>1984</v>
      </c>
      <c r="H63" s="3" t="s">
        <v>31</v>
      </c>
      <c r="I63" s="3" t="s">
        <v>2960</v>
      </c>
      <c r="J63" s="16" t="s">
        <v>1984</v>
      </c>
      <c r="K63" s="13"/>
      <c r="L63" s="41"/>
      <c r="M63" s="41"/>
    </row>
    <row r="64" spans="1:13">
      <c r="A64" s="37">
        <v>46167</v>
      </c>
      <c r="B64" s="26" t="s">
        <v>29</v>
      </c>
      <c r="C64" s="26" t="s">
        <v>2225</v>
      </c>
      <c r="D64" s="26" t="s">
        <v>348</v>
      </c>
      <c r="E64" s="15">
        <v>5</v>
      </c>
      <c r="F64" s="3" t="s">
        <v>2972</v>
      </c>
      <c r="G64" s="4" t="s">
        <v>2223</v>
      </c>
      <c r="H64" s="3" t="s">
        <v>31</v>
      </c>
      <c r="I64" s="3" t="s">
        <v>2960</v>
      </c>
      <c r="J64" s="64" t="s">
        <v>2223</v>
      </c>
      <c r="K64" s="37">
        <v>46166</v>
      </c>
      <c r="L64" s="41"/>
      <c r="M64" s="41"/>
    </row>
    <row r="65" spans="1:13">
      <c r="A65" s="37">
        <v>46167</v>
      </c>
      <c r="B65" s="26" t="s">
        <v>879</v>
      </c>
      <c r="C65" s="39" t="s">
        <v>883</v>
      </c>
      <c r="D65" s="39" t="s">
        <v>49</v>
      </c>
      <c r="E65" s="15">
        <v>57</v>
      </c>
      <c r="F65" s="3" t="s">
        <v>2975</v>
      </c>
      <c r="G65" s="38" t="s">
        <v>881</v>
      </c>
      <c r="H65" s="3" t="s">
        <v>31</v>
      </c>
      <c r="I65" s="3" t="s">
        <v>2960</v>
      </c>
      <c r="J65" s="16" t="s">
        <v>881</v>
      </c>
      <c r="K65" s="13"/>
      <c r="L65" s="41"/>
      <c r="M65" s="41"/>
    </row>
    <row r="66" spans="1:13">
      <c r="A66" s="37">
        <v>46168</v>
      </c>
      <c r="B66" s="39" t="s">
        <v>2976</v>
      </c>
      <c r="C66" s="26" t="s">
        <v>358</v>
      </c>
      <c r="D66" s="26" t="s">
        <v>359</v>
      </c>
      <c r="E66" s="15">
        <v>1</v>
      </c>
      <c r="F66" s="3" t="s">
        <v>2965</v>
      </c>
      <c r="G66" s="38" t="s">
        <v>2292</v>
      </c>
      <c r="H66" s="3" t="s">
        <v>31</v>
      </c>
      <c r="I66" s="3" t="s">
        <v>353</v>
      </c>
      <c r="J66" s="16" t="s">
        <v>2292</v>
      </c>
      <c r="K66" s="13"/>
      <c r="L66" s="41"/>
      <c r="M66" s="41"/>
    </row>
    <row r="67" spans="1:13">
      <c r="A67" s="37">
        <v>46168</v>
      </c>
      <c r="B67" s="3" t="s">
        <v>1982</v>
      </c>
      <c r="C67" s="50" t="s">
        <v>1986</v>
      </c>
      <c r="D67" s="26" t="s">
        <v>59</v>
      </c>
      <c r="E67" s="15">
        <v>28</v>
      </c>
      <c r="F67" s="3" t="s">
        <v>2971</v>
      </c>
      <c r="G67" s="49" t="s">
        <v>1984</v>
      </c>
      <c r="H67" s="3" t="s">
        <v>31</v>
      </c>
      <c r="I67" s="3" t="s">
        <v>2960</v>
      </c>
      <c r="J67" s="16" t="s">
        <v>1984</v>
      </c>
      <c r="K67" s="13"/>
      <c r="L67" s="41"/>
      <c r="M67" s="41"/>
    </row>
    <row r="68" spans="1:13">
      <c r="A68" s="37">
        <v>46168</v>
      </c>
      <c r="B68" s="26" t="s">
        <v>2966</v>
      </c>
      <c r="C68" s="26" t="s">
        <v>2324</v>
      </c>
      <c r="D68" s="26" t="s">
        <v>348</v>
      </c>
      <c r="E68" s="15">
        <v>1</v>
      </c>
      <c r="F68" s="3" t="s">
        <v>2972</v>
      </c>
      <c r="G68" s="38" t="s">
        <v>2323</v>
      </c>
      <c r="H68" s="3" t="s">
        <v>31</v>
      </c>
      <c r="I68" s="3" t="s">
        <v>2960</v>
      </c>
      <c r="J68" s="16" t="s">
        <v>2323</v>
      </c>
      <c r="K68" s="13"/>
      <c r="L68" s="41"/>
      <c r="M68" s="41"/>
    </row>
    <row r="69" spans="1:13">
      <c r="A69" s="37">
        <v>46168</v>
      </c>
      <c r="B69" s="26" t="s">
        <v>2966</v>
      </c>
      <c r="C69" s="26" t="s">
        <v>2324</v>
      </c>
      <c r="D69" s="26" t="s">
        <v>348</v>
      </c>
      <c r="E69" s="15">
        <v>1</v>
      </c>
      <c r="F69" s="3" t="s">
        <v>2972</v>
      </c>
      <c r="G69" s="38" t="s">
        <v>2326</v>
      </c>
      <c r="H69" s="3" t="s">
        <v>31</v>
      </c>
      <c r="I69" s="3" t="s">
        <v>2960</v>
      </c>
      <c r="J69" s="16" t="s">
        <v>2326</v>
      </c>
      <c r="K69" s="13"/>
      <c r="L69" s="41"/>
      <c r="M69" s="41"/>
    </row>
    <row r="70" spans="1:13">
      <c r="A70" s="37">
        <v>46168</v>
      </c>
      <c r="B70" s="26" t="s">
        <v>879</v>
      </c>
      <c r="C70" s="39" t="s">
        <v>883</v>
      </c>
      <c r="D70" s="39" t="s">
        <v>49</v>
      </c>
      <c r="E70" s="15">
        <v>55</v>
      </c>
      <c r="F70" s="3" t="s">
        <v>2975</v>
      </c>
      <c r="G70" s="38" t="s">
        <v>881</v>
      </c>
      <c r="H70" s="3" t="s">
        <v>31</v>
      </c>
      <c r="I70" s="3" t="s">
        <v>2960</v>
      </c>
      <c r="J70" s="16" t="s">
        <v>881</v>
      </c>
      <c r="K70" s="13"/>
      <c r="L70" s="41"/>
      <c r="M70" s="41"/>
    </row>
    <row r="71" spans="1:13">
      <c r="A71" s="37">
        <v>46169</v>
      </c>
      <c r="B71" s="3" t="s">
        <v>1982</v>
      </c>
      <c r="C71" s="50" t="s">
        <v>1986</v>
      </c>
      <c r="D71" s="26" t="s">
        <v>59</v>
      </c>
      <c r="E71" s="15">
        <v>86</v>
      </c>
      <c r="F71" s="3" t="s">
        <v>2971</v>
      </c>
      <c r="G71" s="49" t="s">
        <v>1984</v>
      </c>
      <c r="H71" s="3" t="s">
        <v>31</v>
      </c>
      <c r="I71" s="3" t="s">
        <v>2960</v>
      </c>
      <c r="J71" s="16" t="s">
        <v>1984</v>
      </c>
      <c r="K71" s="13"/>
      <c r="L71" s="41"/>
      <c r="M71" s="41"/>
    </row>
    <row r="72" spans="1:13">
      <c r="A72" s="37">
        <v>46169</v>
      </c>
      <c r="B72" s="26" t="s">
        <v>879</v>
      </c>
      <c r="C72" s="39" t="s">
        <v>883</v>
      </c>
      <c r="D72" s="39" t="s">
        <v>49</v>
      </c>
      <c r="E72" s="15">
        <v>24</v>
      </c>
      <c r="F72" s="3" t="s">
        <v>2975</v>
      </c>
      <c r="G72" s="38" t="s">
        <v>881</v>
      </c>
      <c r="H72" s="3" t="s">
        <v>31</v>
      </c>
      <c r="I72" s="3" t="s">
        <v>2960</v>
      </c>
      <c r="J72" s="16" t="s">
        <v>881</v>
      </c>
      <c r="K72" s="13"/>
      <c r="L72" s="41"/>
      <c r="M72" s="41"/>
    </row>
    <row r="73" spans="1:13">
      <c r="A73" s="37">
        <v>46169</v>
      </c>
      <c r="B73" s="26" t="s">
        <v>2966</v>
      </c>
      <c r="C73" s="26" t="s">
        <v>2494</v>
      </c>
      <c r="D73" s="26" t="s">
        <v>348</v>
      </c>
      <c r="E73" s="15">
        <v>1</v>
      </c>
      <c r="F73" s="3" t="s">
        <v>2972</v>
      </c>
      <c r="G73" s="38" t="s">
        <v>2493</v>
      </c>
      <c r="H73" s="3" t="s">
        <v>31</v>
      </c>
      <c r="I73" s="3" t="s">
        <v>2960</v>
      </c>
      <c r="J73" s="16" t="s">
        <v>2493</v>
      </c>
      <c r="K73" s="13"/>
      <c r="L73" s="41"/>
      <c r="M73" s="41"/>
    </row>
    <row r="74" spans="1:13">
      <c r="A74" s="37">
        <v>46167</v>
      </c>
      <c r="B74" s="26" t="s">
        <v>2966</v>
      </c>
      <c r="C74" s="21" t="s">
        <v>2497</v>
      </c>
      <c r="D74" s="21" t="s">
        <v>348</v>
      </c>
      <c r="E74" s="15">
        <v>1</v>
      </c>
      <c r="F74" s="3" t="s">
        <v>2972</v>
      </c>
      <c r="G74" s="22" t="s">
        <v>2496</v>
      </c>
      <c r="H74" s="3" t="s">
        <v>31</v>
      </c>
      <c r="I74" s="3" t="s">
        <v>2960</v>
      </c>
      <c r="J74" s="64" t="s">
        <v>2496</v>
      </c>
      <c r="K74" s="13"/>
      <c r="L74" s="41"/>
      <c r="M74" s="41"/>
    </row>
    <row r="75" spans="1:13">
      <c r="A75" s="37">
        <v>46170</v>
      </c>
      <c r="B75" s="3" t="s">
        <v>1982</v>
      </c>
      <c r="C75" s="50" t="s">
        <v>1986</v>
      </c>
      <c r="D75" s="26" t="s">
        <v>59</v>
      </c>
      <c r="E75" s="15">
        <v>74</v>
      </c>
      <c r="F75" s="3" t="s">
        <v>2971</v>
      </c>
      <c r="G75" s="49" t="s">
        <v>1984</v>
      </c>
      <c r="H75" s="3" t="s">
        <v>31</v>
      </c>
      <c r="I75" s="3" t="s">
        <v>2960</v>
      </c>
      <c r="J75" s="16" t="s">
        <v>1984</v>
      </c>
      <c r="K75" s="13"/>
      <c r="L75" s="41"/>
      <c r="M75" s="41"/>
    </row>
    <row r="76" spans="1:13">
      <c r="A76" s="37">
        <v>46170</v>
      </c>
      <c r="B76" s="26" t="s">
        <v>2966</v>
      </c>
      <c r="C76" s="21" t="s">
        <v>2575</v>
      </c>
      <c r="D76" s="21" t="s">
        <v>348</v>
      </c>
      <c r="E76" s="15">
        <v>1</v>
      </c>
      <c r="F76" s="3" t="s">
        <v>2972</v>
      </c>
      <c r="G76" s="22" t="s">
        <v>2574</v>
      </c>
      <c r="H76" s="3" t="s">
        <v>31</v>
      </c>
      <c r="I76" s="3" t="s">
        <v>2960</v>
      </c>
      <c r="J76" s="16" t="s">
        <v>2574</v>
      </c>
      <c r="K76" s="13"/>
      <c r="L76" s="37">
        <v>46171</v>
      </c>
      <c r="M76" s="41"/>
    </row>
    <row r="77" spans="1:13">
      <c r="A77" s="37">
        <v>46170</v>
      </c>
      <c r="B77" s="26" t="s">
        <v>879</v>
      </c>
      <c r="C77" s="39" t="s">
        <v>883</v>
      </c>
      <c r="D77" s="39" t="s">
        <v>49</v>
      </c>
      <c r="E77" s="15">
        <v>61</v>
      </c>
      <c r="F77" s="3" t="s">
        <v>2975</v>
      </c>
      <c r="G77" s="38" t="s">
        <v>881</v>
      </c>
      <c r="H77" s="3" t="s">
        <v>31</v>
      </c>
      <c r="I77" s="3" t="s">
        <v>2960</v>
      </c>
      <c r="J77" s="16" t="s">
        <v>881</v>
      </c>
      <c r="K77" s="13"/>
      <c r="L77" s="41"/>
      <c r="M77" s="41"/>
    </row>
    <row r="78" spans="1:13">
      <c r="A78" s="37">
        <v>46171</v>
      </c>
      <c r="B78" s="26" t="s">
        <v>354</v>
      </c>
      <c r="C78" s="21" t="s">
        <v>195</v>
      </c>
      <c r="D78" s="60" t="s">
        <v>49</v>
      </c>
      <c r="E78" s="15">
        <v>2</v>
      </c>
      <c r="F78" s="3" t="s">
        <v>2977</v>
      </c>
      <c r="G78" s="22" t="s">
        <v>2638</v>
      </c>
      <c r="H78" s="3" t="s">
        <v>31</v>
      </c>
      <c r="I78" s="3" t="s">
        <v>2960</v>
      </c>
      <c r="J78" s="16" t="s">
        <v>2638</v>
      </c>
      <c r="K78" s="37">
        <v>46170</v>
      </c>
      <c r="L78" s="41"/>
      <c r="M78" s="41"/>
    </row>
    <row r="79" spans="1:13">
      <c r="A79" s="37">
        <v>46171</v>
      </c>
      <c r="B79" s="26" t="s">
        <v>354</v>
      </c>
      <c r="C79" s="21" t="s">
        <v>195</v>
      </c>
      <c r="D79" s="60" t="s">
        <v>49</v>
      </c>
      <c r="E79" s="15">
        <v>5</v>
      </c>
      <c r="F79" s="3" t="s">
        <v>2977</v>
      </c>
      <c r="G79" s="22" t="s">
        <v>2644</v>
      </c>
      <c r="H79" s="3" t="s">
        <v>31</v>
      </c>
      <c r="I79" s="3" t="s">
        <v>2960</v>
      </c>
      <c r="J79" s="16" t="s">
        <v>2644</v>
      </c>
      <c r="K79" s="13"/>
      <c r="L79" s="41"/>
      <c r="M79" s="41"/>
    </row>
    <row r="80" spans="1:13">
      <c r="A80" s="37">
        <v>46171</v>
      </c>
      <c r="B80" s="3" t="s">
        <v>1982</v>
      </c>
      <c r="C80" s="50" t="s">
        <v>1986</v>
      </c>
      <c r="D80" s="26" t="s">
        <v>59</v>
      </c>
      <c r="E80" s="15">
        <v>12</v>
      </c>
      <c r="F80" s="3" t="s">
        <v>2971</v>
      </c>
      <c r="G80" s="49" t="s">
        <v>1984</v>
      </c>
      <c r="H80" s="3" t="s">
        <v>31</v>
      </c>
      <c r="I80" s="3" t="s">
        <v>2960</v>
      </c>
      <c r="J80" s="16" t="s">
        <v>1984</v>
      </c>
      <c r="K80" s="13"/>
      <c r="L80" s="41"/>
      <c r="M80" s="41"/>
    </row>
    <row r="81" spans="1:13">
      <c r="A81" s="37">
        <v>46171</v>
      </c>
      <c r="B81" s="26" t="s">
        <v>879</v>
      </c>
      <c r="C81" s="39" t="s">
        <v>883</v>
      </c>
      <c r="D81" s="39" t="s">
        <v>49</v>
      </c>
      <c r="E81" s="15">
        <v>65</v>
      </c>
      <c r="F81" s="3" t="s">
        <v>2975</v>
      </c>
      <c r="G81" s="38" t="s">
        <v>881</v>
      </c>
      <c r="H81" s="3" t="s">
        <v>31</v>
      </c>
      <c r="I81" s="3" t="s">
        <v>2960</v>
      </c>
      <c r="J81" s="16" t="s">
        <v>881</v>
      </c>
      <c r="K81" s="13"/>
      <c r="L81" s="41"/>
      <c r="M81" s="41"/>
    </row>
    <row r="82" spans="1:13">
      <c r="A82" s="37">
        <v>46172</v>
      </c>
      <c r="B82" s="3" t="s">
        <v>1982</v>
      </c>
      <c r="C82" s="26" t="s">
        <v>1986</v>
      </c>
      <c r="D82" s="26" t="s">
        <v>59</v>
      </c>
      <c r="E82" s="15">
        <v>58</v>
      </c>
      <c r="F82" s="3" t="s">
        <v>2971</v>
      </c>
      <c r="G82" s="49" t="s">
        <v>1984</v>
      </c>
      <c r="H82" s="3" t="s">
        <v>31</v>
      </c>
      <c r="I82" s="3" t="s">
        <v>2960</v>
      </c>
      <c r="J82" s="16" t="s">
        <v>1984</v>
      </c>
      <c r="K82" s="13"/>
      <c r="L82" s="41"/>
      <c r="M82" s="41"/>
    </row>
    <row r="83" spans="1:13">
      <c r="A83" s="37">
        <v>46172</v>
      </c>
      <c r="B83" s="19" t="s">
        <v>2788</v>
      </c>
      <c r="C83" s="21" t="s">
        <v>195</v>
      </c>
      <c r="D83" s="60" t="s">
        <v>49</v>
      </c>
      <c r="E83" s="15">
        <v>6</v>
      </c>
      <c r="F83" s="3" t="s">
        <v>2977</v>
      </c>
      <c r="G83" s="22" t="s">
        <v>2790</v>
      </c>
      <c r="H83" s="3" t="s">
        <v>31</v>
      </c>
      <c r="I83" s="3" t="s">
        <v>2960</v>
      </c>
      <c r="J83" s="16" t="s">
        <v>2790</v>
      </c>
      <c r="K83" s="13"/>
      <c r="L83" s="41"/>
      <c r="M83" s="41"/>
    </row>
    <row r="84" spans="1:13">
      <c r="A84" s="37">
        <v>46172</v>
      </c>
      <c r="B84" s="26" t="s">
        <v>879</v>
      </c>
      <c r="C84" s="39" t="s">
        <v>883</v>
      </c>
      <c r="D84" s="39" t="s">
        <v>49</v>
      </c>
      <c r="E84" s="15">
        <v>64</v>
      </c>
      <c r="F84" s="3" t="s">
        <v>2975</v>
      </c>
      <c r="G84" s="38" t="s">
        <v>881</v>
      </c>
      <c r="H84" s="3" t="s">
        <v>31</v>
      </c>
      <c r="I84" s="3" t="s">
        <v>2960</v>
      </c>
      <c r="J84" s="16" t="s">
        <v>881</v>
      </c>
      <c r="K84" s="13"/>
      <c r="L84" s="41"/>
      <c r="M84" s="41"/>
    </row>
    <row r="85" spans="1:13">
      <c r="A85" s="37">
        <v>46173</v>
      </c>
      <c r="B85" s="26" t="s">
        <v>879</v>
      </c>
      <c r="C85" s="39" t="s">
        <v>883</v>
      </c>
      <c r="D85" s="39" t="s">
        <v>49</v>
      </c>
      <c r="E85" s="15">
        <v>62</v>
      </c>
      <c r="F85" s="3" t="s">
        <v>2975</v>
      </c>
      <c r="G85" s="38" t="s">
        <v>881</v>
      </c>
      <c r="H85" s="3" t="s">
        <v>31</v>
      </c>
      <c r="I85" s="3" t="s">
        <v>2960</v>
      </c>
      <c r="J85" s="16" t="s">
        <v>881</v>
      </c>
      <c r="K85" s="13"/>
      <c r="L85" s="41"/>
      <c r="M85" s="41"/>
    </row>
    <row r="86" spans="1:13" hidden="1">
      <c r="A86" s="37">
        <v>46174</v>
      </c>
      <c r="B86" s="3" t="s">
        <v>1982</v>
      </c>
      <c r="C86" s="26" t="s">
        <v>1986</v>
      </c>
      <c r="D86" s="26" t="s">
        <v>59</v>
      </c>
      <c r="E86" s="15">
        <v>107</v>
      </c>
      <c r="F86" s="3" t="s">
        <v>2978</v>
      </c>
      <c r="G86" s="49" t="s">
        <v>1984</v>
      </c>
      <c r="H86" s="3" t="s">
        <v>31</v>
      </c>
      <c r="I86" s="3" t="s">
        <v>2960</v>
      </c>
      <c r="J86" s="16" t="s">
        <v>1984</v>
      </c>
      <c r="K86" s="13"/>
      <c r="L86" s="41"/>
      <c r="M86" s="41"/>
    </row>
    <row r="87" spans="1:13" hidden="1">
      <c r="A87" s="37">
        <v>46174</v>
      </c>
      <c r="B87" s="26" t="s">
        <v>879</v>
      </c>
      <c r="C87" s="39" t="s">
        <v>883</v>
      </c>
      <c r="D87" s="39" t="s">
        <v>49</v>
      </c>
      <c r="E87" s="15">
        <v>62</v>
      </c>
      <c r="F87" s="3" t="s">
        <v>2975</v>
      </c>
      <c r="G87" s="38" t="s">
        <v>881</v>
      </c>
      <c r="H87" s="3" t="s">
        <v>31</v>
      </c>
      <c r="I87" s="3" t="s">
        <v>2960</v>
      </c>
      <c r="J87" s="16" t="s">
        <v>881</v>
      </c>
      <c r="K87" s="13"/>
      <c r="L87" s="41"/>
      <c r="M87" s="41"/>
    </row>
  </sheetData>
  <autoFilter ref="A1:M87" xr:uid="{00000000-0009-0000-0000-00000100000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00000000-0004-0000-0100-000000000000}"/>
    <hyperlink ref="J3" r:id="rId2" display="../../../../../:f:/g/personal/soubhagya_swain_premierenergies_com/IgBPE0JRY1e9Tp7zAG7MJg7rAc9qMQi1lFash0MOoWOHkKo?e=MJ1KKS" xr:uid="{00000000-0004-0000-0100-000001000000}"/>
    <hyperlink ref="J4" r:id="rId3" display="../../../../../:f:/g/personal/soubhagya_swain_premierenergies_com/IgCybELZGCOmTbAFnuQmbHa_Af_9iQnPty5st9M1aae5aW0?e=mMc0Ba" xr:uid="{00000000-0004-0000-0100-000002000000}"/>
    <hyperlink ref="J5" r:id="rId4" display="../../../../../:f:/g/personal/soubhagya_swain_premierenergies_com/IgCybELZGCOmTbAFnuQmbHa_Af_9iQnPty5st9M1aae5aW0?e=mMc0Ba" xr:uid="{00000000-0004-0000-0100-000003000000}"/>
    <hyperlink ref="J6" r:id="rId5" display="../../../../../:f:/g/personal/soubhagya_swain_premierenergies_com/IgAvy5fdgeT5SIMd71qQUSZwAVxycewVa_WTjwgETNZXwzg?e=a7Z83X" xr:uid="{00000000-0004-0000-0100-000004000000}"/>
    <hyperlink ref="J7" r:id="rId6" display="../../../../../:f:/g/personal/soubhagya_swain_premierenergies_com/IgCFVj_OH_7LQqkcL1G10IxKAQd1MqbbSLlwCrot-R-aYVA?e=QwrGdt" xr:uid="{00000000-0004-0000-0100-000005000000}"/>
    <hyperlink ref="J8" r:id="rId7" display="../../../../../:f:/g/personal/soubhagya_swain_premierenergies_com/IgCFVj_OH_7LQqkcL1G10IxKAQd1MqbbSLlwCrot-R-aYVA?e=QwrGdt" xr:uid="{00000000-0004-0000-0100-000006000000}"/>
    <hyperlink ref="J9" r:id="rId8" display="../../../../../:f:/g/personal/soubhagya_swain_premierenergies_com/IgBWc1gAFi1kSbkcCDIU--AaAe7F3Wf-zc8tzxU8RnWOVPE?e=hDutUM" xr:uid="{00000000-0004-0000-0100-000007000000}"/>
    <hyperlink ref="J10" r:id="rId9" display="../../../../../:f:/g/personal/soubhagya_swain_premierenergies_com/IgC6yCWJcDPqQL6xjjhX3dj_AbEZIn-mbijSM6VhxoOO13c?e=UTJHSS" xr:uid="{00000000-0004-0000-0100-000008000000}"/>
    <hyperlink ref="J11" r:id="rId10" display="../../../../../:f:/g/personal/soubhagya_swain_premierenergies_com/IgD_bBq7J13tSo1EIVqscYwsAUGnLl4EOwUixTNA0DJ1y7c?e=hzDVFo" xr:uid="{00000000-0004-0000-0100-000009000000}"/>
    <hyperlink ref="J12" r:id="rId11" display="../../../../../:f:/g/personal/soubhagya_swain_premierenergies_com/IgAoKEVmw3X9TbDLoURV4_3lAVWQSHopuch4t2udtAvCdvU?e=E8Q6Sd" xr:uid="{00000000-0004-0000-0100-00000A000000}"/>
    <hyperlink ref="J13" r:id="rId12" display="../../../../../:f:/g/personal/soubhagya_swain_premierenergies_com/IgDYKKsBtLfhRoHGaOgHWbDAAbs8KvikcLb045DnK1dVf8s?e=BYISe7" xr:uid="{00000000-0004-0000-0100-00000B000000}"/>
    <hyperlink ref="J14" r:id="rId13" display="../../../../../:f:/g/personal/soubhagya_swain_premierenergies_com/IgCybELZGCOmTbAFnuQmbHa_Af_9iQnPty5st9M1aae5aW0?e=mMc0Ba" xr:uid="{00000000-0004-0000-0100-00000C000000}"/>
    <hyperlink ref="J15" r:id="rId14" display="../../../../../:f:/g/personal/soubhagya_swain_premierenergies_com/IgAvy5fdgeT5SIMd71qQUSZwAVxycewVa_WTjwgETNZXwzg?e=a7Z83X" xr:uid="{00000000-0004-0000-0100-00000D000000}"/>
    <hyperlink ref="J16" r:id="rId15" display="../../../../../:f:/g/personal/soubhagya_swain_premierenergies_com/IgBQWClNEuVJSZ5LT7zaY_fzASAR4e0q7_F7in4k-ME7cik?e=cdbaIb" xr:uid="{00000000-0004-0000-0100-00000E000000}"/>
    <hyperlink ref="J17" r:id="rId16" display="../../../../../:f:/g/personal/soubhagya_swain_premierenergies_com/IgAqwyJfpkVbQrL1ho5mcvFHAZzgo42_8wkD-zNLniNfriQ?e=r8dbKP" xr:uid="{00000000-0004-0000-0100-00000F000000}"/>
    <hyperlink ref="J18" r:id="rId17" display="../../../../../:f:/g/personal/soubhagya_swain_premierenergies_com/IgCVxpM5bSqSTqfjPMUPogYoAQxLSH6v6XGcXdRHJZcwxB0?e=MqKIui" xr:uid="{00000000-0004-0000-0100-000010000000}"/>
    <hyperlink ref="J19" r:id="rId18" display="../../../../../:f:/g/personal/soubhagya_swain_premierenergies_com/IgCybELZGCOmTbAFnuQmbHa_Af_9iQnPty5st9M1aae5aW0?e=mMc0Ba" xr:uid="{00000000-0004-0000-0100-000011000000}"/>
    <hyperlink ref="J20" r:id="rId19" display="../../../../../:f:/g/personal/soubhagya_swain_premierenergies_com/IgAvy5fdgeT5SIMd71qQUSZwAVxycewVa_WTjwgETNZXwzg?e=a7Z83X" xr:uid="{00000000-0004-0000-0100-000012000000}"/>
    <hyperlink ref="J21" r:id="rId20" display="../../../../../:f:/g/personal/soubhagya_swain_premierenergies_com/IgCoOqpOAzb1QLr90fv0kInoAXVYiV1EB-WncOzDx61mRHQ?e=8pYDpw" xr:uid="{00000000-0004-0000-0100-000013000000}"/>
    <hyperlink ref="J22" r:id="rId21" display="../../../../../:f:/g/personal/soubhagya_swain_premierenergies_com/IgDXQJJf6zmGQ7IXs3HXy5dLAcKsojoe2H5OQ_xxcSFNIj4?e=u5nbKI" xr:uid="{00000000-0004-0000-0100-000014000000}"/>
    <hyperlink ref="J23" r:id="rId22" display="../../../../../:f:/g/personal/soubhagya_swain_premierenergies_com/IgBbdn7C4W4SR42OBq-opVvmAfd8kWDqr-lJU6_a3bZZYVw?e=6ohtOj" xr:uid="{00000000-0004-0000-0100-000015000000}"/>
    <hyperlink ref="J24" r:id="rId23" display="../../../../../:f:/g/personal/soubhagya_swain_premierenergies_com/IgBtNF6Y0nhDS7PeP24qyQ4TAYEezK5rsrc3oc6lWAoMt10?e=L87uqR" xr:uid="{00000000-0004-0000-0100-000016000000}"/>
    <hyperlink ref="J25" r:id="rId24" display="../../../../../:f:/g/personal/soubhagya_swain_premierenergies_com/IgCel3stfnxMS5nndDBzDSgKATHQ-4u9zwOxe18eEawIf-s?e=905AsO" xr:uid="{00000000-0004-0000-0100-000017000000}"/>
    <hyperlink ref="J26" r:id="rId25" display="../../../../../:f:/g/personal/soubhagya_swain_premierenergies_com/IgAvy5fdgeT5SIMd71qQUSZwAVxycewVa_WTjwgETNZXwzg?e=a7Z83X" xr:uid="{00000000-0004-0000-0100-000018000000}"/>
    <hyperlink ref="J27" r:id="rId26" display="../../../../../:f:/g/personal/soubhagya_swain_premierenergies_com/IgCybELZGCOmTbAFnuQmbHa_Af_9iQnPty5st9M1aae5aW0?e=mMc0Ba" xr:uid="{00000000-0004-0000-0100-000019000000}"/>
    <hyperlink ref="J28" r:id="rId27" display="../../../../../:f:/g/personal/soubhagya_swain_premierenergies_com/IgCybELZGCOmTbAFnuQmbHa_Af_9iQnPty5st9M1aae5aW0?e=mMc0Ba" xr:uid="{00000000-0004-0000-0100-00001A000000}"/>
    <hyperlink ref="J29" r:id="rId28" display="../../../../../:f:/g/personal/soubhagya_swain_premierenergies_com/IgAvy5fdgeT5SIMd71qQUSZwAVxycewVa_WTjwgETNZXwzg?e=a7Z83X" xr:uid="{00000000-0004-0000-0100-00001B000000}"/>
    <hyperlink ref="J30" r:id="rId29" display="../../../../../:f:/g/personal/soubhagya_swain_premierenergies_com/IgDgBfEMzY98TrVyc6IRRMQsAasvOpaJNSYAOYCREhxBxmU?e=O7jrAU" xr:uid="{00000000-0004-0000-0100-00001C000000}"/>
    <hyperlink ref="J31" r:id="rId30" display="../../../../../:f:/g/personal/soubhagya_swain_premierenergies_com/IgAvy5fdgeT5SIMd71qQUSZwAVxycewVa_WTjwgETNZXwzg?e=a7Z83X" xr:uid="{00000000-0004-0000-0100-00001D000000}"/>
    <hyperlink ref="J32" r:id="rId31" display="../../../../../:f:/g/personal/soubhagya_swain_premierenergies_com/IgAvy5fdgeT5SIMd71qQUSZwAVxycewVa_WTjwgETNZXwzg?e=a7Z83X" xr:uid="{00000000-0004-0000-0100-00001E000000}"/>
    <hyperlink ref="J33" r:id="rId32" display="../../../../../:f:/g/personal/soubhagya_swain_premierenergies_com/IgAvy5fdgeT5SIMd71qQUSZwAVxycewVa_WTjwgETNZXwzg?e=a7Z83X" xr:uid="{00000000-0004-0000-0100-00001F000000}"/>
    <hyperlink ref="J34" r:id="rId33" display="../../../../../:f:/g/personal/soubhagya_swain_premierenergies_com/IgCkboAzoen4QI5Ai8jVhl54AX1KcXADr7zA66xtKu5jqxw?e=edaA1y" xr:uid="{00000000-0004-0000-0100-000020000000}"/>
    <hyperlink ref="J35" r:id="rId34" display="../../../../../:f:/g/personal/soubhagya_swain_premierenergies_com/IgAvy5fdgeT5SIMd71qQUSZwAVxycewVa_WTjwgETNZXwzg?e=a7Z83X" xr:uid="{00000000-0004-0000-0100-000021000000}"/>
    <hyperlink ref="J36" r:id="rId35" display="../../../../../:f:/g/personal/soubhagya_swain_premierenergies_com/IgBGjFyJf_u6R4R1NBrSkW5FASgVry41MXMez9cAj77THyc?e=cQLYkW" xr:uid="{00000000-0004-0000-0100-000022000000}"/>
    <hyperlink ref="J37" r:id="rId36" display="../../../../../:f:/g/personal/soubhagya_swain_premierenergies_com/IgAvy5fdgeT5SIMd71qQUSZwAVxycewVa_WTjwgETNZXwzg?e=a7Z83X" xr:uid="{00000000-0004-0000-0100-000023000000}"/>
    <hyperlink ref="J38" r:id="rId37" display="../../../../../:f:/g/personal/soubhagya_swain_premierenergies_com/IgCkboAzoen4QI5Ai8jVhl54AX1KcXADr7zA66xtKu5jqxw?e=edaA1y" xr:uid="{00000000-0004-0000-0100-000024000000}"/>
    <hyperlink ref="J39" r:id="rId38" display="../../../../../:f:/g/personal/soubhagya_swain_premierenergies_com/IgAaPQ8GINfoRKRQXw39ur6kAaUD3Z18Va4DSf74l-AHEiY?e=7dyeDc" xr:uid="{00000000-0004-0000-0100-000025000000}"/>
    <hyperlink ref="J40" r:id="rId39" display="../../../../../:f:/g/personal/soubhagya_swain_premierenergies_com/IgDqezEap1OFSYqsD3qvd_5lAdcXdGxP4V5H4KHQAafo_H4?e=ET9Deb" xr:uid="{00000000-0004-0000-0100-000026000000}"/>
    <hyperlink ref="J41" r:id="rId40" display="../../../../../:f:/g/personal/soubhagya_swain_premierenergies_com/IgAvy5fdgeT5SIMd71qQUSZwAVxycewVa_WTjwgETNZXwzg?e=a7Z83X" xr:uid="{00000000-0004-0000-0100-000027000000}"/>
    <hyperlink ref="J42" r:id="rId41" display="../../../../../:f:/g/personal/soubhagya_swain_premierenergies_com/IgCkboAzoen4QI5Ai8jVhl54AX1KcXADr7zA66xtKu5jqxw?e=edaA1y" xr:uid="{00000000-0004-0000-0100-000028000000}"/>
    <hyperlink ref="J43" r:id="rId42" display="../../../../../:f:/g/personal/soubhagya_swain_premierenergies_com/IgBbyc3sY1uOSIZhgQG8JUV8ARXABL42M8y0-Ak416L4I-k?e=t5Oi0i" xr:uid="{00000000-0004-0000-0100-000029000000}"/>
    <hyperlink ref="J44" r:id="rId43" display="../../../../../:f:/g/personal/soubhagya_swain_premierenergies_com/IgAvy5fdgeT5SIMd71qQUSZwAVxycewVa_WTjwgETNZXwzg?e=a7Z83X" xr:uid="{00000000-0004-0000-0100-00002A000000}"/>
    <hyperlink ref="J45" r:id="rId44" display="../../../../../:f:/g/personal/soubhagya_swain_premierenergies_com/IgCkboAzoen4QI5Ai8jVhl54AX1KcXADr7zA66xtKu5jqxw?e=edaA1y" xr:uid="{00000000-0004-0000-0100-00002B000000}"/>
    <hyperlink ref="J46" r:id="rId45" display="../../../../../:f:/g/personal/soubhagya_swain_premierenergies_com/IgAvy5fdgeT5SIMd71qQUSZwAVxycewVa_WTjwgETNZXwzg?e=a7Z83X" xr:uid="{00000000-0004-0000-0100-00002C000000}"/>
    <hyperlink ref="J47" r:id="rId46" display="../../../../../:f:/g/personal/soubhagya_swain_premierenergies_com/IgCkboAzoen4QI5Ai8jVhl54AX1KcXADr7zA66xtKu5jqxw?e=edaA1y" xr:uid="{00000000-0004-0000-0100-00002D000000}"/>
    <hyperlink ref="J48" r:id="rId47" display="../../../../../:f:/g/personal/soubhagya_swain_premierenergies_com/IgCKTNO8hW6mQZ1qK0rPoScnARxzuhZcj9v_hLhSTvmA3aQ?e=DXv6XR" xr:uid="{00000000-0004-0000-0100-00002E000000}"/>
    <hyperlink ref="J49" r:id="rId48" display="../../../../../:f:/g/personal/soubhagya_swain_premierenergies_com/IgAvy5fdgeT5SIMd71qQUSZwAVxycewVa_WTjwgETNZXwzg?e=a7Z83X" xr:uid="{00000000-0004-0000-0100-00002F000000}"/>
    <hyperlink ref="J50" r:id="rId49" display="../../../../../:f:/g/personal/soubhagya_swain_premierenergies_com/IgCkboAzoen4QI5Ai8jVhl54AX1KcXADr7zA66xtKu5jqxw?e=edaA1y" xr:uid="{00000000-0004-0000-0100-000030000000}"/>
    <hyperlink ref="J51" r:id="rId50" display="../../../../../:f:/g/personal/soubhagya_swain_premierenergies_com/IgAvy5fdgeT5SIMd71qQUSZwAVxycewVa_WTjwgETNZXwzg?e=a7Z83X" xr:uid="{00000000-0004-0000-0100-000031000000}"/>
    <hyperlink ref="J52" r:id="rId51" display="../../../../../:f:/g/personal/soubhagya_swain_premierenergies_com/IgCkboAzoen4QI5Ai8jVhl54AX1KcXADr7zA66xtKu5jqxw?e=edaA1y" xr:uid="{00000000-0004-0000-0100-000032000000}"/>
    <hyperlink ref="J53" r:id="rId52" display="../../../../../:f:/g/personal/soubhagya_swain_premierenergies_com/IgCkboAzoen4QI5Ai8jVhl54AX1KcXADr7zA66xtKu5jqxw?e=edaA1y" xr:uid="{00000000-0004-0000-0100-000033000000}"/>
    <hyperlink ref="J54" r:id="rId53" display="../../../../../:f:/g/personal/soubhagya_swain_premierenergies_com/IgD6TE8qpdY8T55GEi-ewmTBAU-dzStWxpNGqO9z1D-6vMI?e=UGM4CH" xr:uid="{00000000-0004-0000-0100-000034000000}"/>
    <hyperlink ref="J55" r:id="rId54" display="../../../../../:f:/g/personal/soubhagya_swain_premierenergies_com/IgAvy5fdgeT5SIMd71qQUSZwAVxycewVa_WTjwgETNZXwzg?e=a7Z83X" xr:uid="{00000000-0004-0000-0100-000035000000}"/>
    <hyperlink ref="J56" r:id="rId55" display="../../../../../:f:/g/personal/soubhagya_swain_premierenergies_com/IgCkboAzoen4QI5Ai8jVhl54AX1KcXADr7zA66xtKu5jqxw?e=edaA1y" xr:uid="{00000000-0004-0000-0100-000036000000}"/>
    <hyperlink ref="J57" r:id="rId56" display="../../../../../:f:/g/personal/soubhagya_swain_premierenergies_com/IgAvy5fdgeT5SIMd71qQUSZwAVxycewVa_WTjwgETNZXwzg?e=a7Z83X" xr:uid="{00000000-0004-0000-0100-000037000000}"/>
    <hyperlink ref="J58" r:id="rId57" display="../../../../../:f:/g/personal/soubhagya_swain_premierenergies_com/IgCkboAzoen4QI5Ai8jVhl54AX1KcXADr7zA66xtKu5jqxw?e=edaA1y" xr:uid="{00000000-0004-0000-0100-000038000000}"/>
    <hyperlink ref="J59" r:id="rId58" display="../../../../../:f:/g/personal/soubhagya_swain_premierenergies_com/IgCkboAzoen4QI5Ai8jVhl54AX1KcXADr7zA66xtKu5jqxw?e=edaA1y" xr:uid="{00000000-0004-0000-0100-000039000000}"/>
    <hyperlink ref="J60" r:id="rId59" display="../../../../../:f:/g/personal/soubhagya_swain_premierenergies_com/IgD0adYxOpk8TpQ2Hn0fypcnAT9z8CNI-oIlPkHo6HK3stQ?e=TaQaoA" xr:uid="{00000000-0004-0000-0100-00003A000000}"/>
    <hyperlink ref="J61" r:id="rId60" display="../../../../../:f:/g/personal/soubhagya_swain_premierenergies_com/IgCkboAzoen4QI5Ai8jVhl54AX1KcXADr7zA66xtKu5jqxw?e=edaA1y" xr:uid="{00000000-0004-0000-0100-00003B000000}"/>
    <hyperlink ref="J62" r:id="rId61" display="../../../../../:f:/g/personal/soubhagya_swain_premierenergies_com/IgCkboAzoen4QI5Ai8jVhl54AX1KcXADr7zA66xtKu5jqxw?e=edaA1y" xr:uid="{00000000-0004-0000-0100-00003C000000}"/>
    <hyperlink ref="J63" r:id="rId62" display="../../../../../:f:/g/personal/soubhagya_swain_premierenergies_com/IgD0adYxOpk8TpQ2Hn0fypcnAT9z8CNI-oIlPkHo6HK3stQ?e=TaQaoA" xr:uid="{00000000-0004-0000-0100-00003D000000}"/>
    <hyperlink ref="J64" r:id="rId63" display="../../../../../:f:/g/personal/soubhagya_swain_premierenergies_com/IgAnfzAGyGLER7ZJJjvtx_qdAWbtzvv8-dhgLhOzxh_dY2c?e=CakAQR" xr:uid="{00000000-0004-0000-0100-00003E000000}"/>
    <hyperlink ref="J65" r:id="rId64" display="../../../../../:f:/g/personal/soubhagya_swain_premierenergies_com/IgCkboAzoen4QI5Ai8jVhl54AX1KcXADr7zA66xtKu5jqxw?e=edaA1y" xr:uid="{00000000-0004-0000-0100-00003F000000}"/>
    <hyperlink ref="J66" r:id="rId65" display="../../../../../:f:/g/personal/soubhagya_swain_premierenergies_com/IgAgipt9FCM8Tq6_nMvOUfYgAdNBmytcrFTJmuiKMT6WstM?e=uzDQYc" xr:uid="{00000000-0004-0000-0100-000040000000}"/>
    <hyperlink ref="J67" r:id="rId66" display="../../../../../:f:/g/personal/soubhagya_swain_premierenergies_com/IgD0adYxOpk8TpQ2Hn0fypcnAT9z8CNI-oIlPkHo6HK3stQ?e=TaQaoA" xr:uid="{00000000-0004-0000-0100-000041000000}"/>
    <hyperlink ref="J68" r:id="rId67" display="../../../../../:f:/g/personal/soubhagya_swain_premierenergies_com/IgBNkLlJyb-mRpgU0K6nJRU6AROtlH1CXSxsJgvGA6i7NqQ?e=FaN6w9" xr:uid="{00000000-0004-0000-0100-000042000000}"/>
    <hyperlink ref="J69" r:id="rId68" display="../../../../../:f:/g/personal/soubhagya_swain_premierenergies_com/IgCaBTfyOVFgSoIji5geLAe9ASmCNjDR4G0CLKF6Ny8CIDA?e=RGNxwc" xr:uid="{00000000-0004-0000-0100-000043000000}"/>
    <hyperlink ref="J70" r:id="rId69" display="../../../../../:f:/g/personal/soubhagya_swain_premierenergies_com/IgCkboAzoen4QI5Ai8jVhl54AX1KcXADr7zA66xtKu5jqxw?e=edaA1y" xr:uid="{00000000-0004-0000-0100-000044000000}"/>
    <hyperlink ref="J71" r:id="rId70" display="../../../../../:f:/g/personal/soubhagya_swain_premierenergies_com/IgD0adYxOpk8TpQ2Hn0fypcnAT9z8CNI-oIlPkHo6HK3stQ?e=TaQaoA" xr:uid="{00000000-0004-0000-0100-000045000000}"/>
    <hyperlink ref="J72" r:id="rId71" display="../../../../../:f:/g/personal/soubhagya_swain_premierenergies_com/IgCkboAzoen4QI5Ai8jVhl54AX1KcXADr7zA66xtKu5jqxw?e=edaA1y" xr:uid="{00000000-0004-0000-0100-000046000000}"/>
    <hyperlink ref="J73" r:id="rId72" display="../../../../../:f:/g/personal/soubhagya_swain_premierenergies_com/IgADiVTubnxqQI41lC0ykfAOAZ2VSnjuV9iVQFBY9b7eC7k?e=2UWhX1" xr:uid="{00000000-0004-0000-0100-000047000000}"/>
    <hyperlink ref="J74" r:id="rId73" display="../../../../../:f:/g/personal/soubhagya_swain_premierenergies_com/IgDGkJx0gr3VTJUtH1qBSexhAYT8Y7-cPfcMwDJckgmdUcI?e=Rw0VZh" xr:uid="{00000000-0004-0000-0100-000048000000}"/>
    <hyperlink ref="J75" r:id="rId74" display="../../../../../:f:/g/personal/soubhagya_swain_premierenergies_com/IgD0adYxOpk8TpQ2Hn0fypcnAT9z8CNI-oIlPkHo6HK3stQ?e=TaQaoA" xr:uid="{00000000-0004-0000-0100-000049000000}"/>
    <hyperlink ref="J76" r:id="rId75" display="../../../../../:f:/g/personal/soubhagya_swain_premierenergies_com/IgBhj9rkkRiFS4PwWUy_xGngASAro3_J-v5IQ5zBEozeD5A?e=SOUnRN" xr:uid="{00000000-0004-0000-0100-00004A000000}"/>
    <hyperlink ref="J77" r:id="rId76" display="../../../../../:f:/g/personal/soubhagya_swain_premierenergies_com/IgCkboAzoen4QI5Ai8jVhl54AX1KcXADr7zA66xtKu5jqxw?e=edaA1y" xr:uid="{00000000-0004-0000-0100-00004B000000}"/>
    <hyperlink ref="J78" r:id="rId77" display="../../../../../:f:/g/personal/soubhagya_swain_premierenergies_com/IgCI8ORtNGBBT6LxqLZRfTkoAUxGCTMwozfSck9GIC_ZB14?e=bOx7MF" xr:uid="{00000000-0004-0000-0100-00004C000000}"/>
    <hyperlink ref="J79" r:id="rId78" display="../../../../../:f:/g/personal/soubhagya_swain_premierenergies_com/IgDD0GXBc44CTZPBqMUi-XylAY8WWuiAYaaH6YSx5nLhsmo?e=YR00xz" xr:uid="{00000000-0004-0000-0100-00004D000000}"/>
    <hyperlink ref="J80" r:id="rId79" display="../../../../../:f:/g/personal/soubhagya_swain_premierenergies_com/IgD0adYxOpk8TpQ2Hn0fypcnAT9z8CNI-oIlPkHo6HK3stQ?e=TaQaoA" xr:uid="{00000000-0004-0000-0100-00004E000000}"/>
    <hyperlink ref="J81" r:id="rId80" display="../../../../../:f:/g/personal/soubhagya_swain_premierenergies_com/IgCkboAzoen4QI5Ai8jVhl54AX1KcXADr7zA66xtKu5jqxw?e=edaA1y" xr:uid="{00000000-0004-0000-0100-00004F000000}"/>
    <hyperlink ref="J82" r:id="rId81" display="../../../../../:f:/g/personal/soubhagya_swain_premierenergies_com/IgD0adYxOpk8TpQ2Hn0fypcnAT9z8CNI-oIlPkHo6HK3stQ?e=TaQaoA" xr:uid="{00000000-0004-0000-0100-000050000000}"/>
    <hyperlink ref="J83" r:id="rId82" display="../../../../../:f:/g/personal/soubhagya_swain_premierenergies_com/IgDKqJzT7aYlSLPULsRxl7oLASzRkOohYjG_uFzkRyVrnGw?e=bgdgrB" xr:uid="{00000000-0004-0000-0100-000051000000}"/>
    <hyperlink ref="J84" r:id="rId83" display="../../../../../:f:/g/personal/soubhagya_swain_premierenergies_com/IgCkboAzoen4QI5Ai8jVhl54AX1KcXADr7zA66xtKu5jqxw?e=edaA1y" xr:uid="{00000000-0004-0000-0100-000052000000}"/>
    <hyperlink ref="J85" r:id="rId84" display="../../../../../:f:/g/personal/soubhagya_swain_premierenergies_com/IgCkboAzoen4QI5Ai8jVhl54AX1KcXADr7zA66xtKu5jqxw?e=edaA1y" xr:uid="{00000000-0004-0000-0100-000053000000}"/>
    <hyperlink ref="J86" r:id="rId85" display="../../../../../:f:/g/personal/soubhagya_swain_premierenergies_com/IgD0adYxOpk8TpQ2Hn0fypcnAT9z8CNI-oIlPkHo6HK3stQ?e=TaQaoA" xr:uid="{00000000-0004-0000-0100-000054000000}"/>
    <hyperlink ref="J87" r:id="rId86" display="../../../../../:f:/g/personal/soubhagya_swain_premierenergies_com/IgCkboAzoen4QI5Ai8jVhl54AX1KcXADr7zA66xtKu5jqxw?e=edaA1y" xr:uid="{00000000-0004-0000-0100-000055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>
      <c r="A1" s="17" t="s">
        <v>2945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X2-A2</f>
        <v>3</v>
      </c>
      <c r="Z2" s="72">
        <v>46143</v>
      </c>
      <c r="AA2" s="73"/>
      <c r="AB2" s="73"/>
    </row>
    <row r="3" spans="1:28" hidden="1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3">
        <f t="shared" si="0"/>
        <v>10</v>
      </c>
      <c r="Z3" s="2">
        <v>46143</v>
      </c>
      <c r="AA3" s="3"/>
      <c r="AB3" s="3"/>
    </row>
    <row r="4" spans="1:28" hidden="1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3">
        <f t="shared" si="0"/>
        <v>10</v>
      </c>
      <c r="Z4" s="2">
        <v>46143</v>
      </c>
      <c r="AA4" s="3"/>
      <c r="AB4" s="3"/>
    </row>
    <row r="5" spans="1:28" hidden="1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74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1">MID(P5,5,2)</f>
        <v>24</v>
      </c>
      <c r="R5" s="53" t="str">
        <f t="shared" ref="R5:R36" si="2">MID(P5,7,2)</f>
        <v>09</v>
      </c>
      <c r="S5" s="3" t="s">
        <v>199</v>
      </c>
      <c r="T5" s="3" t="s">
        <v>40</v>
      </c>
      <c r="U5" s="9" t="s">
        <v>63</v>
      </c>
      <c r="V5" s="3" t="s">
        <v>64</v>
      </c>
      <c r="W5" s="3" t="s">
        <v>74</v>
      </c>
      <c r="X5" s="5"/>
      <c r="Y5" s="3">
        <f t="shared" si="0"/>
        <v>-46106</v>
      </c>
      <c r="Z5" s="18">
        <v>46143</v>
      </c>
      <c r="AA5" s="3"/>
      <c r="AB5" s="3"/>
    </row>
    <row r="6" spans="1:28" hidden="1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74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1"/>
        <v>22</v>
      </c>
      <c r="R6" s="53" t="str">
        <f t="shared" si="2"/>
        <v>12</v>
      </c>
      <c r="S6" s="3" t="s">
        <v>199</v>
      </c>
      <c r="T6" s="3" t="s">
        <v>40</v>
      </c>
      <c r="U6" s="9" t="s">
        <v>63</v>
      </c>
      <c r="V6" s="3" t="s">
        <v>64</v>
      </c>
      <c r="W6" s="3" t="s">
        <v>74</v>
      </c>
      <c r="X6" s="15"/>
      <c r="Y6" s="3">
        <f t="shared" si="0"/>
        <v>-46106</v>
      </c>
      <c r="Z6" s="18">
        <v>46143</v>
      </c>
      <c r="AA6" s="3"/>
      <c r="AB6" s="3"/>
    </row>
    <row r="7" spans="1:28" hidden="1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74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1"/>
        <v>22</v>
      </c>
      <c r="R7" s="53" t="str">
        <f t="shared" si="2"/>
        <v>12</v>
      </c>
      <c r="S7" s="3" t="s">
        <v>199</v>
      </c>
      <c r="T7" s="3" t="s">
        <v>40</v>
      </c>
      <c r="U7" s="9" t="s">
        <v>63</v>
      </c>
      <c r="V7" s="3" t="s">
        <v>64</v>
      </c>
      <c r="W7" s="3" t="s">
        <v>74</v>
      </c>
      <c r="X7" s="3"/>
      <c r="Y7" s="3">
        <f t="shared" si="0"/>
        <v>-46106</v>
      </c>
      <c r="Z7" s="18">
        <v>46143</v>
      </c>
      <c r="AA7" s="3"/>
      <c r="AB7" s="3"/>
    </row>
    <row r="8" spans="1:28" hidden="1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74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1"/>
        <v>22</v>
      </c>
      <c r="R8" s="53" t="str">
        <f t="shared" si="2"/>
        <v>12</v>
      </c>
      <c r="S8" s="3" t="s">
        <v>199</v>
      </c>
      <c r="T8" s="3" t="s">
        <v>40</v>
      </c>
      <c r="U8" s="9" t="s">
        <v>69</v>
      </c>
      <c r="V8" s="3" t="s">
        <v>64</v>
      </c>
      <c r="W8" s="3" t="s">
        <v>74</v>
      </c>
      <c r="X8" s="15"/>
      <c r="Y8" s="3">
        <f t="shared" si="0"/>
        <v>-46106</v>
      </c>
      <c r="Z8" s="18">
        <v>46143</v>
      </c>
      <c r="AA8" s="3"/>
      <c r="AB8" s="3"/>
    </row>
    <row r="9" spans="1:28" hidden="1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74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1"/>
        <v>23</v>
      </c>
      <c r="R9" s="53" t="str">
        <f t="shared" si="2"/>
        <v>01</v>
      </c>
      <c r="S9" s="3" t="s">
        <v>199</v>
      </c>
      <c r="T9" s="3" t="s">
        <v>40</v>
      </c>
      <c r="U9" s="9" t="s">
        <v>63</v>
      </c>
      <c r="V9" s="3" t="s">
        <v>64</v>
      </c>
      <c r="W9" s="3" t="s">
        <v>74</v>
      </c>
      <c r="X9" s="3"/>
      <c r="Y9" s="3">
        <f t="shared" si="0"/>
        <v>-46106</v>
      </c>
      <c r="Z9" s="18">
        <v>46143</v>
      </c>
      <c r="AA9" s="3"/>
      <c r="AB9" s="3"/>
    </row>
    <row r="10" spans="1:28" hidden="1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74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1"/>
        <v>23</v>
      </c>
      <c r="R10" s="53" t="str">
        <f t="shared" si="2"/>
        <v>01</v>
      </c>
      <c r="S10" s="3" t="s">
        <v>199</v>
      </c>
      <c r="T10" s="3" t="s">
        <v>40</v>
      </c>
      <c r="U10" s="9" t="s">
        <v>69</v>
      </c>
      <c r="V10" s="3" t="s">
        <v>64</v>
      </c>
      <c r="W10" s="3" t="s">
        <v>74</v>
      </c>
      <c r="X10" s="15"/>
      <c r="Y10" s="3">
        <f t="shared" si="0"/>
        <v>-46106</v>
      </c>
      <c r="Z10" s="18">
        <v>46143</v>
      </c>
      <c r="AA10" s="3"/>
      <c r="AB10" s="3"/>
    </row>
    <row r="11" spans="1:28" hidden="1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74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1"/>
        <v>22</v>
      </c>
      <c r="R11" s="53" t="str">
        <f t="shared" si="2"/>
        <v>12</v>
      </c>
      <c r="S11" s="3" t="s">
        <v>199</v>
      </c>
      <c r="T11" s="3" t="s">
        <v>40</v>
      </c>
      <c r="U11" s="9" t="s">
        <v>63</v>
      </c>
      <c r="V11" s="3" t="s">
        <v>64</v>
      </c>
      <c r="W11" s="3" t="s">
        <v>74</v>
      </c>
      <c r="X11" s="3"/>
      <c r="Y11" s="3">
        <f t="shared" si="0"/>
        <v>-46106</v>
      </c>
      <c r="Z11" s="18">
        <v>46143</v>
      </c>
      <c r="AA11" s="3"/>
      <c r="AB11" s="3"/>
    </row>
    <row r="12" spans="1:28" hidden="1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74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1"/>
        <v>22</v>
      </c>
      <c r="R12" s="53" t="str">
        <f t="shared" si="2"/>
        <v>12</v>
      </c>
      <c r="S12" s="3" t="s">
        <v>199</v>
      </c>
      <c r="T12" s="3" t="s">
        <v>40</v>
      </c>
      <c r="U12" s="9" t="s">
        <v>63</v>
      </c>
      <c r="V12" s="3" t="s">
        <v>64</v>
      </c>
      <c r="W12" s="3" t="s">
        <v>74</v>
      </c>
      <c r="X12" s="15"/>
      <c r="Y12" s="3">
        <f t="shared" si="0"/>
        <v>-46106</v>
      </c>
      <c r="Z12" s="18">
        <v>46143</v>
      </c>
      <c r="AA12" s="3"/>
      <c r="AB12" s="3"/>
    </row>
    <row r="13" spans="1:28" hidden="1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1"/>
        <v>22</v>
      </c>
      <c r="R13" s="53" t="str">
        <f t="shared" si="2"/>
        <v>12</v>
      </c>
      <c r="S13" s="3" t="s">
        <v>199</v>
      </c>
      <c r="T13" s="3" t="s">
        <v>40</v>
      </c>
      <c r="U13" s="9" t="s">
        <v>63</v>
      </c>
      <c r="V13" s="3" t="s">
        <v>64</v>
      </c>
      <c r="W13" s="3" t="s">
        <v>74</v>
      </c>
      <c r="X13" s="3"/>
      <c r="Y13" s="3">
        <f t="shared" si="0"/>
        <v>-46106</v>
      </c>
      <c r="Z13" s="18">
        <v>46143</v>
      </c>
      <c r="AA13" s="3"/>
      <c r="AB13" s="3"/>
    </row>
    <row r="14" spans="1:28" hidden="1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74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1"/>
        <v>22</v>
      </c>
      <c r="R14" s="53" t="str">
        <f t="shared" si="2"/>
        <v>12</v>
      </c>
      <c r="S14" s="3" t="s">
        <v>199</v>
      </c>
      <c r="T14" s="3" t="s">
        <v>40</v>
      </c>
      <c r="U14" s="9" t="s">
        <v>63</v>
      </c>
      <c r="V14" s="3" t="s">
        <v>64</v>
      </c>
      <c r="W14" s="3" t="s">
        <v>74</v>
      </c>
      <c r="X14" s="15"/>
      <c r="Y14" s="3">
        <f t="shared" si="0"/>
        <v>-46106</v>
      </c>
      <c r="Z14" s="18">
        <v>46143</v>
      </c>
      <c r="AA14" s="3"/>
      <c r="AB14" s="3"/>
    </row>
    <row r="15" spans="1:28" hidden="1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74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1"/>
        <v>22</v>
      </c>
      <c r="R15" s="53" t="str">
        <f t="shared" si="2"/>
        <v>12</v>
      </c>
      <c r="S15" s="3" t="s">
        <v>199</v>
      </c>
      <c r="T15" s="3" t="s">
        <v>40</v>
      </c>
      <c r="U15" s="9" t="s">
        <v>63</v>
      </c>
      <c r="V15" s="3" t="s">
        <v>64</v>
      </c>
      <c r="W15" s="3" t="s">
        <v>74</v>
      </c>
      <c r="X15" s="3"/>
      <c r="Y15" s="3">
        <f t="shared" si="0"/>
        <v>-46106</v>
      </c>
      <c r="Z15" s="18">
        <v>46143</v>
      </c>
      <c r="AA15" s="3"/>
      <c r="AB15" s="3"/>
    </row>
    <row r="16" spans="1:28" hidden="1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74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1"/>
        <v>22</v>
      </c>
      <c r="R16" s="53" t="str">
        <f t="shared" si="2"/>
        <v>12</v>
      </c>
      <c r="S16" s="3" t="s">
        <v>199</v>
      </c>
      <c r="T16" s="3" t="s">
        <v>40</v>
      </c>
      <c r="U16" s="9" t="s">
        <v>63</v>
      </c>
      <c r="V16" s="3" t="s">
        <v>64</v>
      </c>
      <c r="W16" s="3" t="s">
        <v>74</v>
      </c>
      <c r="X16" s="15"/>
      <c r="Y16" s="3">
        <f t="shared" si="0"/>
        <v>-46106</v>
      </c>
      <c r="Z16" s="18">
        <v>46143</v>
      </c>
      <c r="AA16" s="3"/>
      <c r="AB16" s="3"/>
    </row>
    <row r="17" spans="1:28" hidden="1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74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1"/>
        <v>22</v>
      </c>
      <c r="R17" s="53" t="str">
        <f t="shared" si="2"/>
        <v>12</v>
      </c>
      <c r="S17" s="3" t="s">
        <v>199</v>
      </c>
      <c r="T17" s="3" t="s">
        <v>40</v>
      </c>
      <c r="U17" s="9" t="s">
        <v>63</v>
      </c>
      <c r="V17" s="3" t="s">
        <v>64</v>
      </c>
      <c r="W17" s="3" t="s">
        <v>74</v>
      </c>
      <c r="X17" s="3"/>
      <c r="Y17" s="3">
        <f t="shared" si="0"/>
        <v>-46106</v>
      </c>
      <c r="Z17" s="18">
        <v>46143</v>
      </c>
      <c r="AA17" s="3"/>
      <c r="AB17" s="3"/>
    </row>
    <row r="18" spans="1:28" hidden="1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74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1"/>
        <v>23</v>
      </c>
      <c r="R18" s="53" t="str">
        <f t="shared" si="2"/>
        <v>01</v>
      </c>
      <c r="S18" s="3" t="s">
        <v>199</v>
      </c>
      <c r="T18" s="3" t="s">
        <v>40</v>
      </c>
      <c r="U18" s="9" t="s">
        <v>63</v>
      </c>
      <c r="V18" s="3" t="s">
        <v>64</v>
      </c>
      <c r="W18" s="3" t="s">
        <v>74</v>
      </c>
      <c r="X18" s="15"/>
      <c r="Y18" s="3">
        <f t="shared" si="0"/>
        <v>-46106</v>
      </c>
      <c r="Z18" s="18">
        <v>46143</v>
      </c>
      <c r="AA18" s="3"/>
      <c r="AB18" s="3"/>
    </row>
    <row r="19" spans="1:28" hidden="1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74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1"/>
        <v>23</v>
      </c>
      <c r="R19" s="53" t="str">
        <f t="shared" si="2"/>
        <v>01</v>
      </c>
      <c r="S19" s="3" t="s">
        <v>199</v>
      </c>
      <c r="T19" s="3" t="s">
        <v>40</v>
      </c>
      <c r="U19" s="9" t="s">
        <v>69</v>
      </c>
      <c r="V19" s="3" t="s">
        <v>64</v>
      </c>
      <c r="W19" s="3" t="s">
        <v>74</v>
      </c>
      <c r="X19" s="3"/>
      <c r="Y19" s="3">
        <f t="shared" si="0"/>
        <v>-46106</v>
      </c>
      <c r="Z19" s="18">
        <v>46143</v>
      </c>
      <c r="AA19" s="3"/>
      <c r="AB19" s="3"/>
    </row>
    <row r="20" spans="1:28" hidden="1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74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1"/>
        <v>22</v>
      </c>
      <c r="R20" s="53" t="str">
        <f t="shared" si="2"/>
        <v>12</v>
      </c>
      <c r="S20" s="3" t="s">
        <v>199</v>
      </c>
      <c r="T20" s="3" t="s">
        <v>40</v>
      </c>
      <c r="U20" s="9" t="s">
        <v>63</v>
      </c>
      <c r="V20" s="3" t="s">
        <v>64</v>
      </c>
      <c r="W20" s="3" t="s">
        <v>74</v>
      </c>
      <c r="X20" s="15"/>
      <c r="Y20" s="3">
        <f t="shared" si="0"/>
        <v>-46106</v>
      </c>
      <c r="Z20" s="18">
        <v>46143</v>
      </c>
      <c r="AA20" s="3"/>
      <c r="AB20" s="3"/>
    </row>
    <row r="21" spans="1:28" hidden="1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74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1"/>
        <v>22</v>
      </c>
      <c r="R21" s="53" t="str">
        <f t="shared" si="2"/>
        <v>12</v>
      </c>
      <c r="S21" s="3" t="s">
        <v>199</v>
      </c>
      <c r="T21" s="3" t="s">
        <v>40</v>
      </c>
      <c r="U21" s="9" t="s">
        <v>63</v>
      </c>
      <c r="V21" s="3" t="s">
        <v>64</v>
      </c>
      <c r="W21" s="3" t="s">
        <v>74</v>
      </c>
      <c r="X21" s="3"/>
      <c r="Y21" s="3">
        <f t="shared" si="0"/>
        <v>-46106</v>
      </c>
      <c r="Z21" s="18">
        <v>46143</v>
      </c>
      <c r="AA21" s="3"/>
      <c r="AB21" s="3"/>
    </row>
    <row r="22" spans="1:28" hidden="1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74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1"/>
        <v>22</v>
      </c>
      <c r="R22" s="53" t="str">
        <f t="shared" si="2"/>
        <v>12</v>
      </c>
      <c r="S22" s="3" t="s">
        <v>199</v>
      </c>
      <c r="T22" s="3" t="s">
        <v>40</v>
      </c>
      <c r="U22" s="9" t="s">
        <v>69</v>
      </c>
      <c r="V22" s="3" t="s">
        <v>64</v>
      </c>
      <c r="W22" s="3" t="s">
        <v>74</v>
      </c>
      <c r="X22" s="15"/>
      <c r="Y22" s="3">
        <f t="shared" si="0"/>
        <v>-46106</v>
      </c>
      <c r="Z22" s="18">
        <v>46143</v>
      </c>
      <c r="AA22" s="3"/>
      <c r="AB22" s="3"/>
    </row>
    <row r="23" spans="1:28" hidden="1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74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1"/>
        <v>22</v>
      </c>
      <c r="R23" s="53" t="str">
        <f t="shared" si="2"/>
        <v>12</v>
      </c>
      <c r="S23" s="3" t="s">
        <v>199</v>
      </c>
      <c r="T23" s="3" t="s">
        <v>40</v>
      </c>
      <c r="U23" s="9" t="s">
        <v>69</v>
      </c>
      <c r="V23" s="3" t="s">
        <v>64</v>
      </c>
      <c r="W23" s="3" t="s">
        <v>74</v>
      </c>
      <c r="X23" s="3"/>
      <c r="Y23" s="3">
        <f t="shared" si="0"/>
        <v>-46106</v>
      </c>
      <c r="Z23" s="18">
        <v>46143</v>
      </c>
      <c r="AA23" s="3"/>
      <c r="AB23" s="3"/>
    </row>
    <row r="24" spans="1:28" hidden="1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74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1"/>
        <v>22</v>
      </c>
      <c r="R24" s="53" t="str">
        <f t="shared" si="2"/>
        <v>12</v>
      </c>
      <c r="S24" s="3" t="s">
        <v>199</v>
      </c>
      <c r="T24" s="3" t="s">
        <v>40</v>
      </c>
      <c r="U24" s="9" t="s">
        <v>69</v>
      </c>
      <c r="V24" s="3" t="s">
        <v>64</v>
      </c>
      <c r="W24" s="3" t="s">
        <v>74</v>
      </c>
      <c r="X24" s="15"/>
      <c r="Y24" s="3">
        <f t="shared" si="0"/>
        <v>-46106</v>
      </c>
      <c r="Z24" s="18">
        <v>46143</v>
      </c>
      <c r="AA24" s="3"/>
      <c r="AB24" s="3"/>
    </row>
    <row r="25" spans="1:28" hidden="1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74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1"/>
        <v>22</v>
      </c>
      <c r="R25" s="53" t="str">
        <f t="shared" si="2"/>
        <v>12</v>
      </c>
      <c r="S25" s="3" t="s">
        <v>199</v>
      </c>
      <c r="T25" s="3" t="s">
        <v>40</v>
      </c>
      <c r="U25" s="9" t="s">
        <v>69</v>
      </c>
      <c r="V25" s="3" t="s">
        <v>64</v>
      </c>
      <c r="W25" s="3" t="s">
        <v>74</v>
      </c>
      <c r="X25" s="3"/>
      <c r="Y25" s="3">
        <f t="shared" si="0"/>
        <v>-46106</v>
      </c>
      <c r="Z25" s="18">
        <v>46143</v>
      </c>
      <c r="AA25" s="3"/>
      <c r="AB25" s="3"/>
    </row>
    <row r="26" spans="1:28" hidden="1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74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1"/>
        <v>22</v>
      </c>
      <c r="R26" s="53" t="str">
        <f t="shared" si="2"/>
        <v>12</v>
      </c>
      <c r="S26" s="3" t="s">
        <v>199</v>
      </c>
      <c r="T26" s="3" t="s">
        <v>40</v>
      </c>
      <c r="U26" s="9" t="s">
        <v>63</v>
      </c>
      <c r="V26" s="3" t="s">
        <v>64</v>
      </c>
      <c r="W26" s="3" t="s">
        <v>74</v>
      </c>
      <c r="X26" s="15"/>
      <c r="Y26" s="3">
        <f t="shared" si="0"/>
        <v>-46106</v>
      </c>
      <c r="Z26" s="18">
        <v>46143</v>
      </c>
      <c r="AA26" s="3"/>
      <c r="AB26" s="3"/>
    </row>
    <row r="27" spans="1:28" hidden="1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74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1"/>
        <v>22</v>
      </c>
      <c r="R27" s="53" t="str">
        <f t="shared" si="2"/>
        <v>12</v>
      </c>
      <c r="S27" s="3" t="s">
        <v>199</v>
      </c>
      <c r="T27" s="3" t="s">
        <v>40</v>
      </c>
      <c r="U27" s="9" t="s">
        <v>69</v>
      </c>
      <c r="V27" s="3" t="s">
        <v>64</v>
      </c>
      <c r="W27" s="3" t="s">
        <v>74</v>
      </c>
      <c r="X27" s="3"/>
      <c r="Y27" s="3">
        <f t="shared" si="0"/>
        <v>-46106</v>
      </c>
      <c r="Z27" s="18">
        <v>46143</v>
      </c>
      <c r="AA27" s="3"/>
      <c r="AB27" s="3"/>
    </row>
    <row r="28" spans="1:28" hidden="1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74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1"/>
        <v>22</v>
      </c>
      <c r="R28" s="53" t="str">
        <f t="shared" si="2"/>
        <v>12</v>
      </c>
      <c r="S28" s="3" t="s">
        <v>199</v>
      </c>
      <c r="T28" s="3" t="s">
        <v>40</v>
      </c>
      <c r="U28" s="9" t="s">
        <v>69</v>
      </c>
      <c r="V28" s="3" t="s">
        <v>64</v>
      </c>
      <c r="W28" s="3" t="s">
        <v>74</v>
      </c>
      <c r="X28" s="15"/>
      <c r="Y28" s="3">
        <f t="shared" si="0"/>
        <v>-46106</v>
      </c>
      <c r="Z28" s="18">
        <v>46143</v>
      </c>
      <c r="AA28" s="3"/>
      <c r="AB28" s="3"/>
    </row>
    <row r="29" spans="1:28" hidden="1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74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1"/>
        <v>22</v>
      </c>
      <c r="R29" s="53" t="str">
        <f t="shared" si="2"/>
        <v>12</v>
      </c>
      <c r="S29" s="3" t="s">
        <v>199</v>
      </c>
      <c r="T29" s="3" t="s">
        <v>40</v>
      </c>
      <c r="U29" s="9" t="s">
        <v>69</v>
      </c>
      <c r="V29" s="3" t="s">
        <v>64</v>
      </c>
      <c r="W29" s="3" t="s">
        <v>74</v>
      </c>
      <c r="X29" s="3"/>
      <c r="Y29" s="3">
        <f t="shared" si="0"/>
        <v>-46106</v>
      </c>
      <c r="Z29" s="18">
        <v>46144</v>
      </c>
      <c r="AA29" s="3"/>
      <c r="AB29" s="3"/>
    </row>
    <row r="30" spans="1:28" hidden="1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74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1"/>
        <v>22</v>
      </c>
      <c r="R30" s="53" t="str">
        <f t="shared" si="2"/>
        <v>12</v>
      </c>
      <c r="S30" s="3" t="s">
        <v>199</v>
      </c>
      <c r="T30" s="3" t="s">
        <v>40</v>
      </c>
      <c r="U30" s="9" t="s">
        <v>69</v>
      </c>
      <c r="V30" s="3" t="s">
        <v>64</v>
      </c>
      <c r="W30" s="3" t="s">
        <v>74</v>
      </c>
      <c r="X30" s="15"/>
      <c r="Y30" s="3">
        <f t="shared" si="0"/>
        <v>-46106</v>
      </c>
      <c r="Z30" s="18">
        <v>46144</v>
      </c>
      <c r="AA30" s="3"/>
      <c r="AB30" s="3"/>
    </row>
    <row r="31" spans="1:28" hidden="1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74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1"/>
        <v>22</v>
      </c>
      <c r="R31" s="53" t="str">
        <f t="shared" si="2"/>
        <v>12</v>
      </c>
      <c r="S31" s="3" t="s">
        <v>199</v>
      </c>
      <c r="T31" s="3" t="s">
        <v>40</v>
      </c>
      <c r="U31" s="9" t="s">
        <v>69</v>
      </c>
      <c r="V31" s="3" t="s">
        <v>64</v>
      </c>
      <c r="W31" s="3" t="s">
        <v>74</v>
      </c>
      <c r="X31" s="3"/>
      <c r="Y31" s="3">
        <f t="shared" si="0"/>
        <v>-46106</v>
      </c>
      <c r="Z31" s="18">
        <v>46144</v>
      </c>
      <c r="AA31" s="3"/>
      <c r="AB31" s="3"/>
    </row>
    <row r="32" spans="1:28" hidden="1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74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1"/>
        <v>22</v>
      </c>
      <c r="R32" s="53" t="str">
        <f t="shared" si="2"/>
        <v>12</v>
      </c>
      <c r="S32" s="3" t="s">
        <v>199</v>
      </c>
      <c r="T32" s="3" t="s">
        <v>40</v>
      </c>
      <c r="U32" s="9" t="s">
        <v>69</v>
      </c>
      <c r="V32" s="3" t="s">
        <v>64</v>
      </c>
      <c r="W32" s="3" t="s">
        <v>74</v>
      </c>
      <c r="X32" s="15"/>
      <c r="Y32" s="3">
        <f t="shared" si="0"/>
        <v>-46106</v>
      </c>
      <c r="Z32" s="18">
        <v>46144</v>
      </c>
      <c r="AA32" s="3"/>
      <c r="AB32" s="3"/>
    </row>
    <row r="33" spans="1:28" hidden="1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74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1"/>
        <v>22</v>
      </c>
      <c r="R33" s="53" t="str">
        <f t="shared" si="2"/>
        <v>12</v>
      </c>
      <c r="S33" s="3" t="s">
        <v>199</v>
      </c>
      <c r="T33" s="3" t="s">
        <v>40</v>
      </c>
      <c r="U33" s="9" t="s">
        <v>69</v>
      </c>
      <c r="V33" s="3" t="s">
        <v>64</v>
      </c>
      <c r="W33" s="3" t="s">
        <v>74</v>
      </c>
      <c r="X33" s="3"/>
      <c r="Y33" s="3">
        <f t="shared" si="0"/>
        <v>-46106</v>
      </c>
      <c r="Z33" s="18">
        <v>46144</v>
      </c>
      <c r="AA33" s="3"/>
      <c r="AB33" s="3"/>
    </row>
    <row r="34" spans="1:28" hidden="1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74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1"/>
        <v>23</v>
      </c>
      <c r="R34" s="53" t="str">
        <f t="shared" si="2"/>
        <v>01</v>
      </c>
      <c r="S34" s="3" t="s">
        <v>199</v>
      </c>
      <c r="T34" s="3" t="s">
        <v>40</v>
      </c>
      <c r="U34" s="9" t="s">
        <v>63</v>
      </c>
      <c r="V34" s="3" t="s">
        <v>64</v>
      </c>
      <c r="W34" s="3" t="s">
        <v>74</v>
      </c>
      <c r="X34" s="15"/>
      <c r="Y34" s="3">
        <f t="shared" si="0"/>
        <v>-46106</v>
      </c>
      <c r="Z34" s="18">
        <v>46144</v>
      </c>
      <c r="AA34" s="3"/>
      <c r="AB34" s="3"/>
    </row>
    <row r="35" spans="1:28" hidden="1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74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1"/>
        <v>22</v>
      </c>
      <c r="R35" s="53" t="str">
        <f t="shared" si="2"/>
        <v>12</v>
      </c>
      <c r="S35" s="3" t="s">
        <v>199</v>
      </c>
      <c r="T35" s="3" t="s">
        <v>40</v>
      </c>
      <c r="U35" s="9" t="s">
        <v>63</v>
      </c>
      <c r="V35" s="3" t="s">
        <v>64</v>
      </c>
      <c r="W35" s="3" t="s">
        <v>74</v>
      </c>
      <c r="X35" s="3"/>
      <c r="Y35" s="3">
        <f t="shared" si="0"/>
        <v>-46106</v>
      </c>
      <c r="Z35" s="18">
        <v>46144</v>
      </c>
      <c r="AA35" s="3"/>
      <c r="AB35" s="3"/>
    </row>
    <row r="36" spans="1:28" hidden="1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1"/>
        <v>22</v>
      </c>
      <c r="R36" s="53" t="str">
        <f t="shared" si="2"/>
        <v>12</v>
      </c>
      <c r="S36" s="3" t="s">
        <v>199</v>
      </c>
      <c r="T36" s="3" t="s">
        <v>40</v>
      </c>
      <c r="U36" s="9" t="s">
        <v>63</v>
      </c>
      <c r="V36" s="3" t="s">
        <v>64</v>
      </c>
      <c r="W36" s="3" t="s">
        <v>74</v>
      </c>
      <c r="X36" s="15"/>
      <c r="Y36" s="3">
        <f t="shared" si="0"/>
        <v>-46106</v>
      </c>
      <c r="Z36" s="18">
        <v>46144</v>
      </c>
      <c r="AA36" s="3"/>
      <c r="AB36" s="3"/>
    </row>
    <row r="37" spans="1:28" hidden="1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74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3">MID(P37,5,2)</f>
        <v>23</v>
      </c>
      <c r="R37" s="53" t="str">
        <f t="shared" ref="R37:R68" si="4">MID(P37,7,2)</f>
        <v>01</v>
      </c>
      <c r="S37" s="3" t="s">
        <v>199</v>
      </c>
      <c r="T37" s="3" t="s">
        <v>40</v>
      </c>
      <c r="U37" s="9" t="s">
        <v>69</v>
      </c>
      <c r="V37" s="3" t="s">
        <v>64</v>
      </c>
      <c r="W37" s="3" t="s">
        <v>74</v>
      </c>
      <c r="X37" s="3"/>
      <c r="Y37" s="3">
        <f t="shared" si="0"/>
        <v>-46106</v>
      </c>
      <c r="Z37" s="18">
        <v>46144</v>
      </c>
      <c r="AA37" s="3"/>
      <c r="AB37" s="3"/>
    </row>
    <row r="38" spans="1:28" hidden="1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74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3"/>
        <v>22</v>
      </c>
      <c r="R38" s="53" t="str">
        <f t="shared" si="4"/>
        <v>12</v>
      </c>
      <c r="S38" s="3" t="s">
        <v>199</v>
      </c>
      <c r="T38" s="3" t="s">
        <v>40</v>
      </c>
      <c r="U38" s="9" t="s">
        <v>69</v>
      </c>
      <c r="V38" s="3" t="s">
        <v>64</v>
      </c>
      <c r="W38" s="3" t="s">
        <v>74</v>
      </c>
      <c r="X38" s="15"/>
      <c r="Y38" s="3">
        <f t="shared" si="0"/>
        <v>-46106</v>
      </c>
      <c r="Z38" s="18">
        <v>46144</v>
      </c>
      <c r="AA38" s="3"/>
      <c r="AB38" s="3"/>
    </row>
    <row r="39" spans="1:28" hidden="1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74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3"/>
        <v>23</v>
      </c>
      <c r="R39" s="53" t="str">
        <f t="shared" si="4"/>
        <v>01</v>
      </c>
      <c r="S39" s="3" t="s">
        <v>199</v>
      </c>
      <c r="T39" s="3" t="s">
        <v>40</v>
      </c>
      <c r="U39" s="9" t="s">
        <v>63</v>
      </c>
      <c r="V39" s="3" t="s">
        <v>64</v>
      </c>
      <c r="W39" s="3" t="s">
        <v>74</v>
      </c>
      <c r="X39" s="3"/>
      <c r="Y39" s="3">
        <f t="shared" si="0"/>
        <v>-46106</v>
      </c>
      <c r="Z39" s="18">
        <v>46144</v>
      </c>
      <c r="AA39" s="3"/>
      <c r="AB39" s="3"/>
    </row>
    <row r="40" spans="1:28" hidden="1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74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3"/>
        <v>22</v>
      </c>
      <c r="R40" s="53" t="str">
        <f t="shared" si="4"/>
        <v>12</v>
      </c>
      <c r="S40" s="3" t="s">
        <v>199</v>
      </c>
      <c r="T40" s="3" t="s">
        <v>40</v>
      </c>
      <c r="U40" s="9" t="s">
        <v>63</v>
      </c>
      <c r="V40" s="3" t="s">
        <v>64</v>
      </c>
      <c r="W40" s="3" t="s">
        <v>74</v>
      </c>
      <c r="X40" s="15"/>
      <c r="Y40" s="3">
        <f t="shared" si="0"/>
        <v>-46106</v>
      </c>
      <c r="Z40" s="18">
        <v>46144</v>
      </c>
      <c r="AA40" s="3"/>
      <c r="AB40" s="3"/>
    </row>
    <row r="41" spans="1:28" hidden="1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74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3"/>
        <v>22</v>
      </c>
      <c r="R41" s="53" t="str">
        <f t="shared" si="4"/>
        <v>12</v>
      </c>
      <c r="S41" s="3" t="s">
        <v>199</v>
      </c>
      <c r="T41" s="3" t="s">
        <v>40</v>
      </c>
      <c r="U41" s="9" t="s">
        <v>63</v>
      </c>
      <c r="V41" s="3" t="s">
        <v>64</v>
      </c>
      <c r="W41" s="3" t="s">
        <v>74</v>
      </c>
      <c r="X41" s="3"/>
      <c r="Y41" s="3">
        <f t="shared" si="0"/>
        <v>-46106</v>
      </c>
      <c r="Z41" s="18">
        <v>46144</v>
      </c>
      <c r="AA41" s="3"/>
      <c r="AB41" s="3"/>
    </row>
    <row r="42" spans="1:28" hidden="1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74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3"/>
        <v>22</v>
      </c>
      <c r="R42" s="53" t="str">
        <f t="shared" si="4"/>
        <v>12</v>
      </c>
      <c r="S42" s="3" t="s">
        <v>199</v>
      </c>
      <c r="T42" s="3" t="s">
        <v>40</v>
      </c>
      <c r="U42" s="9" t="s">
        <v>63</v>
      </c>
      <c r="V42" s="3" t="s">
        <v>64</v>
      </c>
      <c r="W42" s="3" t="s">
        <v>74</v>
      </c>
      <c r="X42" s="15"/>
      <c r="Y42" s="3">
        <f t="shared" si="0"/>
        <v>-46106</v>
      </c>
      <c r="Z42" s="18">
        <v>46144</v>
      </c>
      <c r="AA42" s="3"/>
      <c r="AB42" s="3"/>
    </row>
    <row r="43" spans="1:28" hidden="1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74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3"/>
        <v>22</v>
      </c>
      <c r="R43" s="53" t="str">
        <f t="shared" si="4"/>
        <v>12</v>
      </c>
      <c r="S43" s="3" t="s">
        <v>199</v>
      </c>
      <c r="T43" s="3" t="s">
        <v>40</v>
      </c>
      <c r="U43" s="9" t="s">
        <v>63</v>
      </c>
      <c r="V43" s="3" t="s">
        <v>64</v>
      </c>
      <c r="W43" s="3" t="s">
        <v>74</v>
      </c>
      <c r="X43" s="3"/>
      <c r="Y43" s="3">
        <f t="shared" si="0"/>
        <v>-46106</v>
      </c>
      <c r="Z43" s="18">
        <v>46144</v>
      </c>
      <c r="AA43" s="3"/>
      <c r="AB43" s="3"/>
    </row>
    <row r="44" spans="1:28" hidden="1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74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3"/>
        <v>22</v>
      </c>
      <c r="R44" s="53" t="str">
        <f t="shared" si="4"/>
        <v>12</v>
      </c>
      <c r="S44" s="3" t="s">
        <v>199</v>
      </c>
      <c r="T44" s="3" t="s">
        <v>40</v>
      </c>
      <c r="U44" s="9" t="s">
        <v>69</v>
      </c>
      <c r="V44" s="3" t="s">
        <v>64</v>
      </c>
      <c r="W44" s="3" t="s">
        <v>74</v>
      </c>
      <c r="X44" s="15"/>
      <c r="Y44" s="3">
        <f t="shared" si="0"/>
        <v>-46106</v>
      </c>
      <c r="Z44" s="18">
        <v>46144</v>
      </c>
      <c r="AA44" s="3"/>
      <c r="AB44" s="3"/>
    </row>
    <row r="45" spans="1:28" hidden="1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74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3"/>
        <v>22</v>
      </c>
      <c r="R45" s="53" t="str">
        <f t="shared" si="4"/>
        <v>12</v>
      </c>
      <c r="S45" s="3" t="s">
        <v>199</v>
      </c>
      <c r="T45" s="3" t="s">
        <v>40</v>
      </c>
      <c r="U45" s="9" t="s">
        <v>69</v>
      </c>
      <c r="V45" s="3" t="s">
        <v>64</v>
      </c>
      <c r="W45" s="3" t="s">
        <v>74</v>
      </c>
      <c r="X45" s="3"/>
      <c r="Y45" s="3">
        <f t="shared" si="0"/>
        <v>-46106</v>
      </c>
      <c r="Z45" s="18">
        <v>46144</v>
      </c>
      <c r="AA45" s="3"/>
      <c r="AB45" s="3"/>
    </row>
    <row r="46" spans="1:28" hidden="1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74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3"/>
        <v>22</v>
      </c>
      <c r="R46" s="53" t="str">
        <f t="shared" si="4"/>
        <v>12</v>
      </c>
      <c r="S46" s="3" t="s">
        <v>199</v>
      </c>
      <c r="T46" s="3" t="s">
        <v>40</v>
      </c>
      <c r="U46" s="9" t="s">
        <v>63</v>
      </c>
      <c r="V46" s="3" t="s">
        <v>64</v>
      </c>
      <c r="W46" s="3" t="s">
        <v>74</v>
      </c>
      <c r="X46" s="15"/>
      <c r="Y46" s="3">
        <f t="shared" si="0"/>
        <v>-46106</v>
      </c>
      <c r="Z46" s="18">
        <v>46144</v>
      </c>
      <c r="AA46" s="3"/>
      <c r="AB46" s="3"/>
    </row>
    <row r="47" spans="1:28" hidden="1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74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3"/>
        <v>22</v>
      </c>
      <c r="R47" s="53" t="str">
        <f t="shared" si="4"/>
        <v>12</v>
      </c>
      <c r="S47" s="3" t="s">
        <v>199</v>
      </c>
      <c r="T47" s="3" t="s">
        <v>40</v>
      </c>
      <c r="U47" s="9" t="s">
        <v>69</v>
      </c>
      <c r="V47" s="3" t="s">
        <v>64</v>
      </c>
      <c r="W47" s="3" t="s">
        <v>74</v>
      </c>
      <c r="X47" s="3"/>
      <c r="Y47" s="3">
        <f t="shared" si="0"/>
        <v>-46106</v>
      </c>
      <c r="Z47" s="18">
        <v>46144</v>
      </c>
      <c r="AA47" s="3"/>
      <c r="AB47" s="3"/>
    </row>
    <row r="48" spans="1:28" hidden="1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74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3"/>
        <v>22</v>
      </c>
      <c r="R48" s="53" t="str">
        <f t="shared" si="4"/>
        <v>12</v>
      </c>
      <c r="S48" s="3" t="s">
        <v>199</v>
      </c>
      <c r="T48" s="3" t="s">
        <v>40</v>
      </c>
      <c r="U48" s="9" t="s">
        <v>113</v>
      </c>
      <c r="V48" s="3" t="s">
        <v>64</v>
      </c>
      <c r="W48" s="3" t="s">
        <v>74</v>
      </c>
      <c r="X48" s="5"/>
      <c r="Y48" s="3">
        <f t="shared" si="0"/>
        <v>-46106</v>
      </c>
      <c r="Z48" s="18">
        <v>46144</v>
      </c>
      <c r="AA48" s="15"/>
      <c r="AB48" s="15"/>
    </row>
    <row r="49" spans="1:28" hidden="1">
      <c r="A49" s="6">
        <v>46107</v>
      </c>
      <c r="B49" s="3">
        <v>2026</v>
      </c>
      <c r="C49" s="3" t="s">
        <v>2963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3"/>
        <v>24</v>
      </c>
      <c r="R49" s="53" t="str">
        <f t="shared" si="4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3">
        <f t="shared" si="0"/>
        <v>37</v>
      </c>
      <c r="Z49" s="18">
        <v>46144</v>
      </c>
      <c r="AA49" s="3"/>
      <c r="AB49" s="3"/>
    </row>
    <row r="50" spans="1:28" hidden="1">
      <c r="A50" s="6">
        <v>46107</v>
      </c>
      <c r="B50" s="3">
        <v>2026</v>
      </c>
      <c r="C50" s="3" t="s">
        <v>2963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3"/>
        <v>24</v>
      </c>
      <c r="R50" s="53" t="str">
        <f t="shared" si="4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3">
        <f t="shared" si="0"/>
        <v>37</v>
      </c>
      <c r="Z50" s="18">
        <v>46144</v>
      </c>
      <c r="AA50" s="3"/>
      <c r="AB50" s="3"/>
    </row>
    <row r="51" spans="1:28" hidden="1">
      <c r="A51" s="6">
        <v>46107</v>
      </c>
      <c r="B51" s="3">
        <v>2026</v>
      </c>
      <c r="C51" s="3" t="s">
        <v>2963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3"/>
        <v>24</v>
      </c>
      <c r="R51" s="53" t="str">
        <f t="shared" si="4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3">
        <f t="shared" si="0"/>
        <v>37</v>
      </c>
      <c r="Z51" s="18">
        <v>46144</v>
      </c>
      <c r="AA51" s="3"/>
      <c r="AB51" s="3"/>
    </row>
    <row r="52" spans="1:28" hidden="1">
      <c r="A52" s="6">
        <v>46107</v>
      </c>
      <c r="B52" s="3">
        <v>2026</v>
      </c>
      <c r="C52" s="3" t="s">
        <v>2963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3"/>
        <v>24</v>
      </c>
      <c r="R52" s="53" t="str">
        <f t="shared" si="4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3">
        <f t="shared" si="0"/>
        <v>37</v>
      </c>
      <c r="Z52" s="18">
        <v>46144</v>
      </c>
      <c r="AA52" s="3"/>
      <c r="AB52" s="3"/>
    </row>
    <row r="53" spans="1:28" hidden="1">
      <c r="A53" s="6">
        <v>46107</v>
      </c>
      <c r="B53" s="3">
        <v>2026</v>
      </c>
      <c r="C53" s="3" t="s">
        <v>2963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3"/>
        <v>24</v>
      </c>
      <c r="R53" s="53" t="str">
        <f t="shared" si="4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3">
        <f t="shared" si="0"/>
        <v>37</v>
      </c>
      <c r="Z53" s="18">
        <v>46144</v>
      </c>
      <c r="AA53" s="3"/>
      <c r="AB53" s="3"/>
    </row>
    <row r="54" spans="1:28" hidden="1">
      <c r="A54" s="6">
        <v>46107</v>
      </c>
      <c r="B54" s="3">
        <v>2026</v>
      </c>
      <c r="C54" s="3" t="s">
        <v>2963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3"/>
        <v>24</v>
      </c>
      <c r="R54" s="53" t="str">
        <f t="shared" si="4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3">
        <f t="shared" si="0"/>
        <v>37</v>
      </c>
      <c r="Z54" s="18">
        <v>46144</v>
      </c>
      <c r="AA54" s="3"/>
      <c r="AB54" s="3"/>
    </row>
    <row r="55" spans="1:28" hidden="1">
      <c r="A55" s="6">
        <v>46107</v>
      </c>
      <c r="B55" s="3">
        <v>2026</v>
      </c>
      <c r="C55" s="3" t="s">
        <v>2963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3"/>
        <v>24</v>
      </c>
      <c r="R55" s="53" t="str">
        <f t="shared" si="4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3">
        <f t="shared" si="0"/>
        <v>37</v>
      </c>
      <c r="Z55" s="18">
        <v>46144</v>
      </c>
      <c r="AA55" s="3"/>
      <c r="AB55" s="3"/>
    </row>
    <row r="56" spans="1:28" hidden="1">
      <c r="A56" s="6">
        <v>46107</v>
      </c>
      <c r="B56" s="3">
        <v>2026</v>
      </c>
      <c r="C56" s="3" t="s">
        <v>2963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3"/>
        <v>24</v>
      </c>
      <c r="R56" s="53" t="str">
        <f t="shared" si="4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3">
        <f t="shared" si="0"/>
        <v>37</v>
      </c>
      <c r="Z56" s="18">
        <v>46144</v>
      </c>
      <c r="AA56" s="3"/>
      <c r="AB56" s="3"/>
    </row>
    <row r="57" spans="1:28" hidden="1">
      <c r="A57" s="6">
        <v>46107</v>
      </c>
      <c r="B57" s="3">
        <v>2026</v>
      </c>
      <c r="C57" s="3" t="s">
        <v>2963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3"/>
        <v>24</v>
      </c>
      <c r="R57" s="53" t="str">
        <f t="shared" si="4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3">
        <f t="shared" si="0"/>
        <v>37</v>
      </c>
      <c r="Z57" s="18">
        <v>46144</v>
      </c>
      <c r="AA57" s="3"/>
      <c r="AB57" s="3"/>
    </row>
    <row r="58" spans="1:28" hidden="1">
      <c r="A58" s="6">
        <v>46107</v>
      </c>
      <c r="B58" s="3">
        <v>2026</v>
      </c>
      <c r="C58" s="3" t="s">
        <v>2963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3"/>
        <v>24</v>
      </c>
      <c r="R58" s="53" t="str">
        <f t="shared" si="4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3">
        <f t="shared" si="0"/>
        <v>37</v>
      </c>
      <c r="Z58" s="18">
        <v>46144</v>
      </c>
      <c r="AA58" s="3"/>
      <c r="AB58" s="3"/>
    </row>
    <row r="59" spans="1:28" hidden="1">
      <c r="A59" s="6">
        <v>46107</v>
      </c>
      <c r="B59" s="3">
        <v>2026</v>
      </c>
      <c r="C59" s="3" t="s">
        <v>2963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3"/>
        <v>24</v>
      </c>
      <c r="R59" s="53" t="str">
        <f t="shared" si="4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3">
        <f t="shared" si="0"/>
        <v>37</v>
      </c>
      <c r="Z59" s="18">
        <v>46144</v>
      </c>
      <c r="AA59" s="3"/>
      <c r="AB59" s="3"/>
    </row>
    <row r="60" spans="1:28" hidden="1">
      <c r="A60" s="6">
        <v>46107</v>
      </c>
      <c r="B60" s="3">
        <v>2026</v>
      </c>
      <c r="C60" s="3" t="s">
        <v>2963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3"/>
        <v>24</v>
      </c>
      <c r="R60" s="53" t="str">
        <f t="shared" si="4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3">
        <f t="shared" si="0"/>
        <v>37</v>
      </c>
      <c r="Z60" s="18">
        <v>46144</v>
      </c>
      <c r="AA60" s="3"/>
      <c r="AB60" s="3"/>
    </row>
    <row r="61" spans="1:28" hidden="1">
      <c r="A61" s="6">
        <v>46107</v>
      </c>
      <c r="B61" s="3">
        <v>2026</v>
      </c>
      <c r="C61" s="3" t="s">
        <v>2963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3"/>
        <v>24</v>
      </c>
      <c r="R61" s="53" t="str">
        <f t="shared" si="4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3">
        <f t="shared" si="0"/>
        <v>37</v>
      </c>
      <c r="Z61" s="18">
        <v>46144</v>
      </c>
      <c r="AA61" s="3"/>
      <c r="AB61" s="3"/>
    </row>
    <row r="62" spans="1:28" hidden="1">
      <c r="A62" s="6">
        <v>46107</v>
      </c>
      <c r="B62" s="3">
        <v>2026</v>
      </c>
      <c r="C62" s="3" t="s">
        <v>2963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3"/>
        <v>24</v>
      </c>
      <c r="R62" s="53" t="str">
        <f t="shared" si="4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3">
        <f t="shared" si="0"/>
        <v>37</v>
      </c>
      <c r="Z62" s="18">
        <v>46144</v>
      </c>
      <c r="AA62" s="3"/>
      <c r="AB62" s="3"/>
    </row>
    <row r="63" spans="1:28" hidden="1">
      <c r="A63" s="6">
        <v>46107</v>
      </c>
      <c r="B63" s="3">
        <v>2026</v>
      </c>
      <c r="C63" s="3" t="s">
        <v>2963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3"/>
        <v>24</v>
      </c>
      <c r="R63" s="53" t="str">
        <f t="shared" si="4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3">
        <f t="shared" si="0"/>
        <v>37</v>
      </c>
      <c r="Z63" s="18">
        <v>46144</v>
      </c>
      <c r="AA63" s="3"/>
      <c r="AB63" s="3"/>
    </row>
    <row r="64" spans="1:28" hidden="1">
      <c r="A64" s="6">
        <v>46107</v>
      </c>
      <c r="B64" s="3">
        <v>2026</v>
      </c>
      <c r="C64" s="3" t="s">
        <v>2963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3"/>
        <v>24</v>
      </c>
      <c r="R64" s="53" t="str">
        <f t="shared" si="4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3">
        <f t="shared" si="0"/>
        <v>37</v>
      </c>
      <c r="Z64" s="18">
        <v>46144</v>
      </c>
      <c r="AA64" s="3"/>
      <c r="AB64" s="3"/>
    </row>
    <row r="65" spans="1:28" hidden="1">
      <c r="A65" s="6">
        <v>46107</v>
      </c>
      <c r="B65" s="3">
        <v>2026</v>
      </c>
      <c r="C65" s="3" t="s">
        <v>2963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3"/>
        <v>24</v>
      </c>
      <c r="R65" s="53" t="str">
        <f t="shared" si="4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3">
        <f t="shared" si="0"/>
        <v>37</v>
      </c>
      <c r="Z65" s="18">
        <v>46144</v>
      </c>
      <c r="AA65" s="3"/>
      <c r="AB65" s="3"/>
    </row>
    <row r="66" spans="1:28" hidden="1">
      <c r="A66" s="6">
        <v>46107</v>
      </c>
      <c r="B66" s="3">
        <v>2026</v>
      </c>
      <c r="C66" s="3" t="s">
        <v>2963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3"/>
        <v>24</v>
      </c>
      <c r="R66" s="53" t="str">
        <f t="shared" si="4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3">
        <f t="shared" ref="Y66:Y129" si="5">X66-A66</f>
        <v>37</v>
      </c>
      <c r="Z66" s="18">
        <v>46144</v>
      </c>
      <c r="AA66" s="3"/>
      <c r="AB66" s="3"/>
    </row>
    <row r="67" spans="1:28" hidden="1">
      <c r="A67" s="6">
        <v>46107</v>
      </c>
      <c r="B67" s="3">
        <v>2026</v>
      </c>
      <c r="C67" s="3" t="s">
        <v>2963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3"/>
        <v>24</v>
      </c>
      <c r="R67" s="53" t="str">
        <f t="shared" si="4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3">
        <f t="shared" si="5"/>
        <v>37</v>
      </c>
      <c r="Z67" s="18">
        <v>46144</v>
      </c>
      <c r="AA67" s="3"/>
      <c r="AB67" s="3"/>
    </row>
    <row r="68" spans="1:28" hidden="1">
      <c r="A68" s="6">
        <v>46107</v>
      </c>
      <c r="B68" s="3">
        <v>2026</v>
      </c>
      <c r="C68" s="3" t="s">
        <v>2963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3"/>
        <v>24</v>
      </c>
      <c r="R68" s="53" t="str">
        <f t="shared" si="4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>
      <c r="A69" s="6">
        <v>46107</v>
      </c>
      <c r="B69" s="3">
        <v>2026</v>
      </c>
      <c r="C69" s="3" t="s">
        <v>2963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6">MID(P69,5,2)</f>
        <v>24</v>
      </c>
      <c r="R69" s="53" t="str">
        <f t="shared" ref="R69:R100" si="7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>
      <c r="A70" s="6">
        <v>46107</v>
      </c>
      <c r="B70" s="3">
        <v>2026</v>
      </c>
      <c r="C70" s="3" t="s">
        <v>2963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6"/>
        <v>24</v>
      </c>
      <c r="R70" s="53" t="str">
        <f t="shared" si="7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>
      <c r="A71" s="6">
        <v>46107</v>
      </c>
      <c r="B71" s="3">
        <v>2026</v>
      </c>
      <c r="C71" s="3" t="s">
        <v>2963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6"/>
        <v>24</v>
      </c>
      <c r="R71" s="53" t="str">
        <f t="shared" si="7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>
      <c r="A72" s="6">
        <v>46107</v>
      </c>
      <c r="B72" s="3">
        <v>2026</v>
      </c>
      <c r="C72" s="3" t="s">
        <v>2963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6"/>
        <v>24</v>
      </c>
      <c r="R72" s="53" t="str">
        <f t="shared" si="7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>
      <c r="A73" s="6">
        <v>46107</v>
      </c>
      <c r="B73" s="3">
        <v>2026</v>
      </c>
      <c r="C73" s="3" t="s">
        <v>2963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6"/>
        <v>24</v>
      </c>
      <c r="R73" s="53" t="str">
        <f t="shared" si="7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>
      <c r="A74" s="6">
        <v>46107</v>
      </c>
      <c r="B74" s="3">
        <v>2026</v>
      </c>
      <c r="C74" s="3" t="s">
        <v>2963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6"/>
        <v>24</v>
      </c>
      <c r="R74" s="53" t="str">
        <f t="shared" si="7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>
      <c r="A75" s="6">
        <v>46107</v>
      </c>
      <c r="B75" s="3">
        <v>2026</v>
      </c>
      <c r="C75" s="3" t="s">
        <v>2963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6"/>
        <v>24</v>
      </c>
      <c r="R75" s="53" t="str">
        <f t="shared" si="7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>
      <c r="A76" s="6">
        <v>46107</v>
      </c>
      <c r="B76" s="3">
        <v>2026</v>
      </c>
      <c r="C76" s="3" t="s">
        <v>2963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6"/>
        <v>24</v>
      </c>
      <c r="R76" s="53" t="str">
        <f t="shared" si="7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>
      <c r="A77" s="6">
        <v>46107</v>
      </c>
      <c r="B77" s="3">
        <v>2026</v>
      </c>
      <c r="C77" s="3" t="s">
        <v>2963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6"/>
        <v>24</v>
      </c>
      <c r="R77" s="53" t="str">
        <f t="shared" si="7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>
      <c r="A78" s="6">
        <v>46107</v>
      </c>
      <c r="B78" s="3">
        <v>2026</v>
      </c>
      <c r="C78" s="3" t="s">
        <v>2963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6"/>
        <v>24</v>
      </c>
      <c r="R78" s="53" t="str">
        <f t="shared" si="7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>
      <c r="A79" s="6">
        <v>46107</v>
      </c>
      <c r="B79" s="3">
        <v>2026</v>
      </c>
      <c r="C79" s="3" t="s">
        <v>2963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6"/>
        <v>24</v>
      </c>
      <c r="R79" s="53" t="str">
        <f t="shared" si="7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>
      <c r="A80" s="6">
        <v>46107</v>
      </c>
      <c r="B80" s="3">
        <v>2026</v>
      </c>
      <c r="C80" s="3" t="s">
        <v>2963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6"/>
        <v>24</v>
      </c>
      <c r="R80" s="53" t="str">
        <f t="shared" si="7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>
      <c r="A81" s="6">
        <v>46107</v>
      </c>
      <c r="B81" s="3">
        <v>2026</v>
      </c>
      <c r="C81" s="3" t="s">
        <v>2963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6"/>
        <v>24</v>
      </c>
      <c r="R81" s="53" t="str">
        <f t="shared" si="7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>
      <c r="A82" s="6">
        <v>46107</v>
      </c>
      <c r="B82" s="3">
        <v>2026</v>
      </c>
      <c r="C82" s="3" t="s">
        <v>2963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6"/>
        <v>24</v>
      </c>
      <c r="R82" s="53" t="str">
        <f t="shared" si="7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>
      <c r="A83" s="6">
        <v>46107</v>
      </c>
      <c r="B83" s="3">
        <v>2026</v>
      </c>
      <c r="C83" s="3" t="s">
        <v>2963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6"/>
        <v>24</v>
      </c>
      <c r="R83" s="53" t="str">
        <f t="shared" si="7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>
      <c r="A84" s="6">
        <v>46107</v>
      </c>
      <c r="B84" s="3">
        <v>2026</v>
      </c>
      <c r="C84" s="3" t="s">
        <v>2963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6"/>
        <v>24</v>
      </c>
      <c r="R84" s="53" t="str">
        <f t="shared" si="7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>
      <c r="A85" s="6">
        <v>46107</v>
      </c>
      <c r="B85" s="3">
        <v>2026</v>
      </c>
      <c r="C85" s="3" t="s">
        <v>2963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6"/>
        <v>24</v>
      </c>
      <c r="R85" s="53" t="str">
        <f t="shared" si="7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>
      <c r="A86" s="6">
        <v>46107</v>
      </c>
      <c r="B86" s="3">
        <v>2026</v>
      </c>
      <c r="C86" s="3" t="s">
        <v>2963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6"/>
        <v>24</v>
      </c>
      <c r="R86" s="53" t="str">
        <f t="shared" si="7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>
      <c r="A87" s="6">
        <v>46107</v>
      </c>
      <c r="B87" s="3">
        <v>2026</v>
      </c>
      <c r="C87" s="3" t="s">
        <v>2963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6"/>
        <v>24</v>
      </c>
      <c r="R87" s="53" t="str">
        <f t="shared" si="7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>
      <c r="A88" s="6">
        <v>46107</v>
      </c>
      <c r="B88" s="3">
        <v>2026</v>
      </c>
      <c r="C88" s="3" t="s">
        <v>2963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6"/>
        <v>24</v>
      </c>
      <c r="R88" s="53" t="str">
        <f t="shared" si="7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>
      <c r="A89" s="6">
        <v>46107</v>
      </c>
      <c r="B89" s="3">
        <v>2026</v>
      </c>
      <c r="C89" s="3" t="s">
        <v>2963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6"/>
        <v>24</v>
      </c>
      <c r="R89" s="53" t="str">
        <f t="shared" si="7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>
      <c r="A90" s="6">
        <v>46107</v>
      </c>
      <c r="B90" s="3">
        <v>2026</v>
      </c>
      <c r="C90" s="3" t="s">
        <v>2963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6"/>
        <v>24</v>
      </c>
      <c r="R90" s="53" t="str">
        <f t="shared" si="7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>
      <c r="A91" s="6">
        <v>46107</v>
      </c>
      <c r="B91" s="3">
        <v>2026</v>
      </c>
      <c r="C91" s="3" t="s">
        <v>2963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6"/>
        <v>24</v>
      </c>
      <c r="R91" s="53" t="str">
        <f t="shared" si="7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>
      <c r="A92" s="6">
        <v>46107</v>
      </c>
      <c r="B92" s="3">
        <v>2026</v>
      </c>
      <c r="C92" s="3" t="s">
        <v>2963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6"/>
        <v>24</v>
      </c>
      <c r="R92" s="53" t="str">
        <f t="shared" si="7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>
      <c r="A93" s="6">
        <v>46107</v>
      </c>
      <c r="B93" s="3">
        <v>2026</v>
      </c>
      <c r="C93" s="3" t="s">
        <v>2963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6"/>
        <v>24</v>
      </c>
      <c r="R93" s="53" t="str">
        <f t="shared" si="7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>
      <c r="A94" s="6">
        <v>46107</v>
      </c>
      <c r="B94" s="3">
        <v>2026</v>
      </c>
      <c r="C94" s="3" t="s">
        <v>2963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6"/>
        <v>24</v>
      </c>
      <c r="R94" s="53" t="str">
        <f t="shared" si="7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>
      <c r="A95" s="6">
        <v>46107</v>
      </c>
      <c r="B95" s="3">
        <v>2026</v>
      </c>
      <c r="C95" s="3" t="s">
        <v>2963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6"/>
        <v>24</v>
      </c>
      <c r="R95" s="53" t="str">
        <f t="shared" si="7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>
      <c r="A96" s="6">
        <v>46107</v>
      </c>
      <c r="B96" s="3">
        <v>2026</v>
      </c>
      <c r="C96" s="3" t="s">
        <v>2963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6"/>
        <v>24</v>
      </c>
      <c r="R96" s="53" t="str">
        <f t="shared" si="7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>
      <c r="A97" s="6">
        <v>46107</v>
      </c>
      <c r="B97" s="3">
        <v>2026</v>
      </c>
      <c r="C97" s="3" t="s">
        <v>2963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6"/>
        <v>24</v>
      </c>
      <c r="R97" s="53" t="str">
        <f t="shared" si="7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>
      <c r="A98" s="6">
        <v>46107</v>
      </c>
      <c r="B98" s="3">
        <v>2026</v>
      </c>
      <c r="C98" s="3" t="s">
        <v>2963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6"/>
        <v>24</v>
      </c>
      <c r="R98" s="53" t="str">
        <f t="shared" si="7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>
      <c r="A99" s="6">
        <v>46107</v>
      </c>
      <c r="B99" s="3">
        <v>2026</v>
      </c>
      <c r="C99" s="3" t="s">
        <v>2963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6"/>
        <v>24</v>
      </c>
      <c r="R99" s="53" t="str">
        <f t="shared" si="7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>
      <c r="A100" s="6">
        <v>46107</v>
      </c>
      <c r="B100" s="3">
        <v>2026</v>
      </c>
      <c r="C100" s="3" t="s">
        <v>2963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6"/>
        <v>24</v>
      </c>
      <c r="R100" s="53" t="str">
        <f t="shared" si="7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74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15" t="s">
        <v>74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8">MID(P103,5,2)</f>
        <v>25</v>
      </c>
      <c r="R103" s="53" t="str">
        <f t="shared" ref="R103:R166" si="9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43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8"/>
        <v>22</v>
      </c>
      <c r="R104" s="53" t="str">
        <f t="shared" si="9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8"/>
        <v>22</v>
      </c>
      <c r="R105" s="53" t="str">
        <f t="shared" si="9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8"/>
        <v>22</v>
      </c>
      <c r="R106" s="53" t="str">
        <f t="shared" si="9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8"/>
        <v/>
      </c>
      <c r="R107" s="53" t="str">
        <f t="shared" si="9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8"/>
        <v/>
      </c>
      <c r="R108" s="53" t="str">
        <f t="shared" si="9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8"/>
        <v/>
      </c>
      <c r="R109" s="53" t="str">
        <f t="shared" si="9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8"/>
        <v/>
      </c>
      <c r="R110" s="53" t="str">
        <f t="shared" si="9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8"/>
        <v/>
      </c>
      <c r="R111" s="53" t="str">
        <f t="shared" si="9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8"/>
        <v/>
      </c>
      <c r="R112" s="53" t="str">
        <f t="shared" si="9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8"/>
        <v>24</v>
      </c>
      <c r="R113" s="53" t="str">
        <f t="shared" si="9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8"/>
        <v>24</v>
      </c>
      <c r="R114" s="53" t="str">
        <f t="shared" si="9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8"/>
        <v>24</v>
      </c>
      <c r="R115" s="53" t="str">
        <f t="shared" si="9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8"/>
        <v/>
      </c>
      <c r="R116" s="53" t="str">
        <f t="shared" si="9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8"/>
        <v/>
      </c>
      <c r="R117" s="53" t="str">
        <f t="shared" si="9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8"/>
        <v/>
      </c>
      <c r="R118" s="53" t="str">
        <f t="shared" si="9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74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8"/>
        <v>22</v>
      </c>
      <c r="R119" s="53" t="str">
        <f t="shared" si="9"/>
        <v>12</v>
      </c>
      <c r="S119" s="3" t="s">
        <v>199</v>
      </c>
      <c r="T119" s="3" t="s">
        <v>40</v>
      </c>
      <c r="U119" s="9" t="s">
        <v>63</v>
      </c>
      <c r="V119" s="3" t="s">
        <v>64</v>
      </c>
      <c r="W119" s="3" t="s">
        <v>74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74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8"/>
        <v>22</v>
      </c>
      <c r="R120" s="53" t="str">
        <f t="shared" si="9"/>
        <v>12</v>
      </c>
      <c r="S120" s="3" t="s">
        <v>199</v>
      </c>
      <c r="T120" s="3" t="s">
        <v>40</v>
      </c>
      <c r="U120" s="9" t="s">
        <v>69</v>
      </c>
      <c r="V120" s="3" t="s">
        <v>64</v>
      </c>
      <c r="W120" s="3" t="s">
        <v>74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8"/>
        <v>23</v>
      </c>
      <c r="R121" s="53" t="str">
        <f t="shared" si="9"/>
        <v>01</v>
      </c>
      <c r="S121" s="3" t="s">
        <v>199</v>
      </c>
      <c r="T121" s="3" t="s">
        <v>40</v>
      </c>
      <c r="U121" s="9" t="s">
        <v>63</v>
      </c>
      <c r="V121" s="3" t="s">
        <v>64</v>
      </c>
      <c r="W121" s="3" t="s">
        <v>74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74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8"/>
        <v>23</v>
      </c>
      <c r="R122" s="53" t="str">
        <f t="shared" si="9"/>
        <v>01</v>
      </c>
      <c r="S122" s="3" t="s">
        <v>199</v>
      </c>
      <c r="T122" s="3" t="s">
        <v>40</v>
      </c>
      <c r="U122" s="9" t="s">
        <v>63</v>
      </c>
      <c r="V122" s="3" t="s">
        <v>64</v>
      </c>
      <c r="W122" s="3" t="s">
        <v>74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74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8"/>
        <v>22</v>
      </c>
      <c r="R123" s="53" t="str">
        <f t="shared" si="9"/>
        <v>12</v>
      </c>
      <c r="S123" s="3" t="s">
        <v>199</v>
      </c>
      <c r="T123" s="3" t="s">
        <v>40</v>
      </c>
      <c r="U123" s="9" t="s">
        <v>63</v>
      </c>
      <c r="V123" s="3" t="s">
        <v>64</v>
      </c>
      <c r="W123" s="3" t="s">
        <v>74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74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8"/>
        <v>22</v>
      </c>
      <c r="R124" s="53" t="str">
        <f t="shared" si="9"/>
        <v>12</v>
      </c>
      <c r="S124" s="3" t="s">
        <v>199</v>
      </c>
      <c r="T124" s="3" t="s">
        <v>40</v>
      </c>
      <c r="U124" s="9" t="s">
        <v>69</v>
      </c>
      <c r="V124" s="3" t="s">
        <v>64</v>
      </c>
      <c r="W124" s="3" t="s">
        <v>74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74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8"/>
        <v>22</v>
      </c>
      <c r="R125" s="53" t="str">
        <f t="shared" si="9"/>
        <v>12</v>
      </c>
      <c r="S125" s="3" t="s">
        <v>199</v>
      </c>
      <c r="T125" s="3" t="s">
        <v>40</v>
      </c>
      <c r="U125" s="9" t="s">
        <v>63</v>
      </c>
      <c r="V125" s="3" t="s">
        <v>64</v>
      </c>
      <c r="W125" s="3" t="s">
        <v>74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74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8"/>
        <v>23</v>
      </c>
      <c r="R126" s="53" t="str">
        <f t="shared" si="9"/>
        <v>01</v>
      </c>
      <c r="S126" s="3" t="s">
        <v>199</v>
      </c>
      <c r="T126" s="3" t="s">
        <v>40</v>
      </c>
      <c r="U126" s="9" t="s">
        <v>63</v>
      </c>
      <c r="V126" s="3" t="s">
        <v>64</v>
      </c>
      <c r="W126" s="3" t="s">
        <v>74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74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8"/>
        <v>23</v>
      </c>
      <c r="R127" s="53" t="str">
        <f t="shared" si="9"/>
        <v>01</v>
      </c>
      <c r="S127" s="3" t="s">
        <v>199</v>
      </c>
      <c r="T127" s="3" t="s">
        <v>40</v>
      </c>
      <c r="U127" s="9" t="s">
        <v>63</v>
      </c>
      <c r="V127" s="3" t="s">
        <v>64</v>
      </c>
      <c r="W127" s="3" t="s">
        <v>74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74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8"/>
        <v>23</v>
      </c>
      <c r="R128" s="53" t="str">
        <f t="shared" si="9"/>
        <v>01</v>
      </c>
      <c r="S128" s="3" t="s">
        <v>199</v>
      </c>
      <c r="T128" s="3" t="s">
        <v>40</v>
      </c>
      <c r="U128" s="9" t="s">
        <v>63</v>
      </c>
      <c r="V128" s="3" t="s">
        <v>64</v>
      </c>
      <c r="W128" s="3" t="s">
        <v>74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74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8"/>
        <v>22</v>
      </c>
      <c r="R129" s="53" t="str">
        <f t="shared" si="9"/>
        <v>12</v>
      </c>
      <c r="S129" s="3" t="s">
        <v>199</v>
      </c>
      <c r="T129" s="3" t="s">
        <v>40</v>
      </c>
      <c r="U129" s="9" t="s">
        <v>63</v>
      </c>
      <c r="V129" s="3" t="s">
        <v>64</v>
      </c>
      <c r="W129" s="3" t="s">
        <v>74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74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8"/>
        <v>23</v>
      </c>
      <c r="R130" s="53" t="str">
        <f t="shared" si="9"/>
        <v>01</v>
      </c>
      <c r="S130" s="3" t="s">
        <v>199</v>
      </c>
      <c r="T130" s="3" t="s">
        <v>40</v>
      </c>
      <c r="U130" s="9" t="s">
        <v>63</v>
      </c>
      <c r="V130" s="3" t="s">
        <v>64</v>
      </c>
      <c r="W130" s="3" t="s">
        <v>74</v>
      </c>
      <c r="X130" s="5"/>
      <c r="Y130" s="3">
        <f t="shared" ref="Y130:Y193" si="10">X130-A130</f>
        <v>-46106</v>
      </c>
      <c r="Z130" s="18">
        <v>46146</v>
      </c>
      <c r="AA130" s="15"/>
      <c r="AB130" s="15"/>
    </row>
    <row r="131" spans="1:28" hidden="1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8"/>
        <v>23</v>
      </c>
      <c r="R131" s="53" t="str">
        <f t="shared" si="9"/>
        <v>01</v>
      </c>
      <c r="S131" s="3" t="s">
        <v>199</v>
      </c>
      <c r="T131" s="3" t="s">
        <v>40</v>
      </c>
      <c r="U131" s="9" t="s">
        <v>63</v>
      </c>
      <c r="V131" s="3" t="s">
        <v>64</v>
      </c>
      <c r="W131" s="3" t="s">
        <v>74</v>
      </c>
      <c r="X131" s="5"/>
      <c r="Y131" s="3">
        <f t="shared" si="10"/>
        <v>-46106</v>
      </c>
      <c r="Z131" s="18">
        <v>46146</v>
      </c>
      <c r="AA131" s="15"/>
      <c r="AB131" s="15"/>
    </row>
    <row r="132" spans="1:28" hidden="1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74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8"/>
        <v>22</v>
      </c>
      <c r="R132" s="53" t="str">
        <f t="shared" si="9"/>
        <v>12</v>
      </c>
      <c r="S132" s="3" t="s">
        <v>199</v>
      </c>
      <c r="T132" s="3" t="s">
        <v>40</v>
      </c>
      <c r="U132" s="9" t="s">
        <v>63</v>
      </c>
      <c r="V132" s="3" t="s">
        <v>64</v>
      </c>
      <c r="W132" s="3" t="s">
        <v>74</v>
      </c>
      <c r="X132" s="5"/>
      <c r="Y132" s="3">
        <f t="shared" si="10"/>
        <v>-46106</v>
      </c>
      <c r="Z132" s="18">
        <v>46146</v>
      </c>
      <c r="AA132" s="15"/>
      <c r="AB132" s="15"/>
    </row>
    <row r="133" spans="1:28" hidden="1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74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8"/>
        <v>22</v>
      </c>
      <c r="R133" s="53" t="str">
        <f t="shared" si="9"/>
        <v>12</v>
      </c>
      <c r="S133" s="3" t="s">
        <v>199</v>
      </c>
      <c r="T133" s="3" t="s">
        <v>40</v>
      </c>
      <c r="U133" s="9" t="s">
        <v>63</v>
      </c>
      <c r="V133" s="3" t="s">
        <v>64</v>
      </c>
      <c r="W133" s="3" t="s">
        <v>74</v>
      </c>
      <c r="X133" s="5"/>
      <c r="Y133" s="3">
        <f t="shared" si="10"/>
        <v>-46106</v>
      </c>
      <c r="Z133" s="18">
        <v>46146</v>
      </c>
      <c r="AA133" s="15"/>
      <c r="AB133" s="15"/>
    </row>
    <row r="134" spans="1:28" hidden="1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74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8"/>
        <v>22</v>
      </c>
      <c r="R134" s="53" t="str">
        <f t="shared" si="9"/>
        <v>12</v>
      </c>
      <c r="S134" s="3" t="s">
        <v>199</v>
      </c>
      <c r="T134" s="3" t="s">
        <v>40</v>
      </c>
      <c r="U134" s="9" t="s">
        <v>63</v>
      </c>
      <c r="V134" s="3" t="s">
        <v>64</v>
      </c>
      <c r="W134" s="3" t="s">
        <v>74</v>
      </c>
      <c r="X134" s="5"/>
      <c r="Y134" s="3">
        <f t="shared" si="10"/>
        <v>-46106</v>
      </c>
      <c r="Z134" s="18">
        <v>46146</v>
      </c>
      <c r="AA134" s="15"/>
      <c r="AB134" s="15"/>
    </row>
    <row r="135" spans="1:28" hidden="1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74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8"/>
        <v>22</v>
      </c>
      <c r="R135" s="53" t="str">
        <f t="shared" si="9"/>
        <v>12</v>
      </c>
      <c r="S135" s="3" t="s">
        <v>199</v>
      </c>
      <c r="T135" s="3" t="s">
        <v>40</v>
      </c>
      <c r="U135" s="9" t="s">
        <v>63</v>
      </c>
      <c r="V135" s="3" t="s">
        <v>64</v>
      </c>
      <c r="W135" s="3" t="s">
        <v>74</v>
      </c>
      <c r="X135" s="5"/>
      <c r="Y135" s="3">
        <f t="shared" si="10"/>
        <v>-46106</v>
      </c>
      <c r="Z135" s="18">
        <v>46146</v>
      </c>
      <c r="AA135" s="15"/>
      <c r="AB135" s="15"/>
    </row>
    <row r="136" spans="1:28" hidden="1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8"/>
        <v>22</v>
      </c>
      <c r="R136" s="53" t="str">
        <f t="shared" si="9"/>
        <v>12</v>
      </c>
      <c r="S136" s="3" t="s">
        <v>199</v>
      </c>
      <c r="T136" s="3" t="s">
        <v>40</v>
      </c>
      <c r="U136" s="9" t="s">
        <v>63</v>
      </c>
      <c r="V136" s="3" t="s">
        <v>64</v>
      </c>
      <c r="W136" s="3" t="s">
        <v>74</v>
      </c>
      <c r="X136" s="5"/>
      <c r="Y136" s="3">
        <f t="shared" si="10"/>
        <v>-46106</v>
      </c>
      <c r="Z136" s="18">
        <v>46146</v>
      </c>
      <c r="AA136" s="15"/>
      <c r="AB136" s="15"/>
    </row>
    <row r="137" spans="1:28" hidden="1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74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8"/>
        <v>22</v>
      </c>
      <c r="R137" s="53" t="str">
        <f t="shared" si="9"/>
        <v>12</v>
      </c>
      <c r="S137" s="3" t="s">
        <v>199</v>
      </c>
      <c r="T137" s="3" t="s">
        <v>40</v>
      </c>
      <c r="U137" s="9" t="s">
        <v>63</v>
      </c>
      <c r="V137" s="3" t="s">
        <v>64</v>
      </c>
      <c r="W137" s="3" t="s">
        <v>74</v>
      </c>
      <c r="X137" s="5"/>
      <c r="Y137" s="3">
        <f t="shared" si="10"/>
        <v>-46106</v>
      </c>
      <c r="Z137" s="18">
        <v>46146</v>
      </c>
      <c r="AA137" s="15"/>
      <c r="AB137" s="15"/>
    </row>
    <row r="138" spans="1:28" hidden="1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74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8"/>
        <v>23</v>
      </c>
      <c r="R138" s="53" t="str">
        <f t="shared" si="9"/>
        <v>01</v>
      </c>
      <c r="S138" s="3" t="s">
        <v>199</v>
      </c>
      <c r="T138" s="3" t="s">
        <v>40</v>
      </c>
      <c r="U138" s="9" t="s">
        <v>63</v>
      </c>
      <c r="V138" s="3" t="s">
        <v>64</v>
      </c>
      <c r="W138" s="3" t="s">
        <v>74</v>
      </c>
      <c r="X138" s="5"/>
      <c r="Y138" s="3">
        <f t="shared" si="10"/>
        <v>-46106</v>
      </c>
      <c r="Z138" s="18">
        <v>46146</v>
      </c>
      <c r="AA138" s="15"/>
      <c r="AB138" s="15"/>
    </row>
    <row r="139" spans="1:28" hidden="1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74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8"/>
        <v>25</v>
      </c>
      <c r="R139" s="53" t="str">
        <f t="shared" si="9"/>
        <v>03</v>
      </c>
      <c r="S139" s="3" t="s">
        <v>199</v>
      </c>
      <c r="T139" s="3" t="s">
        <v>40</v>
      </c>
      <c r="U139" s="9" t="s">
        <v>69</v>
      </c>
      <c r="V139" s="3" t="s">
        <v>64</v>
      </c>
      <c r="W139" s="3" t="s">
        <v>74</v>
      </c>
      <c r="X139" s="5"/>
      <c r="Y139" s="3">
        <f t="shared" si="10"/>
        <v>-46106</v>
      </c>
      <c r="Z139" s="18">
        <v>46146</v>
      </c>
      <c r="AA139" s="15"/>
      <c r="AB139" s="15"/>
    </row>
    <row r="140" spans="1:28" hidden="1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74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8"/>
        <v>23</v>
      </c>
      <c r="R140" s="53" t="str">
        <f t="shared" si="9"/>
        <v>01</v>
      </c>
      <c r="S140" s="3" t="s">
        <v>199</v>
      </c>
      <c r="T140" s="3" t="s">
        <v>40</v>
      </c>
      <c r="U140" s="9" t="s">
        <v>63</v>
      </c>
      <c r="V140" s="3" t="s">
        <v>64</v>
      </c>
      <c r="W140" s="3" t="s">
        <v>74</v>
      </c>
      <c r="X140" s="5"/>
      <c r="Y140" s="3">
        <f t="shared" si="10"/>
        <v>-46106</v>
      </c>
      <c r="Z140" s="18">
        <v>46146</v>
      </c>
      <c r="AA140" s="15"/>
      <c r="AB140" s="15"/>
    </row>
    <row r="141" spans="1:28" hidden="1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74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8"/>
        <v>23</v>
      </c>
      <c r="R141" s="53" t="str">
        <f t="shared" si="9"/>
        <v>01</v>
      </c>
      <c r="S141" s="3" t="s">
        <v>199</v>
      </c>
      <c r="T141" s="3" t="s">
        <v>40</v>
      </c>
      <c r="U141" s="9" t="s">
        <v>69</v>
      </c>
      <c r="V141" s="3" t="s">
        <v>64</v>
      </c>
      <c r="W141" s="3" t="s">
        <v>74</v>
      </c>
      <c r="X141" s="5"/>
      <c r="Y141" s="3">
        <f t="shared" si="10"/>
        <v>-46106</v>
      </c>
      <c r="Z141" s="18">
        <v>46146</v>
      </c>
      <c r="AA141" s="15"/>
      <c r="AB141" s="15"/>
    </row>
    <row r="142" spans="1:28" hidden="1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74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8"/>
        <v>23</v>
      </c>
      <c r="R142" s="53" t="str">
        <f t="shared" si="9"/>
        <v>01</v>
      </c>
      <c r="S142" s="3" t="s">
        <v>199</v>
      </c>
      <c r="T142" s="3" t="s">
        <v>40</v>
      </c>
      <c r="U142" s="9" t="s">
        <v>63</v>
      </c>
      <c r="V142" s="3" t="s">
        <v>64</v>
      </c>
      <c r="W142" s="3" t="s">
        <v>74</v>
      </c>
      <c r="X142" s="5"/>
      <c r="Y142" s="3">
        <f t="shared" si="10"/>
        <v>-46106</v>
      </c>
      <c r="Z142" s="18">
        <v>46146</v>
      </c>
      <c r="AA142" s="15"/>
      <c r="AB142" s="15"/>
    </row>
    <row r="143" spans="1:28" hidden="1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74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8"/>
        <v>22</v>
      </c>
      <c r="R143" s="53" t="str">
        <f t="shared" si="9"/>
        <v>12</v>
      </c>
      <c r="S143" s="3" t="s">
        <v>199</v>
      </c>
      <c r="T143" s="3" t="s">
        <v>40</v>
      </c>
      <c r="U143" s="9" t="s">
        <v>63</v>
      </c>
      <c r="V143" s="3" t="s">
        <v>64</v>
      </c>
      <c r="W143" s="3" t="s">
        <v>74</v>
      </c>
      <c r="X143" s="5"/>
      <c r="Y143" s="3">
        <f t="shared" si="10"/>
        <v>-46106</v>
      </c>
      <c r="Z143" s="18">
        <v>46146</v>
      </c>
      <c r="AA143" s="15"/>
      <c r="AB143" s="15"/>
    </row>
    <row r="144" spans="1:28" hidden="1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74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8"/>
        <v>22</v>
      </c>
      <c r="R144" s="53" t="str">
        <f t="shared" si="9"/>
        <v>12</v>
      </c>
      <c r="S144" s="3" t="s">
        <v>199</v>
      </c>
      <c r="T144" s="3" t="s">
        <v>40</v>
      </c>
      <c r="U144" s="9" t="s">
        <v>63</v>
      </c>
      <c r="V144" s="3" t="s">
        <v>64</v>
      </c>
      <c r="W144" s="3" t="s">
        <v>74</v>
      </c>
      <c r="X144" s="5"/>
      <c r="Y144" s="3">
        <f t="shared" si="10"/>
        <v>-46106</v>
      </c>
      <c r="Z144" s="18">
        <v>46146</v>
      </c>
      <c r="AA144" s="15"/>
      <c r="AB144" s="15"/>
    </row>
    <row r="145" spans="1:28" hidden="1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74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8"/>
        <v>23</v>
      </c>
      <c r="R145" s="53" t="str">
        <f t="shared" si="9"/>
        <v>01</v>
      </c>
      <c r="S145" s="3" t="s">
        <v>199</v>
      </c>
      <c r="T145" s="3" t="s">
        <v>40</v>
      </c>
      <c r="U145" s="9" t="s">
        <v>69</v>
      </c>
      <c r="V145" s="3" t="s">
        <v>64</v>
      </c>
      <c r="W145" s="3" t="s">
        <v>74</v>
      </c>
      <c r="X145" s="5"/>
      <c r="Y145" s="3">
        <f t="shared" si="10"/>
        <v>-46106</v>
      </c>
      <c r="Z145" s="18">
        <v>46146</v>
      </c>
      <c r="AA145" s="15"/>
      <c r="AB145" s="15"/>
    </row>
    <row r="146" spans="1:28" hidden="1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74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8"/>
        <v>23</v>
      </c>
      <c r="R146" s="53" t="str">
        <f t="shared" si="9"/>
        <v>01</v>
      </c>
      <c r="S146" s="3" t="s">
        <v>199</v>
      </c>
      <c r="T146" s="3" t="s">
        <v>40</v>
      </c>
      <c r="U146" s="9" t="s">
        <v>63</v>
      </c>
      <c r="V146" s="3" t="s">
        <v>64</v>
      </c>
      <c r="W146" s="3" t="s">
        <v>74</v>
      </c>
      <c r="X146" s="5"/>
      <c r="Y146" s="3">
        <f t="shared" si="10"/>
        <v>-46106</v>
      </c>
      <c r="Z146" s="18">
        <v>46146</v>
      </c>
      <c r="AA146" s="15"/>
      <c r="AB146" s="15"/>
    </row>
    <row r="147" spans="1:28" hidden="1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74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8"/>
        <v>23</v>
      </c>
      <c r="R147" s="53" t="str">
        <f t="shared" si="9"/>
        <v>01</v>
      </c>
      <c r="S147" s="3" t="s">
        <v>199</v>
      </c>
      <c r="T147" s="3" t="s">
        <v>40</v>
      </c>
      <c r="U147" s="9" t="s">
        <v>63</v>
      </c>
      <c r="V147" s="3" t="s">
        <v>64</v>
      </c>
      <c r="W147" s="3" t="s">
        <v>74</v>
      </c>
      <c r="X147" s="5"/>
      <c r="Y147" s="3">
        <f t="shared" si="10"/>
        <v>-46106</v>
      </c>
      <c r="Z147" s="18">
        <v>46146</v>
      </c>
      <c r="AA147" s="15"/>
      <c r="AB147" s="15"/>
    </row>
    <row r="148" spans="1:28" hidden="1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74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8"/>
        <v>23</v>
      </c>
      <c r="R148" s="53" t="str">
        <f t="shared" si="9"/>
        <v>01</v>
      </c>
      <c r="S148" s="3" t="s">
        <v>199</v>
      </c>
      <c r="T148" s="3" t="s">
        <v>40</v>
      </c>
      <c r="U148" s="9" t="s">
        <v>63</v>
      </c>
      <c r="V148" s="3" t="s">
        <v>64</v>
      </c>
      <c r="W148" s="3" t="s">
        <v>74</v>
      </c>
      <c r="X148" s="5"/>
      <c r="Y148" s="3">
        <f t="shared" si="10"/>
        <v>-46106</v>
      </c>
      <c r="Z148" s="18">
        <v>46146</v>
      </c>
      <c r="AA148" s="15"/>
      <c r="AB148" s="15"/>
    </row>
    <row r="149" spans="1:28" hidden="1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74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8"/>
        <v>23</v>
      </c>
      <c r="R149" s="53" t="str">
        <f t="shared" si="9"/>
        <v>01</v>
      </c>
      <c r="S149" s="3" t="s">
        <v>199</v>
      </c>
      <c r="T149" s="3" t="s">
        <v>40</v>
      </c>
      <c r="U149" s="9" t="s">
        <v>63</v>
      </c>
      <c r="V149" s="3" t="s">
        <v>64</v>
      </c>
      <c r="W149" s="3" t="s">
        <v>74</v>
      </c>
      <c r="X149" s="5"/>
      <c r="Y149" s="3">
        <f t="shared" si="10"/>
        <v>-46106</v>
      </c>
      <c r="Z149" s="18">
        <v>46146</v>
      </c>
      <c r="AA149" s="15"/>
      <c r="AB149" s="15"/>
    </row>
    <row r="150" spans="1:28" hidden="1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74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8"/>
        <v>23</v>
      </c>
      <c r="R150" s="53" t="str">
        <f t="shared" si="9"/>
        <v>01</v>
      </c>
      <c r="S150" s="3" t="s">
        <v>199</v>
      </c>
      <c r="T150" s="3" t="s">
        <v>40</v>
      </c>
      <c r="U150" s="9" t="s">
        <v>69</v>
      </c>
      <c r="V150" s="3" t="s">
        <v>64</v>
      </c>
      <c r="W150" s="3" t="s">
        <v>74</v>
      </c>
      <c r="X150" s="5"/>
      <c r="Y150" s="3">
        <f t="shared" si="10"/>
        <v>-46106</v>
      </c>
      <c r="Z150" s="18">
        <v>46146</v>
      </c>
      <c r="AA150" s="15"/>
      <c r="AB150" s="15"/>
    </row>
    <row r="151" spans="1:28" hidden="1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74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8"/>
        <v>22</v>
      </c>
      <c r="R151" s="53" t="str">
        <f t="shared" si="9"/>
        <v>12</v>
      </c>
      <c r="S151" s="3" t="s">
        <v>199</v>
      </c>
      <c r="T151" s="3" t="s">
        <v>40</v>
      </c>
      <c r="U151" s="9" t="s">
        <v>63</v>
      </c>
      <c r="V151" s="3" t="s">
        <v>64</v>
      </c>
      <c r="W151" s="3" t="s">
        <v>74</v>
      </c>
      <c r="X151" s="5"/>
      <c r="Y151" s="3">
        <f t="shared" si="10"/>
        <v>-46106</v>
      </c>
      <c r="Z151" s="18">
        <v>46146</v>
      </c>
      <c r="AA151" s="15"/>
      <c r="AB151" s="15"/>
    </row>
    <row r="152" spans="1:28" hidden="1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74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8"/>
        <v>22</v>
      </c>
      <c r="R152" s="53" t="str">
        <f t="shared" si="9"/>
        <v>12</v>
      </c>
      <c r="S152" s="3" t="s">
        <v>199</v>
      </c>
      <c r="T152" s="3" t="s">
        <v>40</v>
      </c>
      <c r="U152" s="9" t="s">
        <v>63</v>
      </c>
      <c r="V152" s="3" t="s">
        <v>64</v>
      </c>
      <c r="W152" s="3" t="s">
        <v>74</v>
      </c>
      <c r="X152" s="5"/>
      <c r="Y152" s="3">
        <f t="shared" si="10"/>
        <v>-46106</v>
      </c>
      <c r="Z152" s="18">
        <v>46146</v>
      </c>
      <c r="AA152" s="15"/>
      <c r="AB152" s="15"/>
    </row>
    <row r="153" spans="1:28" hidden="1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74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8"/>
        <v>22</v>
      </c>
      <c r="R153" s="53" t="str">
        <f t="shared" si="9"/>
        <v>12</v>
      </c>
      <c r="S153" s="3" t="s">
        <v>199</v>
      </c>
      <c r="T153" s="3" t="s">
        <v>40</v>
      </c>
      <c r="U153" s="9" t="s">
        <v>69</v>
      </c>
      <c r="V153" s="3" t="s">
        <v>64</v>
      </c>
      <c r="W153" s="3" t="s">
        <v>74</v>
      </c>
      <c r="X153" s="5"/>
      <c r="Y153" s="3">
        <f t="shared" si="10"/>
        <v>-46106</v>
      </c>
      <c r="Z153" s="18">
        <v>46146</v>
      </c>
      <c r="AA153" s="15"/>
      <c r="AB153" s="15"/>
    </row>
    <row r="154" spans="1:28" hidden="1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74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8"/>
        <v>23</v>
      </c>
      <c r="R154" s="53" t="str">
        <f t="shared" si="9"/>
        <v>01</v>
      </c>
      <c r="S154" s="3" t="s">
        <v>199</v>
      </c>
      <c r="T154" s="3" t="s">
        <v>40</v>
      </c>
      <c r="U154" s="9" t="s">
        <v>63</v>
      </c>
      <c r="V154" s="3" t="s">
        <v>64</v>
      </c>
      <c r="W154" s="3" t="s">
        <v>74</v>
      </c>
      <c r="X154" s="5"/>
      <c r="Y154" s="3">
        <f t="shared" si="10"/>
        <v>-46106</v>
      </c>
      <c r="Z154" s="18">
        <v>46146</v>
      </c>
      <c r="AA154" s="15"/>
      <c r="AB154" s="15"/>
    </row>
    <row r="155" spans="1:28" hidden="1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74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8"/>
        <v>22</v>
      </c>
      <c r="R155" s="53" t="str">
        <f t="shared" si="9"/>
        <v>12</v>
      </c>
      <c r="S155" s="3" t="s">
        <v>199</v>
      </c>
      <c r="T155" s="3" t="s">
        <v>40</v>
      </c>
      <c r="U155" s="9" t="s">
        <v>63</v>
      </c>
      <c r="V155" s="3" t="s">
        <v>64</v>
      </c>
      <c r="W155" s="3" t="s">
        <v>74</v>
      </c>
      <c r="X155" s="5"/>
      <c r="Y155" s="3">
        <f t="shared" si="10"/>
        <v>-46106</v>
      </c>
      <c r="Z155" s="18">
        <v>46146</v>
      </c>
      <c r="AA155" s="15"/>
      <c r="AB155" s="15"/>
    </row>
    <row r="156" spans="1:28" hidden="1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74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8"/>
        <v>22</v>
      </c>
      <c r="R156" s="53" t="str">
        <f t="shared" si="9"/>
        <v>12</v>
      </c>
      <c r="S156" s="3" t="s">
        <v>199</v>
      </c>
      <c r="T156" s="3" t="s">
        <v>40</v>
      </c>
      <c r="U156" s="9" t="s">
        <v>63</v>
      </c>
      <c r="V156" s="3" t="s">
        <v>64</v>
      </c>
      <c r="W156" s="3" t="s">
        <v>74</v>
      </c>
      <c r="X156" s="5"/>
      <c r="Y156" s="3">
        <f t="shared" si="10"/>
        <v>-46106</v>
      </c>
      <c r="Z156" s="18">
        <v>46146</v>
      </c>
      <c r="AA156" s="15"/>
      <c r="AB156" s="15"/>
    </row>
    <row r="157" spans="1:28" hidden="1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74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8"/>
        <v>23</v>
      </c>
      <c r="R157" s="53" t="str">
        <f t="shared" si="9"/>
        <v>01</v>
      </c>
      <c r="S157" s="3" t="s">
        <v>199</v>
      </c>
      <c r="T157" s="3" t="s">
        <v>40</v>
      </c>
      <c r="U157" s="9" t="s">
        <v>63</v>
      </c>
      <c r="V157" s="3" t="s">
        <v>64</v>
      </c>
      <c r="W157" s="3" t="s">
        <v>74</v>
      </c>
      <c r="X157" s="5"/>
      <c r="Y157" s="3">
        <f t="shared" si="10"/>
        <v>-46106</v>
      </c>
      <c r="Z157" s="18">
        <v>46146</v>
      </c>
      <c r="AA157" s="15"/>
      <c r="AB157" s="15"/>
    </row>
    <row r="158" spans="1:28" hidden="1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74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8"/>
        <v>22</v>
      </c>
      <c r="R158" s="53" t="str">
        <f t="shared" si="9"/>
        <v>12</v>
      </c>
      <c r="S158" s="3" t="s">
        <v>199</v>
      </c>
      <c r="T158" s="3" t="s">
        <v>40</v>
      </c>
      <c r="U158" s="9" t="s">
        <v>63</v>
      </c>
      <c r="V158" s="3" t="s">
        <v>64</v>
      </c>
      <c r="W158" s="3" t="s">
        <v>74</v>
      </c>
      <c r="X158" s="5"/>
      <c r="Y158" s="3">
        <f t="shared" si="10"/>
        <v>-46106</v>
      </c>
      <c r="Z158" s="18">
        <v>46146</v>
      </c>
      <c r="AA158" s="15"/>
      <c r="AB158" s="15"/>
    </row>
    <row r="159" spans="1:28" hidden="1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74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8"/>
        <v>23</v>
      </c>
      <c r="R159" s="53" t="str">
        <f t="shared" si="9"/>
        <v>01</v>
      </c>
      <c r="S159" s="3" t="s">
        <v>199</v>
      </c>
      <c r="T159" s="3" t="s">
        <v>40</v>
      </c>
      <c r="U159" s="9" t="s">
        <v>69</v>
      </c>
      <c r="V159" s="3" t="s">
        <v>64</v>
      </c>
      <c r="W159" s="3" t="s">
        <v>74</v>
      </c>
      <c r="X159" s="5"/>
      <c r="Y159" s="3">
        <f t="shared" si="10"/>
        <v>-46106</v>
      </c>
      <c r="Z159" s="18">
        <v>46146</v>
      </c>
      <c r="AA159" s="15"/>
      <c r="AB159" s="15"/>
    </row>
    <row r="160" spans="1:28" hidden="1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74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8"/>
        <v>23</v>
      </c>
      <c r="R160" s="53" t="str">
        <f t="shared" si="9"/>
        <v>01</v>
      </c>
      <c r="S160" s="3" t="s">
        <v>199</v>
      </c>
      <c r="T160" s="3" t="s">
        <v>40</v>
      </c>
      <c r="U160" s="9" t="s">
        <v>63</v>
      </c>
      <c r="V160" s="3" t="s">
        <v>64</v>
      </c>
      <c r="W160" s="3" t="s">
        <v>74</v>
      </c>
      <c r="X160" s="5"/>
      <c r="Y160" s="3">
        <f t="shared" si="10"/>
        <v>-46106</v>
      </c>
      <c r="Z160" s="18">
        <v>46146</v>
      </c>
      <c r="AA160" s="15"/>
      <c r="AB160" s="15"/>
    </row>
    <row r="161" spans="1:28" hidden="1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74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8"/>
        <v>23</v>
      </c>
      <c r="R161" s="53" t="str">
        <f t="shared" si="9"/>
        <v>01</v>
      </c>
      <c r="S161" s="3" t="s">
        <v>199</v>
      </c>
      <c r="T161" s="3" t="s">
        <v>40</v>
      </c>
      <c r="U161" s="9" t="s">
        <v>69</v>
      </c>
      <c r="V161" s="3" t="s">
        <v>64</v>
      </c>
      <c r="W161" s="3" t="s">
        <v>74</v>
      </c>
      <c r="X161" s="5"/>
      <c r="Y161" s="3">
        <f t="shared" si="10"/>
        <v>-46106</v>
      </c>
      <c r="Z161" s="18">
        <v>46146</v>
      </c>
      <c r="AA161" s="15"/>
      <c r="AB161" s="15"/>
    </row>
    <row r="162" spans="1:28" hidden="1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74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8"/>
        <v>22</v>
      </c>
      <c r="R162" s="53" t="str">
        <f t="shared" si="9"/>
        <v>12</v>
      </c>
      <c r="S162" s="3" t="s">
        <v>199</v>
      </c>
      <c r="T162" s="3" t="s">
        <v>40</v>
      </c>
      <c r="U162" s="9" t="s">
        <v>63</v>
      </c>
      <c r="V162" s="3" t="s">
        <v>64</v>
      </c>
      <c r="W162" s="3" t="s">
        <v>74</v>
      </c>
      <c r="X162" s="5"/>
      <c r="Y162" s="3">
        <f t="shared" si="10"/>
        <v>-46106</v>
      </c>
      <c r="Z162" s="18">
        <v>46146</v>
      </c>
      <c r="AA162" s="15"/>
      <c r="AB162" s="15"/>
    </row>
    <row r="163" spans="1:28" hidden="1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74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8"/>
        <v>22</v>
      </c>
      <c r="R163" s="53" t="str">
        <f t="shared" si="9"/>
        <v>12</v>
      </c>
      <c r="S163" s="3" t="s">
        <v>199</v>
      </c>
      <c r="T163" s="3" t="s">
        <v>40</v>
      </c>
      <c r="U163" s="9" t="s">
        <v>63</v>
      </c>
      <c r="V163" s="3" t="s">
        <v>64</v>
      </c>
      <c r="W163" s="3" t="s">
        <v>74</v>
      </c>
      <c r="X163" s="5"/>
      <c r="Y163" s="3">
        <f t="shared" si="10"/>
        <v>-46106</v>
      </c>
      <c r="Z163" s="18">
        <v>46146</v>
      </c>
      <c r="AA163" s="15"/>
      <c r="AB163" s="15"/>
    </row>
    <row r="164" spans="1:28" hidden="1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74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8"/>
        <v>22</v>
      </c>
      <c r="R164" s="53" t="str">
        <f t="shared" si="9"/>
        <v>12</v>
      </c>
      <c r="S164" s="3" t="s">
        <v>199</v>
      </c>
      <c r="T164" s="3" t="s">
        <v>40</v>
      </c>
      <c r="U164" s="9" t="s">
        <v>63</v>
      </c>
      <c r="V164" s="3" t="s">
        <v>64</v>
      </c>
      <c r="W164" s="3" t="s">
        <v>74</v>
      </c>
      <c r="X164" s="5"/>
      <c r="Y164" s="3">
        <f t="shared" si="10"/>
        <v>-46106</v>
      </c>
      <c r="Z164" s="18">
        <v>46146</v>
      </c>
      <c r="AA164" s="15"/>
      <c r="AB164" s="15"/>
    </row>
    <row r="165" spans="1:28" hidden="1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74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8"/>
        <v>22</v>
      </c>
      <c r="R165" s="53" t="str">
        <f t="shared" si="9"/>
        <v>12</v>
      </c>
      <c r="S165" s="3" t="s">
        <v>199</v>
      </c>
      <c r="T165" s="3" t="s">
        <v>40</v>
      </c>
      <c r="U165" s="9" t="s">
        <v>63</v>
      </c>
      <c r="V165" s="3" t="s">
        <v>64</v>
      </c>
      <c r="W165" s="3" t="s">
        <v>74</v>
      </c>
      <c r="X165" s="5"/>
      <c r="Y165" s="3">
        <f t="shared" si="10"/>
        <v>-46106</v>
      </c>
      <c r="Z165" s="18">
        <v>46146</v>
      </c>
      <c r="AA165" s="15"/>
      <c r="AB165" s="15"/>
    </row>
    <row r="166" spans="1:28" hidden="1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74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8"/>
        <v>23</v>
      </c>
      <c r="R166" s="53" t="str">
        <f t="shared" si="9"/>
        <v>01</v>
      </c>
      <c r="S166" s="3" t="s">
        <v>199</v>
      </c>
      <c r="T166" s="3" t="s">
        <v>40</v>
      </c>
      <c r="U166" s="9" t="s">
        <v>69</v>
      </c>
      <c r="V166" s="3" t="s">
        <v>64</v>
      </c>
      <c r="W166" s="3" t="s">
        <v>74</v>
      </c>
      <c r="X166" s="5"/>
      <c r="Y166" s="3">
        <f t="shared" si="10"/>
        <v>-46106</v>
      </c>
      <c r="Z166" s="18">
        <v>46146</v>
      </c>
      <c r="AA166" s="15"/>
      <c r="AB166" s="15"/>
    </row>
    <row r="167" spans="1:28" hidden="1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74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1">MID(P167,5,2)</f>
        <v>22</v>
      </c>
      <c r="R167" s="53" t="str">
        <f t="shared" ref="R167:R230" si="12">MID(P167,7,2)</f>
        <v>12</v>
      </c>
      <c r="S167" s="3" t="s">
        <v>199</v>
      </c>
      <c r="T167" s="3" t="s">
        <v>40</v>
      </c>
      <c r="U167" s="9" t="s">
        <v>63</v>
      </c>
      <c r="V167" s="3" t="s">
        <v>64</v>
      </c>
      <c r="W167" s="3" t="s">
        <v>74</v>
      </c>
      <c r="X167" s="5"/>
      <c r="Y167" s="3">
        <f t="shared" si="10"/>
        <v>-46106</v>
      </c>
      <c r="Z167" s="18">
        <v>46146</v>
      </c>
      <c r="AA167" s="15"/>
      <c r="AB167" s="15"/>
    </row>
    <row r="168" spans="1:28" hidden="1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74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1"/>
        <v>23</v>
      </c>
      <c r="R168" s="53" t="str">
        <f t="shared" si="12"/>
        <v>01</v>
      </c>
      <c r="S168" s="3" t="s">
        <v>199</v>
      </c>
      <c r="T168" s="3" t="s">
        <v>40</v>
      </c>
      <c r="U168" s="9" t="s">
        <v>69</v>
      </c>
      <c r="V168" s="3" t="s">
        <v>64</v>
      </c>
      <c r="W168" s="3" t="s">
        <v>74</v>
      </c>
      <c r="X168" s="5"/>
      <c r="Y168" s="3">
        <f t="shared" si="10"/>
        <v>-46106</v>
      </c>
      <c r="Z168" s="18">
        <v>46146</v>
      </c>
      <c r="AA168" s="15"/>
      <c r="AB168" s="15"/>
    </row>
    <row r="169" spans="1:28" hidden="1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74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1"/>
        <v>23</v>
      </c>
      <c r="R169" s="53" t="str">
        <f t="shared" si="12"/>
        <v>01</v>
      </c>
      <c r="S169" s="3" t="s">
        <v>199</v>
      </c>
      <c r="T169" s="3" t="s">
        <v>40</v>
      </c>
      <c r="U169" s="9" t="s">
        <v>69</v>
      </c>
      <c r="V169" s="3" t="s">
        <v>64</v>
      </c>
      <c r="W169" s="3" t="s">
        <v>74</v>
      </c>
      <c r="X169" s="5"/>
      <c r="Y169" s="3">
        <f t="shared" si="10"/>
        <v>-46106</v>
      </c>
      <c r="Z169" s="18">
        <v>46146</v>
      </c>
      <c r="AA169" s="15"/>
      <c r="AB169" s="15"/>
    </row>
    <row r="170" spans="1:28" hidden="1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74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1"/>
        <v>23</v>
      </c>
      <c r="R170" s="53" t="str">
        <f t="shared" si="12"/>
        <v>01</v>
      </c>
      <c r="S170" s="3" t="s">
        <v>199</v>
      </c>
      <c r="T170" s="3" t="s">
        <v>40</v>
      </c>
      <c r="U170" s="9" t="s">
        <v>63</v>
      </c>
      <c r="V170" s="3" t="s">
        <v>64</v>
      </c>
      <c r="W170" s="3" t="s">
        <v>74</v>
      </c>
      <c r="X170" s="5"/>
      <c r="Y170" s="3">
        <f t="shared" si="10"/>
        <v>-46106</v>
      </c>
      <c r="Z170" s="18">
        <v>46146</v>
      </c>
      <c r="AA170" s="15"/>
      <c r="AB170" s="15"/>
    </row>
    <row r="171" spans="1:28" hidden="1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74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1"/>
        <v>22</v>
      </c>
      <c r="R171" s="53" t="str">
        <f t="shared" si="12"/>
        <v>12</v>
      </c>
      <c r="S171" s="3" t="s">
        <v>199</v>
      </c>
      <c r="T171" s="3" t="s">
        <v>40</v>
      </c>
      <c r="U171" s="9" t="s">
        <v>272</v>
      </c>
      <c r="V171" s="3" t="s">
        <v>64</v>
      </c>
      <c r="W171" s="3" t="s">
        <v>74</v>
      </c>
      <c r="X171" s="5"/>
      <c r="Y171" s="3">
        <f t="shared" si="10"/>
        <v>-46106</v>
      </c>
      <c r="Z171" s="18">
        <v>46146</v>
      </c>
      <c r="AA171" s="15"/>
      <c r="AB171" s="15"/>
    </row>
    <row r="172" spans="1:28" hidden="1">
      <c r="A172" s="6">
        <v>46107</v>
      </c>
      <c r="B172" s="3">
        <v>2026</v>
      </c>
      <c r="C172" s="3" t="s">
        <v>2963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1"/>
        <v>24</v>
      </c>
      <c r="R172" s="53" t="str">
        <f t="shared" si="12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3">
        <f t="shared" si="10"/>
        <v>39</v>
      </c>
      <c r="Z172" s="18">
        <v>46146</v>
      </c>
      <c r="AA172" s="15"/>
      <c r="AB172" s="15"/>
    </row>
    <row r="173" spans="1:28" hidden="1">
      <c r="A173" s="6">
        <v>46107</v>
      </c>
      <c r="B173" s="3">
        <v>2026</v>
      </c>
      <c r="C173" s="3" t="s">
        <v>2963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1"/>
        <v>24</v>
      </c>
      <c r="R173" s="53" t="str">
        <f t="shared" si="12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3">
        <f t="shared" si="10"/>
        <v>39</v>
      </c>
      <c r="Z173" s="18">
        <v>46146</v>
      </c>
      <c r="AA173" s="15"/>
      <c r="AB173" s="15"/>
    </row>
    <row r="174" spans="1:28" hidden="1">
      <c r="A174" s="6">
        <v>46107</v>
      </c>
      <c r="B174" s="3">
        <v>2026</v>
      </c>
      <c r="C174" s="3" t="s">
        <v>2963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1"/>
        <v>24</v>
      </c>
      <c r="R174" s="53" t="str">
        <f t="shared" si="12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3">
        <f t="shared" si="10"/>
        <v>39</v>
      </c>
      <c r="Z174" s="18">
        <v>46146</v>
      </c>
      <c r="AA174" s="15"/>
      <c r="AB174" s="15"/>
    </row>
    <row r="175" spans="1:28" hidden="1">
      <c r="A175" s="6">
        <v>46107</v>
      </c>
      <c r="B175" s="3">
        <v>2026</v>
      </c>
      <c r="C175" s="3" t="s">
        <v>2963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1"/>
        <v>24</v>
      </c>
      <c r="R175" s="53" t="str">
        <f t="shared" si="12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3">
        <f t="shared" si="10"/>
        <v>39</v>
      </c>
      <c r="Z175" s="18">
        <v>46146</v>
      </c>
      <c r="AA175" s="15"/>
      <c r="AB175" s="15"/>
    </row>
    <row r="176" spans="1:28" hidden="1">
      <c r="A176" s="6">
        <v>46107</v>
      </c>
      <c r="B176" s="3">
        <v>2026</v>
      </c>
      <c r="C176" s="3" t="s">
        <v>2963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1"/>
        <v>24</v>
      </c>
      <c r="R176" s="53" t="str">
        <f t="shared" si="12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3">
        <f t="shared" si="10"/>
        <v>39</v>
      </c>
      <c r="Z176" s="18">
        <v>46146</v>
      </c>
      <c r="AA176" s="15"/>
      <c r="AB176" s="15"/>
    </row>
    <row r="177" spans="1:28" hidden="1">
      <c r="A177" s="6">
        <v>46107</v>
      </c>
      <c r="B177" s="3">
        <v>2026</v>
      </c>
      <c r="C177" s="3" t="s">
        <v>2963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1"/>
        <v>24</v>
      </c>
      <c r="R177" s="53" t="str">
        <f t="shared" si="12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3">
        <f t="shared" si="10"/>
        <v>39</v>
      </c>
      <c r="Z177" s="18">
        <v>46146</v>
      </c>
      <c r="AA177" s="15"/>
      <c r="AB177" s="15"/>
    </row>
    <row r="178" spans="1:28" hidden="1">
      <c r="A178" s="6">
        <v>46107</v>
      </c>
      <c r="B178" s="3">
        <v>2026</v>
      </c>
      <c r="C178" s="3" t="s">
        <v>2963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1"/>
        <v>24</v>
      </c>
      <c r="R178" s="53" t="str">
        <f t="shared" si="12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3">
        <f t="shared" si="10"/>
        <v>39</v>
      </c>
      <c r="Z178" s="18">
        <v>46146</v>
      </c>
      <c r="AA178" s="15"/>
      <c r="AB178" s="15"/>
    </row>
    <row r="179" spans="1:28" hidden="1">
      <c r="A179" s="6">
        <v>46107</v>
      </c>
      <c r="B179" s="3">
        <v>2026</v>
      </c>
      <c r="C179" s="3" t="s">
        <v>2963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1"/>
        <v>24</v>
      </c>
      <c r="R179" s="53" t="str">
        <f t="shared" si="12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3">
        <f t="shared" si="10"/>
        <v>39</v>
      </c>
      <c r="Z179" s="18">
        <v>46146</v>
      </c>
      <c r="AA179" s="15"/>
      <c r="AB179" s="15"/>
    </row>
    <row r="180" spans="1:28" hidden="1">
      <c r="A180" s="6">
        <v>46107</v>
      </c>
      <c r="B180" s="3">
        <v>2026</v>
      </c>
      <c r="C180" s="3" t="s">
        <v>2963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1"/>
        <v>24</v>
      </c>
      <c r="R180" s="53" t="str">
        <f t="shared" si="12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3">
        <f t="shared" si="10"/>
        <v>39</v>
      </c>
      <c r="Z180" s="18">
        <v>46146</v>
      </c>
      <c r="AA180" s="15"/>
      <c r="AB180" s="15"/>
    </row>
    <row r="181" spans="1:28" hidden="1">
      <c r="A181" s="6">
        <v>46107</v>
      </c>
      <c r="B181" s="3">
        <v>2026</v>
      </c>
      <c r="C181" s="3" t="s">
        <v>2963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1"/>
        <v>24</v>
      </c>
      <c r="R181" s="53" t="str">
        <f t="shared" si="12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3">
        <f t="shared" si="10"/>
        <v>39</v>
      </c>
      <c r="Z181" s="18">
        <v>46146</v>
      </c>
      <c r="AA181" s="15"/>
      <c r="AB181" s="15"/>
    </row>
    <row r="182" spans="1:28" hidden="1">
      <c r="A182" s="6">
        <v>46107</v>
      </c>
      <c r="B182" s="3">
        <v>2026</v>
      </c>
      <c r="C182" s="3" t="s">
        <v>2963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1"/>
        <v>24</v>
      </c>
      <c r="R182" s="53" t="str">
        <f t="shared" si="12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3">
        <f t="shared" si="10"/>
        <v>39</v>
      </c>
      <c r="Z182" s="18">
        <v>46146</v>
      </c>
      <c r="AA182" s="15"/>
      <c r="AB182" s="15"/>
    </row>
    <row r="183" spans="1:28" hidden="1">
      <c r="A183" s="6">
        <v>46107</v>
      </c>
      <c r="B183" s="3">
        <v>2026</v>
      </c>
      <c r="C183" s="3" t="s">
        <v>2963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1"/>
        <v>24</v>
      </c>
      <c r="R183" s="53" t="str">
        <f t="shared" si="12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3">
        <f t="shared" si="10"/>
        <v>39</v>
      </c>
      <c r="Z183" s="18">
        <v>46146</v>
      </c>
      <c r="AA183" s="15"/>
      <c r="AB183" s="15"/>
    </row>
    <row r="184" spans="1:28" hidden="1">
      <c r="A184" s="6">
        <v>46107</v>
      </c>
      <c r="B184" s="3">
        <v>2026</v>
      </c>
      <c r="C184" s="3" t="s">
        <v>2963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1"/>
        <v>24</v>
      </c>
      <c r="R184" s="53" t="str">
        <f t="shared" si="12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3">
        <f t="shared" si="10"/>
        <v>39</v>
      </c>
      <c r="Z184" s="18">
        <v>46146</v>
      </c>
      <c r="AA184" s="15"/>
      <c r="AB184" s="15"/>
    </row>
    <row r="185" spans="1:28" hidden="1">
      <c r="A185" s="6">
        <v>46107</v>
      </c>
      <c r="B185" s="3">
        <v>2026</v>
      </c>
      <c r="C185" s="3" t="s">
        <v>2963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1"/>
        <v>24</v>
      </c>
      <c r="R185" s="53" t="str">
        <f t="shared" si="12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3">
        <f t="shared" si="10"/>
        <v>39</v>
      </c>
      <c r="Z185" s="18">
        <v>46146</v>
      </c>
      <c r="AA185" s="15"/>
      <c r="AB185" s="15"/>
    </row>
    <row r="186" spans="1:28" hidden="1">
      <c r="A186" s="6">
        <v>46107</v>
      </c>
      <c r="B186" s="3">
        <v>2026</v>
      </c>
      <c r="C186" s="3" t="s">
        <v>2963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1"/>
        <v>24</v>
      </c>
      <c r="R186" s="53" t="str">
        <f t="shared" si="12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3">
        <f t="shared" si="10"/>
        <v>39</v>
      </c>
      <c r="Z186" s="18">
        <v>46146</v>
      </c>
      <c r="AA186" s="15"/>
      <c r="AB186" s="15"/>
    </row>
    <row r="187" spans="1:28" hidden="1">
      <c r="A187" s="6">
        <v>46107</v>
      </c>
      <c r="B187" s="3">
        <v>2026</v>
      </c>
      <c r="C187" s="3" t="s">
        <v>2963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1"/>
        <v>24</v>
      </c>
      <c r="R187" s="53" t="str">
        <f t="shared" si="12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3">
        <f t="shared" si="10"/>
        <v>39</v>
      </c>
      <c r="Z187" s="18">
        <v>46146</v>
      </c>
      <c r="AA187" s="15"/>
      <c r="AB187" s="15"/>
    </row>
    <row r="188" spans="1:28" hidden="1">
      <c r="A188" s="6">
        <v>46107</v>
      </c>
      <c r="B188" s="3">
        <v>2026</v>
      </c>
      <c r="C188" s="3" t="s">
        <v>2963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1"/>
        <v>24</v>
      </c>
      <c r="R188" s="53" t="str">
        <f t="shared" si="12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3">
        <f t="shared" si="10"/>
        <v>39</v>
      </c>
      <c r="Z188" s="18">
        <v>46146</v>
      </c>
      <c r="AA188" s="15"/>
      <c r="AB188" s="15"/>
    </row>
    <row r="189" spans="1:28" hidden="1">
      <c r="A189" s="6">
        <v>46107</v>
      </c>
      <c r="B189" s="3">
        <v>2026</v>
      </c>
      <c r="C189" s="3" t="s">
        <v>2963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1"/>
        <v>24</v>
      </c>
      <c r="R189" s="53" t="str">
        <f t="shared" si="12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3">
        <f t="shared" si="10"/>
        <v>39</v>
      </c>
      <c r="Z189" s="18">
        <v>46146</v>
      </c>
      <c r="AA189" s="15"/>
      <c r="AB189" s="15"/>
    </row>
    <row r="190" spans="1:28" hidden="1">
      <c r="A190" s="6">
        <v>46107</v>
      </c>
      <c r="B190" s="3">
        <v>2026</v>
      </c>
      <c r="C190" s="3" t="s">
        <v>2963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1"/>
        <v>24</v>
      </c>
      <c r="R190" s="53" t="str">
        <f t="shared" si="12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3">
        <f t="shared" si="10"/>
        <v>39</v>
      </c>
      <c r="Z190" s="18">
        <v>46146</v>
      </c>
      <c r="AA190" s="15"/>
      <c r="AB190" s="15"/>
    </row>
    <row r="191" spans="1:28" hidden="1">
      <c r="A191" s="6">
        <v>46107</v>
      </c>
      <c r="B191" s="3">
        <v>2026</v>
      </c>
      <c r="C191" s="3" t="s">
        <v>2963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1"/>
        <v>24</v>
      </c>
      <c r="R191" s="53" t="str">
        <f t="shared" si="12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3">
        <f t="shared" si="10"/>
        <v>39</v>
      </c>
      <c r="Z191" s="18">
        <v>46146</v>
      </c>
      <c r="AA191" s="15"/>
      <c r="AB191" s="15"/>
    </row>
    <row r="192" spans="1:28" hidden="1">
      <c r="A192" s="6">
        <v>46107</v>
      </c>
      <c r="B192" s="3">
        <v>2026</v>
      </c>
      <c r="C192" s="3" t="s">
        <v>2963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1"/>
        <v>24</v>
      </c>
      <c r="R192" s="53" t="str">
        <f t="shared" si="12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3">
        <f t="shared" si="10"/>
        <v>39</v>
      </c>
      <c r="Z192" s="18">
        <v>46146</v>
      </c>
      <c r="AA192" s="15"/>
      <c r="AB192" s="15"/>
    </row>
    <row r="193" spans="1:28" hidden="1">
      <c r="A193" s="6">
        <v>46107</v>
      </c>
      <c r="B193" s="3">
        <v>2026</v>
      </c>
      <c r="C193" s="3" t="s">
        <v>2963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1"/>
        <v>24</v>
      </c>
      <c r="R193" s="53" t="str">
        <f t="shared" si="12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3">
        <f t="shared" si="10"/>
        <v>39</v>
      </c>
      <c r="Z193" s="18">
        <v>46146</v>
      </c>
      <c r="AA193" s="15"/>
      <c r="AB193" s="15"/>
    </row>
    <row r="194" spans="1:28" hidden="1">
      <c r="A194" s="6">
        <v>46107</v>
      </c>
      <c r="B194" s="3">
        <v>2026</v>
      </c>
      <c r="C194" s="3" t="s">
        <v>2963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1"/>
        <v>24</v>
      </c>
      <c r="R194" s="53" t="str">
        <f t="shared" si="12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3">
        <f t="shared" ref="Y194:Y257" si="13">X194-A194</f>
        <v>39</v>
      </c>
      <c r="Z194" s="18">
        <v>46146</v>
      </c>
      <c r="AA194" s="15"/>
      <c r="AB194" s="15"/>
    </row>
    <row r="195" spans="1:28" hidden="1">
      <c r="A195" s="6">
        <v>46107</v>
      </c>
      <c r="B195" s="3">
        <v>2026</v>
      </c>
      <c r="C195" s="3" t="s">
        <v>2963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1"/>
        <v>24</v>
      </c>
      <c r="R195" s="53" t="str">
        <f t="shared" si="12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3">
        <f t="shared" si="13"/>
        <v>39</v>
      </c>
      <c r="Z195" s="18">
        <v>46146</v>
      </c>
      <c r="AA195" s="15"/>
      <c r="AB195" s="15"/>
    </row>
    <row r="196" spans="1:28" hidden="1">
      <c r="A196" s="6">
        <v>46107</v>
      </c>
      <c r="B196" s="3">
        <v>2026</v>
      </c>
      <c r="C196" s="3" t="s">
        <v>2963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1"/>
        <v>24</v>
      </c>
      <c r="R196" s="53" t="str">
        <f t="shared" si="12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3">
        <f t="shared" si="13"/>
        <v>39</v>
      </c>
      <c r="Z196" s="18">
        <v>46146</v>
      </c>
      <c r="AA196" s="15"/>
      <c r="AB196" s="15"/>
    </row>
    <row r="197" spans="1:28" hidden="1">
      <c r="A197" s="6">
        <v>46107</v>
      </c>
      <c r="B197" s="3">
        <v>2026</v>
      </c>
      <c r="C197" s="3" t="s">
        <v>2963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1"/>
        <v>24</v>
      </c>
      <c r="R197" s="53" t="str">
        <f t="shared" si="12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3">
        <f t="shared" si="13"/>
        <v>39</v>
      </c>
      <c r="Z197" s="18">
        <v>46146</v>
      </c>
      <c r="AA197" s="15"/>
      <c r="AB197" s="15"/>
    </row>
    <row r="198" spans="1:28" hidden="1">
      <c r="A198" s="6">
        <v>46107</v>
      </c>
      <c r="B198" s="3">
        <v>2026</v>
      </c>
      <c r="C198" s="3" t="s">
        <v>2963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1"/>
        <v>24</v>
      </c>
      <c r="R198" s="53" t="str">
        <f t="shared" si="12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3">
        <f t="shared" si="13"/>
        <v>39</v>
      </c>
      <c r="Z198" s="18">
        <v>46146</v>
      </c>
      <c r="AA198" s="15"/>
      <c r="AB198" s="15"/>
    </row>
    <row r="199" spans="1:28" hidden="1">
      <c r="A199" s="6">
        <v>46107</v>
      </c>
      <c r="B199" s="3">
        <v>2026</v>
      </c>
      <c r="C199" s="3" t="s">
        <v>2963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1"/>
        <v>24</v>
      </c>
      <c r="R199" s="53" t="str">
        <f t="shared" si="12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3">
        <f t="shared" si="13"/>
        <v>39</v>
      </c>
      <c r="Z199" s="18">
        <v>46146</v>
      </c>
      <c r="AA199" s="15"/>
      <c r="AB199" s="15"/>
    </row>
    <row r="200" spans="1:28" hidden="1">
      <c r="A200" s="6">
        <v>46107</v>
      </c>
      <c r="B200" s="3">
        <v>2026</v>
      </c>
      <c r="C200" s="3" t="s">
        <v>2963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1"/>
        <v>24</v>
      </c>
      <c r="R200" s="53" t="str">
        <f t="shared" si="12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3">
        <f t="shared" si="13"/>
        <v>39</v>
      </c>
      <c r="Z200" s="18">
        <v>46146</v>
      </c>
      <c r="AA200" s="15"/>
      <c r="AB200" s="15"/>
    </row>
    <row r="201" spans="1:28" hidden="1">
      <c r="A201" s="6">
        <v>46107</v>
      </c>
      <c r="B201" s="3">
        <v>2026</v>
      </c>
      <c r="C201" s="3" t="s">
        <v>2963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1"/>
        <v>24</v>
      </c>
      <c r="R201" s="53" t="str">
        <f t="shared" si="12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3">
        <f t="shared" si="13"/>
        <v>39</v>
      </c>
      <c r="Z201" s="18">
        <v>46146</v>
      </c>
      <c r="AA201" s="15"/>
      <c r="AB201" s="15"/>
    </row>
    <row r="202" spans="1:28" hidden="1">
      <c r="A202" s="6">
        <v>46107</v>
      </c>
      <c r="B202" s="3">
        <v>2026</v>
      </c>
      <c r="C202" s="3" t="s">
        <v>2963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1"/>
        <v>24</v>
      </c>
      <c r="R202" s="53" t="str">
        <f t="shared" si="12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3">
        <f t="shared" si="13"/>
        <v>39</v>
      </c>
      <c r="Z202" s="18">
        <v>46146</v>
      </c>
      <c r="AA202" s="15"/>
      <c r="AB202" s="15"/>
    </row>
    <row r="203" spans="1:28" hidden="1">
      <c r="A203" s="6">
        <v>46107</v>
      </c>
      <c r="B203" s="3">
        <v>2026</v>
      </c>
      <c r="C203" s="3" t="s">
        <v>2963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1"/>
        <v>24</v>
      </c>
      <c r="R203" s="53" t="str">
        <f t="shared" si="12"/>
        <v>05</v>
      </c>
      <c r="S203" s="3" t="s">
        <v>121</v>
      </c>
      <c r="T203" s="3" t="s">
        <v>122</v>
      </c>
      <c r="U203" s="3" t="s">
        <v>307</v>
      </c>
      <c r="V203" s="3" t="s">
        <v>64</v>
      </c>
      <c r="W203" s="3" t="s">
        <v>74</v>
      </c>
      <c r="X203" s="18"/>
      <c r="Y203" s="3">
        <f t="shared" si="13"/>
        <v>-46107</v>
      </c>
      <c r="Z203" s="18">
        <v>46146</v>
      </c>
      <c r="AA203" s="15"/>
      <c r="AB203" s="15"/>
    </row>
    <row r="204" spans="1:28" hidden="1">
      <c r="A204" s="6">
        <v>46107</v>
      </c>
      <c r="B204" s="3">
        <v>2026</v>
      </c>
      <c r="C204" s="3" t="s">
        <v>2963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1"/>
        <v>24</v>
      </c>
      <c r="R204" s="53" t="str">
        <f t="shared" si="12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3">
        <f t="shared" si="13"/>
        <v>39</v>
      </c>
      <c r="Z204" s="18">
        <v>46146</v>
      </c>
      <c r="AA204" s="15"/>
      <c r="AB204" s="15"/>
    </row>
    <row r="205" spans="1:28" hidden="1">
      <c r="A205" s="6">
        <v>46107</v>
      </c>
      <c r="B205" s="3">
        <v>2026</v>
      </c>
      <c r="C205" s="3" t="s">
        <v>2963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1"/>
        <v>24</v>
      </c>
      <c r="R205" s="53" t="str">
        <f t="shared" si="12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3">
        <f t="shared" si="13"/>
        <v>39</v>
      </c>
      <c r="Z205" s="18">
        <v>46146</v>
      </c>
      <c r="AA205" s="15"/>
      <c r="AB205" s="15"/>
    </row>
    <row r="206" spans="1:28" hidden="1">
      <c r="A206" s="6">
        <v>46107</v>
      </c>
      <c r="B206" s="3">
        <v>2026</v>
      </c>
      <c r="C206" s="3" t="s">
        <v>2963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1"/>
        <v>24</v>
      </c>
      <c r="R206" s="53" t="str">
        <f t="shared" si="12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3">
        <f t="shared" si="13"/>
        <v>39</v>
      </c>
      <c r="Z206" s="18">
        <v>46146</v>
      </c>
      <c r="AA206" s="15"/>
      <c r="AB206" s="15"/>
    </row>
    <row r="207" spans="1:28" hidden="1">
      <c r="A207" s="6">
        <v>46107</v>
      </c>
      <c r="B207" s="3">
        <v>2026</v>
      </c>
      <c r="C207" s="3" t="s">
        <v>2963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1"/>
        <v>24</v>
      </c>
      <c r="R207" s="53" t="str">
        <f t="shared" si="12"/>
        <v>05</v>
      </c>
      <c r="S207" s="3" t="s">
        <v>121</v>
      </c>
      <c r="T207" s="3" t="s">
        <v>122</v>
      </c>
      <c r="U207" s="9" t="s">
        <v>313</v>
      </c>
      <c r="V207" s="3" t="s">
        <v>64</v>
      </c>
      <c r="W207" s="3" t="s">
        <v>74</v>
      </c>
      <c r="X207" s="18"/>
      <c r="Y207" s="3">
        <f t="shared" si="13"/>
        <v>-46107</v>
      </c>
      <c r="Z207" s="18">
        <v>46146</v>
      </c>
      <c r="AA207" s="15"/>
      <c r="AB207" s="15"/>
    </row>
    <row r="208" spans="1:28" hidden="1">
      <c r="A208" s="6">
        <v>46107</v>
      </c>
      <c r="B208" s="3">
        <v>2026</v>
      </c>
      <c r="C208" s="3" t="s">
        <v>2963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1"/>
        <v>24</v>
      </c>
      <c r="R208" s="53" t="str">
        <f t="shared" si="12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3">
        <f t="shared" si="13"/>
        <v>39</v>
      </c>
      <c r="Z208" s="18">
        <v>46146</v>
      </c>
      <c r="AA208" s="15"/>
      <c r="AB208" s="15"/>
    </row>
    <row r="209" spans="1:28" hidden="1">
      <c r="A209" s="6">
        <v>46107</v>
      </c>
      <c r="B209" s="3">
        <v>2026</v>
      </c>
      <c r="C209" s="3" t="s">
        <v>2963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1"/>
        <v>24</v>
      </c>
      <c r="R209" s="53" t="str">
        <f t="shared" si="12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3">
        <f t="shared" si="13"/>
        <v>39</v>
      </c>
      <c r="Z209" s="18">
        <v>46146</v>
      </c>
      <c r="AA209" s="15"/>
      <c r="AB209" s="15"/>
    </row>
    <row r="210" spans="1:28" hidden="1">
      <c r="A210" s="6">
        <v>46107</v>
      </c>
      <c r="B210" s="3">
        <v>2026</v>
      </c>
      <c r="C210" s="3" t="s">
        <v>2963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1"/>
        <v>24</v>
      </c>
      <c r="R210" s="53" t="str">
        <f t="shared" si="12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3">
        <f t="shared" si="13"/>
        <v>39</v>
      </c>
      <c r="Z210" s="18">
        <v>46146</v>
      </c>
      <c r="AA210" s="15"/>
      <c r="AB210" s="15"/>
    </row>
    <row r="211" spans="1:28" hidden="1">
      <c r="A211" s="6">
        <v>46107</v>
      </c>
      <c r="B211" s="3">
        <v>2026</v>
      </c>
      <c r="C211" s="3" t="s">
        <v>2963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1"/>
        <v>24</v>
      </c>
      <c r="R211" s="53" t="str">
        <f t="shared" si="12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3">
        <f t="shared" si="13"/>
        <v>39</v>
      </c>
      <c r="Z211" s="18">
        <v>46146</v>
      </c>
      <c r="AA211" s="15"/>
      <c r="AB211" s="15"/>
    </row>
    <row r="212" spans="1:28" hidden="1">
      <c r="A212" s="6">
        <v>46107</v>
      </c>
      <c r="B212" s="3">
        <v>2026</v>
      </c>
      <c r="C212" s="3" t="s">
        <v>2963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1"/>
        <v>24</v>
      </c>
      <c r="R212" s="53" t="str">
        <f t="shared" si="12"/>
        <v>05</v>
      </c>
      <c r="S212" s="3" t="s">
        <v>121</v>
      </c>
      <c r="T212" s="3" t="s">
        <v>122</v>
      </c>
      <c r="U212" s="9" t="s">
        <v>313</v>
      </c>
      <c r="V212" s="3" t="s">
        <v>64</v>
      </c>
      <c r="W212" s="3" t="s">
        <v>74</v>
      </c>
      <c r="X212" s="18"/>
      <c r="Y212" s="3">
        <f t="shared" si="13"/>
        <v>-46107</v>
      </c>
      <c r="Z212" s="18">
        <v>46146</v>
      </c>
      <c r="AA212" s="15"/>
      <c r="AB212" s="15"/>
    </row>
    <row r="213" spans="1:28" hidden="1">
      <c r="A213" s="6">
        <v>46107</v>
      </c>
      <c r="B213" s="3">
        <v>2026</v>
      </c>
      <c r="C213" s="3" t="s">
        <v>2963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1"/>
        <v>24</v>
      </c>
      <c r="R213" s="53" t="str">
        <f t="shared" si="12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3">
        <f t="shared" si="13"/>
        <v>39</v>
      </c>
      <c r="Z213" s="18">
        <v>46146</v>
      </c>
      <c r="AA213" s="15"/>
      <c r="AB213" s="15"/>
    </row>
    <row r="214" spans="1:28" hidden="1">
      <c r="A214" s="6">
        <v>46107</v>
      </c>
      <c r="B214" s="3">
        <v>2026</v>
      </c>
      <c r="C214" s="3" t="s">
        <v>2963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1"/>
        <v>24</v>
      </c>
      <c r="R214" s="53" t="str">
        <f t="shared" si="12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3">
        <f t="shared" si="13"/>
        <v>39</v>
      </c>
      <c r="Z214" s="18">
        <v>46146</v>
      </c>
      <c r="AA214" s="15"/>
      <c r="AB214" s="15"/>
    </row>
    <row r="215" spans="1:28" hidden="1">
      <c r="A215" s="6">
        <v>46107</v>
      </c>
      <c r="B215" s="3">
        <v>2026</v>
      </c>
      <c r="C215" s="3" t="s">
        <v>2963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1"/>
        <v>24</v>
      </c>
      <c r="R215" s="53" t="str">
        <f t="shared" si="12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3">
        <f t="shared" si="13"/>
        <v>39</v>
      </c>
      <c r="Z215" s="18">
        <v>46146</v>
      </c>
      <c r="AA215" s="15"/>
      <c r="AB215" s="15"/>
    </row>
    <row r="216" spans="1:28" hidden="1">
      <c r="A216" s="6">
        <v>46107</v>
      </c>
      <c r="B216" s="3">
        <v>2026</v>
      </c>
      <c r="C216" s="3" t="s">
        <v>2963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1"/>
        <v>24</v>
      </c>
      <c r="R216" s="53" t="str">
        <f t="shared" si="12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3">
        <f t="shared" si="13"/>
        <v>39</v>
      </c>
      <c r="Z216" s="18">
        <v>46146</v>
      </c>
      <c r="AA216" s="15"/>
      <c r="AB216" s="15"/>
    </row>
    <row r="217" spans="1:28" hidden="1">
      <c r="A217" s="6">
        <v>46107</v>
      </c>
      <c r="B217" s="3">
        <v>2026</v>
      </c>
      <c r="C217" s="3" t="s">
        <v>2963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1"/>
        <v>24</v>
      </c>
      <c r="R217" s="53" t="str">
        <f t="shared" si="12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3">
        <f t="shared" si="13"/>
        <v>39</v>
      </c>
      <c r="Z217" s="18">
        <v>46146</v>
      </c>
      <c r="AA217" s="15"/>
      <c r="AB217" s="15"/>
    </row>
    <row r="218" spans="1:28" hidden="1">
      <c r="A218" s="6">
        <v>46107</v>
      </c>
      <c r="B218" s="3">
        <v>2026</v>
      </c>
      <c r="C218" s="3" t="s">
        <v>2963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1"/>
        <v>24</v>
      </c>
      <c r="R218" s="53" t="str">
        <f t="shared" si="12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3">
        <f t="shared" si="13"/>
        <v>39</v>
      </c>
      <c r="Z218" s="18">
        <v>46146</v>
      </c>
      <c r="AA218" s="15"/>
      <c r="AB218" s="15"/>
    </row>
    <row r="219" spans="1:28" hidden="1">
      <c r="A219" s="6">
        <v>46107</v>
      </c>
      <c r="B219" s="3">
        <v>2026</v>
      </c>
      <c r="C219" s="3" t="s">
        <v>2963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1"/>
        <v>24</v>
      </c>
      <c r="R219" s="53" t="str">
        <f t="shared" si="12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3">
        <f t="shared" si="13"/>
        <v>39</v>
      </c>
      <c r="Z219" s="18">
        <v>46146</v>
      </c>
      <c r="AA219" s="15"/>
      <c r="AB219" s="15"/>
    </row>
    <row r="220" spans="1:28" hidden="1">
      <c r="A220" s="6">
        <v>46107</v>
      </c>
      <c r="B220" s="3">
        <v>2026</v>
      </c>
      <c r="C220" s="3" t="s">
        <v>2963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1"/>
        <v>24</v>
      </c>
      <c r="R220" s="53" t="str">
        <f t="shared" si="12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3">
        <f t="shared" si="13"/>
        <v>39</v>
      </c>
      <c r="Z220" s="18">
        <v>46146</v>
      </c>
      <c r="AA220" s="15"/>
      <c r="AB220" s="15"/>
    </row>
    <row r="221" spans="1:28" hidden="1">
      <c r="A221" s="6">
        <v>46107</v>
      </c>
      <c r="B221" s="3">
        <v>2026</v>
      </c>
      <c r="C221" s="3" t="s">
        <v>2963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1"/>
        <v>24</v>
      </c>
      <c r="R221" s="53" t="str">
        <f t="shared" si="12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3">
        <f t="shared" si="13"/>
        <v>39</v>
      </c>
      <c r="Z221" s="18">
        <v>46146</v>
      </c>
      <c r="AA221" s="15"/>
      <c r="AB221" s="15"/>
    </row>
    <row r="222" spans="1:28" hidden="1">
      <c r="A222" s="6">
        <v>46107</v>
      </c>
      <c r="B222" s="3">
        <v>2026</v>
      </c>
      <c r="C222" s="3" t="s">
        <v>2963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1"/>
        <v>24</v>
      </c>
      <c r="R222" s="53" t="str">
        <f t="shared" si="12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3">
        <f t="shared" si="13"/>
        <v>39</v>
      </c>
      <c r="Z222" s="18">
        <v>46146</v>
      </c>
      <c r="AA222" s="15"/>
      <c r="AB222" s="15"/>
    </row>
    <row r="223" spans="1:28" hidden="1">
      <c r="A223" s="6">
        <v>46107</v>
      </c>
      <c r="B223" s="3">
        <v>2026</v>
      </c>
      <c r="C223" s="3" t="s">
        <v>2963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1"/>
        <v>24</v>
      </c>
      <c r="R223" s="53" t="str">
        <f t="shared" si="12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3">
        <f t="shared" si="13"/>
        <v>39</v>
      </c>
      <c r="Z223" s="18">
        <v>46146</v>
      </c>
      <c r="AA223" s="15"/>
      <c r="AB223" s="15"/>
    </row>
    <row r="224" spans="1:28" hidden="1">
      <c r="A224" s="6">
        <v>46107</v>
      </c>
      <c r="B224" s="3">
        <v>2026</v>
      </c>
      <c r="C224" s="3" t="s">
        <v>2963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1"/>
        <v>24</v>
      </c>
      <c r="R224" s="53" t="str">
        <f t="shared" si="12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3">
        <f t="shared" si="13"/>
        <v>39</v>
      </c>
      <c r="Z224" s="18">
        <v>46146</v>
      </c>
      <c r="AA224" s="15"/>
      <c r="AB224" s="15"/>
    </row>
    <row r="225" spans="1:28" hidden="1">
      <c r="A225" s="6">
        <v>46107</v>
      </c>
      <c r="B225" s="3">
        <v>2026</v>
      </c>
      <c r="C225" s="3" t="s">
        <v>2963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1"/>
        <v>24</v>
      </c>
      <c r="R225" s="53" t="str">
        <f t="shared" si="12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3">
        <f t="shared" si="13"/>
        <v>39</v>
      </c>
      <c r="Z225" s="18">
        <v>46146</v>
      </c>
      <c r="AA225" s="15"/>
      <c r="AB225" s="15"/>
    </row>
    <row r="226" spans="1:28" hidden="1">
      <c r="A226" s="6">
        <v>46107</v>
      </c>
      <c r="B226" s="3">
        <v>2026</v>
      </c>
      <c r="C226" s="3" t="s">
        <v>2963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1"/>
        <v>24</v>
      </c>
      <c r="R226" s="53" t="str">
        <f t="shared" si="12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3">
        <f t="shared" si="13"/>
        <v>39</v>
      </c>
      <c r="Z226" s="18">
        <v>46146</v>
      </c>
      <c r="AA226" s="15"/>
      <c r="AB226" s="15"/>
    </row>
    <row r="227" spans="1:28" hidden="1">
      <c r="A227" s="6">
        <v>46107</v>
      </c>
      <c r="B227" s="3">
        <v>2026</v>
      </c>
      <c r="C227" s="3" t="s">
        <v>2963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1"/>
        <v>24</v>
      </c>
      <c r="R227" s="53" t="str">
        <f t="shared" si="12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3">
        <f t="shared" si="13"/>
        <v>39</v>
      </c>
      <c r="Z227" s="18">
        <v>46146</v>
      </c>
      <c r="AA227" s="15"/>
      <c r="AB227" s="15"/>
    </row>
    <row r="228" spans="1:28" hidden="1">
      <c r="A228" s="6">
        <v>46107</v>
      </c>
      <c r="B228" s="3">
        <v>2026</v>
      </c>
      <c r="C228" s="3" t="s">
        <v>2963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1"/>
        <v>24</v>
      </c>
      <c r="R228" s="53" t="str">
        <f t="shared" si="12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3">
        <f t="shared" si="13"/>
        <v>39</v>
      </c>
      <c r="Z228" s="18">
        <v>46146</v>
      </c>
      <c r="AA228" s="15"/>
      <c r="AB228" s="15"/>
    </row>
    <row r="229" spans="1:28" hidden="1">
      <c r="A229" s="6">
        <v>46107</v>
      </c>
      <c r="B229" s="3">
        <v>2026</v>
      </c>
      <c r="C229" s="3" t="s">
        <v>2963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1"/>
        <v>24</v>
      </c>
      <c r="R229" s="53" t="str">
        <f t="shared" si="12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3">
        <f t="shared" si="13"/>
        <v>39</v>
      </c>
      <c r="Z229" s="18">
        <v>46146</v>
      </c>
      <c r="AA229" s="15"/>
      <c r="AB229" s="15"/>
    </row>
    <row r="230" spans="1:28" hidden="1">
      <c r="A230" s="6">
        <v>46107</v>
      </c>
      <c r="B230" s="3">
        <v>2026</v>
      </c>
      <c r="C230" s="3" t="s">
        <v>2963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1"/>
        <v>24</v>
      </c>
      <c r="R230" s="53" t="str">
        <f t="shared" si="12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3">
        <f t="shared" si="13"/>
        <v>39</v>
      </c>
      <c r="Z230" s="18">
        <v>46146</v>
      </c>
      <c r="AA230" s="15"/>
      <c r="AB230" s="15"/>
    </row>
    <row r="231" spans="1:28" hidden="1">
      <c r="A231" s="6">
        <v>46107</v>
      </c>
      <c r="B231" s="3">
        <v>2026</v>
      </c>
      <c r="C231" s="3" t="s">
        <v>2963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14">MID(P231,5,2)</f>
        <v>24</v>
      </c>
      <c r="R231" s="53" t="str">
        <f t="shared" ref="R231:R294" si="15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3">
        <f t="shared" si="13"/>
        <v>39</v>
      </c>
      <c r="Z231" s="18">
        <v>46146</v>
      </c>
      <c r="AA231" s="15"/>
      <c r="AB231" s="15"/>
    </row>
    <row r="232" spans="1:28" hidden="1">
      <c r="A232" s="6">
        <v>46107</v>
      </c>
      <c r="B232" s="3">
        <v>2026</v>
      </c>
      <c r="C232" s="3" t="s">
        <v>2963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14"/>
        <v>24</v>
      </c>
      <c r="R232" s="53" t="str">
        <f t="shared" si="15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3">
        <f t="shared" si="13"/>
        <v>39</v>
      </c>
      <c r="Z232" s="18">
        <v>46146</v>
      </c>
      <c r="AA232" s="15"/>
      <c r="AB232" s="15"/>
    </row>
    <row r="233" spans="1:28" hidden="1">
      <c r="A233" s="6">
        <v>46107</v>
      </c>
      <c r="B233" s="3">
        <v>2026</v>
      </c>
      <c r="C233" s="3" t="s">
        <v>2963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14"/>
        <v>24</v>
      </c>
      <c r="R233" s="53" t="str">
        <f t="shared" si="15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3">
        <f t="shared" si="13"/>
        <v>39</v>
      </c>
      <c r="Z233" s="18">
        <v>46146</v>
      </c>
      <c r="AA233" s="15"/>
      <c r="AB233" s="15"/>
    </row>
    <row r="234" spans="1:28" hidden="1">
      <c r="A234" s="6">
        <v>46107</v>
      </c>
      <c r="B234" s="3">
        <v>2026</v>
      </c>
      <c r="C234" s="3" t="s">
        <v>2963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14"/>
        <v>24</v>
      </c>
      <c r="R234" s="53" t="str">
        <f t="shared" si="15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3">
        <f t="shared" si="13"/>
        <v>39</v>
      </c>
      <c r="Z234" s="18">
        <v>46146</v>
      </c>
      <c r="AA234" s="15"/>
      <c r="AB234" s="15"/>
    </row>
    <row r="235" spans="1:28" hidden="1">
      <c r="A235" s="6">
        <v>46107</v>
      </c>
      <c r="B235" s="3">
        <v>2026</v>
      </c>
      <c r="C235" s="3" t="s">
        <v>2963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14"/>
        <v>24</v>
      </c>
      <c r="R235" s="53" t="str">
        <f t="shared" si="15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3">
        <f t="shared" si="13"/>
        <v>39</v>
      </c>
      <c r="Z235" s="18">
        <v>46146</v>
      </c>
      <c r="AA235" s="15"/>
      <c r="AB235" s="15"/>
    </row>
    <row r="236" spans="1:28" hidden="1">
      <c r="A236" s="37">
        <v>46139</v>
      </c>
      <c r="B236" s="3">
        <v>2026</v>
      </c>
      <c r="C236" s="3" t="s">
        <v>2966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14"/>
        <v>25</v>
      </c>
      <c r="R236" s="53" t="str">
        <f t="shared" si="15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3">
        <f t="shared" si="13"/>
        <v>7</v>
      </c>
      <c r="Z236" s="18" t="s">
        <v>349</v>
      </c>
      <c r="AA236" s="15"/>
      <c r="AB236" s="15"/>
    </row>
    <row r="237" spans="1:28" hidden="1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14"/>
        <v>25</v>
      </c>
      <c r="R237" s="53" t="str">
        <f t="shared" si="15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3">
        <f t="shared" si="13"/>
        <v>39</v>
      </c>
      <c r="Z237" s="18" t="s">
        <v>349</v>
      </c>
      <c r="AA237" s="15"/>
      <c r="AB237" s="15"/>
    </row>
    <row r="238" spans="1:28" hidden="1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14"/>
        <v>25</v>
      </c>
      <c r="R238" s="53" t="str">
        <f t="shared" si="15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3">
        <f t="shared" si="13"/>
        <v>39</v>
      </c>
      <c r="Z238" s="18" t="s">
        <v>349</v>
      </c>
      <c r="AA238" s="15"/>
      <c r="AB238" s="15"/>
    </row>
    <row r="239" spans="1:28" hidden="1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14"/>
        <v>26</v>
      </c>
      <c r="R239" s="53" t="str">
        <f t="shared" si="15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3">
        <f t="shared" si="13"/>
        <v>39</v>
      </c>
      <c r="Z239" s="18" t="s">
        <v>349</v>
      </c>
      <c r="AA239" s="15"/>
      <c r="AB239" s="15"/>
    </row>
    <row r="240" spans="1:28" hidden="1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14"/>
        <v>26</v>
      </c>
      <c r="R240" s="53" t="str">
        <f t="shared" si="15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3">
        <f t="shared" si="13"/>
        <v>39</v>
      </c>
      <c r="Z240" s="18" t="s">
        <v>349</v>
      </c>
      <c r="AA240" s="15"/>
      <c r="AB240" s="15"/>
    </row>
    <row r="241" spans="1:28" hidden="1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14"/>
        <v>26</v>
      </c>
      <c r="R241" s="53" t="str">
        <f t="shared" si="15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3">
        <f t="shared" si="13"/>
        <v>6</v>
      </c>
      <c r="Z241" s="18">
        <v>46147</v>
      </c>
      <c r="AA241" s="19"/>
      <c r="AB241" s="19"/>
    </row>
    <row r="242" spans="1:28" hidden="1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14"/>
        <v>26</v>
      </c>
      <c r="R242" s="53" t="str">
        <f t="shared" si="15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3">
        <f t="shared" si="13"/>
        <v>6</v>
      </c>
      <c r="Z242" s="18">
        <v>46147</v>
      </c>
      <c r="AA242" s="19"/>
      <c r="AB242" s="19"/>
    </row>
    <row r="243" spans="1:28" hidden="1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14"/>
        <v>23</v>
      </c>
      <c r="R243" s="53" t="str">
        <f t="shared" si="15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3">
        <f t="shared" si="13"/>
        <v>26</v>
      </c>
      <c r="Z243" s="18">
        <v>46147</v>
      </c>
      <c r="AA243" s="19"/>
      <c r="AB243" s="19"/>
    </row>
    <row r="244" spans="1:28" hidden="1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74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14"/>
        <v>23</v>
      </c>
      <c r="R244" s="53" t="str">
        <f t="shared" si="15"/>
        <v>01</v>
      </c>
      <c r="S244" s="3" t="s">
        <v>199</v>
      </c>
      <c r="T244" s="3" t="s">
        <v>40</v>
      </c>
      <c r="U244" s="9" t="s">
        <v>113</v>
      </c>
      <c r="V244" s="3" t="s">
        <v>64</v>
      </c>
      <c r="W244" s="3" t="s">
        <v>74</v>
      </c>
      <c r="X244" s="5"/>
      <c r="Y244" s="3">
        <f t="shared" si="13"/>
        <v>-46106</v>
      </c>
      <c r="Z244" s="18">
        <v>46147</v>
      </c>
      <c r="AA244" s="15"/>
      <c r="AB244" s="15"/>
    </row>
    <row r="245" spans="1:28" hidden="1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74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14"/>
        <v>23</v>
      </c>
      <c r="R245" s="53" t="str">
        <f t="shared" si="15"/>
        <v>01</v>
      </c>
      <c r="S245" s="3" t="s">
        <v>199</v>
      </c>
      <c r="T245" s="3" t="s">
        <v>40</v>
      </c>
      <c r="U245" s="9" t="s">
        <v>272</v>
      </c>
      <c r="V245" s="3" t="s">
        <v>64</v>
      </c>
      <c r="W245" s="3" t="s">
        <v>74</v>
      </c>
      <c r="X245" s="5"/>
      <c r="Y245" s="3">
        <f t="shared" si="13"/>
        <v>-46106</v>
      </c>
      <c r="Z245" s="18">
        <v>46147</v>
      </c>
      <c r="AA245" s="15"/>
      <c r="AB245" s="15"/>
    </row>
    <row r="246" spans="1:28" hidden="1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74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14"/>
        <v>23</v>
      </c>
      <c r="R246" s="53" t="str">
        <f t="shared" si="15"/>
        <v>01</v>
      </c>
      <c r="S246" s="3" t="s">
        <v>199</v>
      </c>
      <c r="T246" s="3" t="s">
        <v>40</v>
      </c>
      <c r="U246" s="9" t="s">
        <v>272</v>
      </c>
      <c r="V246" s="3" t="s">
        <v>64</v>
      </c>
      <c r="W246" s="3" t="s">
        <v>74</v>
      </c>
      <c r="X246" s="5"/>
      <c r="Y246" s="3">
        <f t="shared" si="13"/>
        <v>-46106</v>
      </c>
      <c r="Z246" s="18">
        <v>46147</v>
      </c>
      <c r="AA246" s="15"/>
      <c r="AB246" s="15"/>
    </row>
    <row r="247" spans="1:28" hidden="1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74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14"/>
        <v>23</v>
      </c>
      <c r="R247" s="53" t="str">
        <f t="shared" si="15"/>
        <v>01</v>
      </c>
      <c r="S247" s="3" t="s">
        <v>199</v>
      </c>
      <c r="T247" s="3" t="s">
        <v>40</v>
      </c>
      <c r="U247" s="9" t="s">
        <v>272</v>
      </c>
      <c r="V247" s="3" t="s">
        <v>64</v>
      </c>
      <c r="W247" s="3" t="s">
        <v>74</v>
      </c>
      <c r="X247" s="5"/>
      <c r="Y247" s="3">
        <f t="shared" si="13"/>
        <v>-46106</v>
      </c>
      <c r="Z247" s="18">
        <v>46147</v>
      </c>
      <c r="AA247" s="15"/>
      <c r="AB247" s="15"/>
    </row>
    <row r="248" spans="1:28" hidden="1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74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14"/>
        <v>23</v>
      </c>
      <c r="R248" s="53" t="str">
        <f t="shared" si="15"/>
        <v>01</v>
      </c>
      <c r="S248" s="3" t="s">
        <v>199</v>
      </c>
      <c r="T248" s="3" t="s">
        <v>40</v>
      </c>
      <c r="U248" s="9" t="s">
        <v>113</v>
      </c>
      <c r="V248" s="3" t="s">
        <v>64</v>
      </c>
      <c r="W248" s="3" t="s">
        <v>74</v>
      </c>
      <c r="X248" s="5"/>
      <c r="Y248" s="3">
        <f t="shared" si="13"/>
        <v>-46106</v>
      </c>
      <c r="Z248" s="18">
        <v>46147</v>
      </c>
      <c r="AA248" s="15"/>
      <c r="AB248" s="15"/>
    </row>
    <row r="249" spans="1:28" hidden="1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74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14"/>
        <v>23</v>
      </c>
      <c r="R249" s="53" t="str">
        <f t="shared" si="15"/>
        <v>01</v>
      </c>
      <c r="S249" s="3" t="s">
        <v>199</v>
      </c>
      <c r="T249" s="3" t="s">
        <v>40</v>
      </c>
      <c r="U249" s="9" t="s">
        <v>113</v>
      </c>
      <c r="V249" s="3" t="s">
        <v>64</v>
      </c>
      <c r="W249" s="3" t="s">
        <v>74</v>
      </c>
      <c r="X249" s="5"/>
      <c r="Y249" s="3">
        <f t="shared" si="13"/>
        <v>-46106</v>
      </c>
      <c r="Z249" s="18">
        <v>46147</v>
      </c>
      <c r="AA249" s="15"/>
      <c r="AB249" s="15"/>
    </row>
    <row r="250" spans="1:28" hidden="1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74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14"/>
        <v>23</v>
      </c>
      <c r="R250" s="53" t="str">
        <f t="shared" si="15"/>
        <v>01</v>
      </c>
      <c r="S250" s="3" t="s">
        <v>199</v>
      </c>
      <c r="T250" s="3" t="s">
        <v>40</v>
      </c>
      <c r="U250" s="9" t="s">
        <v>113</v>
      </c>
      <c r="V250" s="3" t="s">
        <v>64</v>
      </c>
      <c r="W250" s="3" t="s">
        <v>74</v>
      </c>
      <c r="X250" s="5"/>
      <c r="Y250" s="3">
        <f t="shared" si="13"/>
        <v>-46106</v>
      </c>
      <c r="Z250" s="18">
        <v>46147</v>
      </c>
      <c r="AA250" s="15"/>
      <c r="AB250" s="15"/>
    </row>
    <row r="251" spans="1:28" hidden="1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74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14"/>
        <v>23</v>
      </c>
      <c r="R251" s="53" t="str">
        <f t="shared" si="15"/>
        <v>01</v>
      </c>
      <c r="S251" s="3" t="s">
        <v>199</v>
      </c>
      <c r="T251" s="3" t="s">
        <v>40</v>
      </c>
      <c r="U251" s="9" t="s">
        <v>272</v>
      </c>
      <c r="V251" s="3" t="s">
        <v>64</v>
      </c>
      <c r="W251" s="3" t="s">
        <v>74</v>
      </c>
      <c r="X251" s="5"/>
      <c r="Y251" s="3">
        <f t="shared" si="13"/>
        <v>-46106</v>
      </c>
      <c r="Z251" s="18">
        <v>46147</v>
      </c>
      <c r="AA251" s="15"/>
      <c r="AB251" s="15"/>
    </row>
    <row r="252" spans="1:28" hidden="1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74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14"/>
        <v>23</v>
      </c>
      <c r="R252" s="53" t="str">
        <f t="shared" si="15"/>
        <v>01</v>
      </c>
      <c r="S252" s="3" t="s">
        <v>199</v>
      </c>
      <c r="T252" s="3" t="s">
        <v>40</v>
      </c>
      <c r="U252" s="9" t="s">
        <v>272</v>
      </c>
      <c r="V252" s="3" t="s">
        <v>64</v>
      </c>
      <c r="W252" s="3" t="s">
        <v>74</v>
      </c>
      <c r="X252" s="5"/>
      <c r="Y252" s="3">
        <f t="shared" si="13"/>
        <v>-46106</v>
      </c>
      <c r="Z252" s="18">
        <v>46147</v>
      </c>
      <c r="AA252" s="15"/>
      <c r="AB252" s="15"/>
    </row>
    <row r="253" spans="1:28" hidden="1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74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14"/>
        <v>23</v>
      </c>
      <c r="R253" s="53" t="str">
        <f t="shared" si="15"/>
        <v>01</v>
      </c>
      <c r="S253" s="3" t="s">
        <v>199</v>
      </c>
      <c r="T253" s="3" t="s">
        <v>40</v>
      </c>
      <c r="U253" s="9" t="s">
        <v>272</v>
      </c>
      <c r="V253" s="3" t="s">
        <v>64</v>
      </c>
      <c r="W253" s="3" t="s">
        <v>74</v>
      </c>
      <c r="X253" s="5"/>
      <c r="Y253" s="3">
        <f t="shared" si="13"/>
        <v>-46106</v>
      </c>
      <c r="Z253" s="18">
        <v>46147</v>
      </c>
      <c r="AA253" s="15"/>
      <c r="AB253" s="15"/>
    </row>
    <row r="254" spans="1:28" hidden="1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74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14"/>
        <v>23</v>
      </c>
      <c r="R254" s="53" t="str">
        <f t="shared" si="15"/>
        <v>01</v>
      </c>
      <c r="S254" s="3" t="s">
        <v>199</v>
      </c>
      <c r="T254" s="3" t="s">
        <v>40</v>
      </c>
      <c r="U254" s="9" t="s">
        <v>272</v>
      </c>
      <c r="V254" s="3" t="s">
        <v>64</v>
      </c>
      <c r="W254" s="3" t="s">
        <v>74</v>
      </c>
      <c r="X254" s="5"/>
      <c r="Y254" s="3">
        <f t="shared" si="13"/>
        <v>-46106</v>
      </c>
      <c r="Z254" s="18">
        <v>46147</v>
      </c>
      <c r="AA254" s="15"/>
      <c r="AB254" s="15"/>
    </row>
    <row r="255" spans="1:28" hidden="1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74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14"/>
        <v>22</v>
      </c>
      <c r="R255" s="53" t="str">
        <f t="shared" si="15"/>
        <v>12</v>
      </c>
      <c r="S255" s="3" t="s">
        <v>199</v>
      </c>
      <c r="T255" s="3" t="s">
        <v>40</v>
      </c>
      <c r="U255" s="9" t="s">
        <v>63</v>
      </c>
      <c r="V255" s="3" t="s">
        <v>64</v>
      </c>
      <c r="W255" s="3" t="s">
        <v>74</v>
      </c>
      <c r="X255" s="5"/>
      <c r="Y255" s="3">
        <f t="shared" si="13"/>
        <v>-46106</v>
      </c>
      <c r="Z255" s="18">
        <v>46147</v>
      </c>
      <c r="AA255" s="15"/>
      <c r="AB255" s="15"/>
    </row>
    <row r="256" spans="1:28" hidden="1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74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14"/>
        <v>22</v>
      </c>
      <c r="R256" s="53" t="str">
        <f t="shared" si="15"/>
        <v>12</v>
      </c>
      <c r="S256" s="3" t="s">
        <v>199</v>
      </c>
      <c r="T256" s="3" t="s">
        <v>40</v>
      </c>
      <c r="U256" s="9" t="s">
        <v>69</v>
      </c>
      <c r="V256" s="3" t="s">
        <v>64</v>
      </c>
      <c r="W256" s="3" t="s">
        <v>74</v>
      </c>
      <c r="X256" s="5"/>
      <c r="Y256" s="3">
        <f t="shared" si="13"/>
        <v>-46106</v>
      </c>
      <c r="Z256" s="18">
        <v>46147</v>
      </c>
      <c r="AA256" s="15"/>
      <c r="AB256" s="15"/>
    </row>
    <row r="257" spans="1:28" hidden="1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74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14"/>
        <v>23</v>
      </c>
      <c r="R257" s="53" t="str">
        <f t="shared" si="15"/>
        <v>01</v>
      </c>
      <c r="S257" s="3" t="s">
        <v>199</v>
      </c>
      <c r="T257" s="3" t="s">
        <v>40</v>
      </c>
      <c r="U257" s="9" t="s">
        <v>272</v>
      </c>
      <c r="V257" s="3" t="s">
        <v>64</v>
      </c>
      <c r="W257" s="3" t="s">
        <v>74</v>
      </c>
      <c r="X257" s="5"/>
      <c r="Y257" s="3">
        <f t="shared" si="13"/>
        <v>-46106</v>
      </c>
      <c r="Z257" s="18">
        <v>46147</v>
      </c>
      <c r="AA257" s="15"/>
      <c r="AB257" s="15"/>
    </row>
    <row r="258" spans="1:28" hidden="1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74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14"/>
        <v>23</v>
      </c>
      <c r="R258" s="53" t="str">
        <f t="shared" si="15"/>
        <v>04</v>
      </c>
      <c r="S258" s="3" t="s">
        <v>199</v>
      </c>
      <c r="T258" s="3" t="s">
        <v>40</v>
      </c>
      <c r="U258" s="9" t="s">
        <v>63</v>
      </c>
      <c r="V258" s="3" t="s">
        <v>64</v>
      </c>
      <c r="W258" s="3" t="s">
        <v>74</v>
      </c>
      <c r="X258" s="5"/>
      <c r="Y258" s="3">
        <f t="shared" ref="Y258:Y321" si="16">X258-A258</f>
        <v>-46106</v>
      </c>
      <c r="Z258" s="18">
        <v>46147</v>
      </c>
      <c r="AA258" s="15"/>
      <c r="AB258" s="15"/>
    </row>
    <row r="259" spans="1:28" hidden="1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74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14"/>
        <v>23</v>
      </c>
      <c r="R259" s="53" t="str">
        <f t="shared" si="15"/>
        <v>01</v>
      </c>
      <c r="S259" s="3" t="s">
        <v>199</v>
      </c>
      <c r="T259" s="3" t="s">
        <v>40</v>
      </c>
      <c r="U259" s="9" t="s">
        <v>69</v>
      </c>
      <c r="V259" s="3" t="s">
        <v>64</v>
      </c>
      <c r="W259" s="3" t="s">
        <v>74</v>
      </c>
      <c r="X259" s="5"/>
      <c r="Y259" s="3">
        <f t="shared" si="16"/>
        <v>-46106</v>
      </c>
      <c r="Z259" s="18">
        <v>46147</v>
      </c>
      <c r="AA259" s="15"/>
      <c r="AB259" s="15"/>
    </row>
    <row r="260" spans="1:28" hidden="1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74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14"/>
        <v>23</v>
      </c>
      <c r="R260" s="53" t="str">
        <f t="shared" si="15"/>
        <v>01</v>
      </c>
      <c r="S260" s="3" t="s">
        <v>199</v>
      </c>
      <c r="T260" s="3" t="s">
        <v>40</v>
      </c>
      <c r="U260" s="9" t="s">
        <v>113</v>
      </c>
      <c r="V260" s="3" t="s">
        <v>64</v>
      </c>
      <c r="W260" s="3" t="s">
        <v>74</v>
      </c>
      <c r="X260" s="5"/>
      <c r="Y260" s="3">
        <f t="shared" si="16"/>
        <v>-46106</v>
      </c>
      <c r="Z260" s="18">
        <v>46147</v>
      </c>
      <c r="AA260" s="15"/>
      <c r="AB260" s="15"/>
    </row>
    <row r="261" spans="1:28" hidden="1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74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14"/>
        <v>22</v>
      </c>
      <c r="R261" s="53" t="str">
        <f t="shared" si="15"/>
        <v>12</v>
      </c>
      <c r="S261" s="3" t="s">
        <v>199</v>
      </c>
      <c r="T261" s="3" t="s">
        <v>40</v>
      </c>
      <c r="U261" s="9" t="s">
        <v>272</v>
      </c>
      <c r="V261" s="3" t="s">
        <v>64</v>
      </c>
      <c r="W261" s="3" t="s">
        <v>74</v>
      </c>
      <c r="X261" s="5"/>
      <c r="Y261" s="3">
        <f t="shared" si="16"/>
        <v>-46106</v>
      </c>
      <c r="Z261" s="18">
        <v>46147</v>
      </c>
      <c r="AA261" s="15"/>
      <c r="AB261" s="15"/>
    </row>
    <row r="262" spans="1:28" hidden="1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74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14"/>
        <v>22</v>
      </c>
      <c r="R262" s="53" t="str">
        <f t="shared" si="15"/>
        <v>12</v>
      </c>
      <c r="S262" s="3" t="s">
        <v>199</v>
      </c>
      <c r="T262" s="3" t="s">
        <v>40</v>
      </c>
      <c r="U262" s="9" t="s">
        <v>63</v>
      </c>
      <c r="V262" s="3" t="s">
        <v>64</v>
      </c>
      <c r="W262" s="3" t="s">
        <v>74</v>
      </c>
      <c r="X262" s="5"/>
      <c r="Y262" s="3">
        <f t="shared" si="16"/>
        <v>-46106</v>
      </c>
      <c r="Z262" s="18">
        <v>46147</v>
      </c>
      <c r="AA262" s="15"/>
      <c r="AB262" s="15"/>
    </row>
    <row r="263" spans="1:28" hidden="1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14"/>
        <v>23</v>
      </c>
      <c r="R263" s="53" t="str">
        <f t="shared" si="15"/>
        <v>01</v>
      </c>
      <c r="S263" s="3" t="s">
        <v>199</v>
      </c>
      <c r="T263" s="3" t="s">
        <v>40</v>
      </c>
      <c r="U263" s="9" t="s">
        <v>272</v>
      </c>
      <c r="V263" s="3" t="s">
        <v>64</v>
      </c>
      <c r="W263" s="3" t="s">
        <v>74</v>
      </c>
      <c r="X263" s="5"/>
      <c r="Y263" s="3">
        <f t="shared" si="16"/>
        <v>-46106</v>
      </c>
      <c r="Z263" s="18">
        <v>46147</v>
      </c>
      <c r="AA263" s="15"/>
      <c r="AB263" s="15"/>
    </row>
    <row r="264" spans="1:28" hidden="1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2979</v>
      </c>
      <c r="Q264" s="53" t="str">
        <f t="shared" si="14"/>
        <v>23</v>
      </c>
      <c r="R264" s="53" t="str">
        <f t="shared" si="15"/>
        <v>01</v>
      </c>
      <c r="S264" s="3" t="s">
        <v>199</v>
      </c>
      <c r="T264" s="3" t="s">
        <v>40</v>
      </c>
      <c r="U264" s="9" t="s">
        <v>272</v>
      </c>
      <c r="V264" s="3" t="s">
        <v>64</v>
      </c>
      <c r="W264" s="3" t="s">
        <v>74</v>
      </c>
      <c r="X264" s="5"/>
      <c r="Y264" s="3">
        <f t="shared" si="16"/>
        <v>-46106</v>
      </c>
      <c r="Z264" s="18">
        <v>46147</v>
      </c>
      <c r="AA264" s="15"/>
      <c r="AB264" s="15"/>
    </row>
    <row r="265" spans="1:28" hidden="1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74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14"/>
        <v>22</v>
      </c>
      <c r="R265" s="53" t="str">
        <f t="shared" si="15"/>
        <v>12</v>
      </c>
      <c r="S265" s="3" t="s">
        <v>199</v>
      </c>
      <c r="T265" s="3" t="s">
        <v>40</v>
      </c>
      <c r="U265" s="9" t="s">
        <v>272</v>
      </c>
      <c r="V265" s="3" t="s">
        <v>64</v>
      </c>
      <c r="W265" s="3" t="s">
        <v>74</v>
      </c>
      <c r="X265" s="5"/>
      <c r="Y265" s="3">
        <f t="shared" si="16"/>
        <v>-46106</v>
      </c>
      <c r="Z265" s="18">
        <v>46147</v>
      </c>
      <c r="AA265" s="15"/>
      <c r="AB265" s="15"/>
    </row>
    <row r="266" spans="1:28" hidden="1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74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14"/>
        <v>23</v>
      </c>
      <c r="R266" s="53" t="str">
        <f t="shared" si="15"/>
        <v>01</v>
      </c>
      <c r="S266" s="3" t="s">
        <v>199</v>
      </c>
      <c r="T266" s="3" t="s">
        <v>40</v>
      </c>
      <c r="U266" s="9" t="s">
        <v>113</v>
      </c>
      <c r="V266" s="3" t="s">
        <v>64</v>
      </c>
      <c r="W266" s="3" t="s">
        <v>74</v>
      </c>
      <c r="X266" s="5"/>
      <c r="Y266" s="3">
        <f t="shared" si="16"/>
        <v>-46106</v>
      </c>
      <c r="Z266" s="18">
        <v>46147</v>
      </c>
      <c r="AA266" s="15"/>
      <c r="AB266" s="15"/>
    </row>
    <row r="267" spans="1:28" hidden="1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74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14"/>
        <v>23</v>
      </c>
      <c r="R267" s="53" t="str">
        <f t="shared" si="15"/>
        <v>01</v>
      </c>
      <c r="S267" s="3" t="s">
        <v>199</v>
      </c>
      <c r="T267" s="3" t="s">
        <v>40</v>
      </c>
      <c r="U267" s="9" t="s">
        <v>113</v>
      </c>
      <c r="V267" s="3" t="s">
        <v>64</v>
      </c>
      <c r="W267" s="3" t="s">
        <v>74</v>
      </c>
      <c r="X267" s="5"/>
      <c r="Y267" s="3">
        <f t="shared" si="16"/>
        <v>-46106</v>
      </c>
      <c r="Z267" s="18">
        <v>46147</v>
      </c>
      <c r="AA267" s="15"/>
      <c r="AB267" s="15"/>
    </row>
    <row r="268" spans="1:28" hidden="1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74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14"/>
        <v>23</v>
      </c>
      <c r="R268" s="53" t="str">
        <f t="shared" si="15"/>
        <v>01</v>
      </c>
      <c r="S268" s="3" t="s">
        <v>199</v>
      </c>
      <c r="T268" s="3" t="s">
        <v>40</v>
      </c>
      <c r="U268" s="9" t="s">
        <v>113</v>
      </c>
      <c r="V268" s="3" t="s">
        <v>64</v>
      </c>
      <c r="W268" s="3" t="s">
        <v>74</v>
      </c>
      <c r="X268" s="5"/>
      <c r="Y268" s="3">
        <f t="shared" si="16"/>
        <v>-46106</v>
      </c>
      <c r="Z268" s="18">
        <v>46147</v>
      </c>
      <c r="AA268" s="15"/>
      <c r="AB268" s="15"/>
    </row>
    <row r="269" spans="1:28" hidden="1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74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14"/>
        <v>22</v>
      </c>
      <c r="R269" s="53" t="str">
        <f t="shared" si="15"/>
        <v>12</v>
      </c>
      <c r="S269" s="3" t="s">
        <v>199</v>
      </c>
      <c r="T269" s="3" t="s">
        <v>40</v>
      </c>
      <c r="U269" s="9" t="s">
        <v>272</v>
      </c>
      <c r="V269" s="3" t="s">
        <v>64</v>
      </c>
      <c r="W269" s="3" t="s">
        <v>74</v>
      </c>
      <c r="X269" s="5"/>
      <c r="Y269" s="3">
        <f t="shared" si="16"/>
        <v>-46106</v>
      </c>
      <c r="Z269" s="18">
        <v>46147</v>
      </c>
      <c r="AA269" s="15"/>
      <c r="AB269" s="15"/>
    </row>
    <row r="270" spans="1:28" hidden="1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74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14"/>
        <v>22</v>
      </c>
      <c r="R270" s="53" t="str">
        <f t="shared" si="15"/>
        <v>12</v>
      </c>
      <c r="S270" s="3" t="s">
        <v>199</v>
      </c>
      <c r="T270" s="3" t="s">
        <v>40</v>
      </c>
      <c r="U270" s="9" t="s">
        <v>63</v>
      </c>
      <c r="V270" s="3" t="s">
        <v>64</v>
      </c>
      <c r="W270" s="3" t="s">
        <v>74</v>
      </c>
      <c r="X270" s="5"/>
      <c r="Y270" s="3">
        <f t="shared" si="16"/>
        <v>-46106</v>
      </c>
      <c r="Z270" s="18">
        <v>46147</v>
      </c>
      <c r="AA270" s="15"/>
      <c r="AB270" s="15"/>
    </row>
    <row r="271" spans="1:28" hidden="1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74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14"/>
        <v>23</v>
      </c>
      <c r="R271" s="53" t="str">
        <f t="shared" si="15"/>
        <v>01</v>
      </c>
      <c r="S271" s="3" t="s">
        <v>199</v>
      </c>
      <c r="T271" s="3" t="s">
        <v>40</v>
      </c>
      <c r="U271" s="9" t="s">
        <v>113</v>
      </c>
      <c r="V271" s="3" t="s">
        <v>64</v>
      </c>
      <c r="W271" s="3" t="s">
        <v>74</v>
      </c>
      <c r="X271" s="5"/>
      <c r="Y271" s="3">
        <f t="shared" si="16"/>
        <v>-46106</v>
      </c>
      <c r="Z271" s="18">
        <v>46147</v>
      </c>
      <c r="AA271" s="15"/>
      <c r="AB271" s="15"/>
    </row>
    <row r="272" spans="1:28" hidden="1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74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14"/>
        <v>22</v>
      </c>
      <c r="R272" s="53" t="str">
        <f t="shared" si="15"/>
        <v>12</v>
      </c>
      <c r="S272" s="3" t="s">
        <v>199</v>
      </c>
      <c r="T272" s="3" t="s">
        <v>40</v>
      </c>
      <c r="U272" s="9" t="s">
        <v>113</v>
      </c>
      <c r="V272" s="3" t="s">
        <v>64</v>
      </c>
      <c r="W272" s="3" t="s">
        <v>74</v>
      </c>
      <c r="X272" s="5"/>
      <c r="Y272" s="3">
        <f t="shared" si="16"/>
        <v>-46106</v>
      </c>
      <c r="Z272" s="18">
        <v>46147</v>
      </c>
      <c r="AA272" s="15"/>
      <c r="AB272" s="15"/>
    </row>
    <row r="273" spans="1:28" hidden="1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74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14"/>
        <v>23</v>
      </c>
      <c r="R273" s="53" t="str">
        <f t="shared" si="15"/>
        <v>01</v>
      </c>
      <c r="S273" s="3" t="s">
        <v>199</v>
      </c>
      <c r="T273" s="3" t="s">
        <v>40</v>
      </c>
      <c r="U273" s="9" t="s">
        <v>113</v>
      </c>
      <c r="V273" s="3" t="s">
        <v>64</v>
      </c>
      <c r="W273" s="3" t="s">
        <v>74</v>
      </c>
      <c r="X273" s="5"/>
      <c r="Y273" s="3">
        <f t="shared" si="16"/>
        <v>-46106</v>
      </c>
      <c r="Z273" s="18">
        <v>46147</v>
      </c>
      <c r="AA273" s="15"/>
      <c r="AB273" s="15"/>
    </row>
    <row r="274" spans="1:28" hidden="1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74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14"/>
        <v>23</v>
      </c>
      <c r="R274" s="53" t="str">
        <f t="shared" si="15"/>
        <v>01</v>
      </c>
      <c r="S274" s="3" t="s">
        <v>199</v>
      </c>
      <c r="T274" s="3" t="s">
        <v>40</v>
      </c>
      <c r="U274" s="9" t="s">
        <v>113</v>
      </c>
      <c r="V274" s="3" t="s">
        <v>64</v>
      </c>
      <c r="W274" s="3" t="s">
        <v>74</v>
      </c>
      <c r="X274" s="5"/>
      <c r="Y274" s="3">
        <f t="shared" si="16"/>
        <v>-46106</v>
      </c>
      <c r="Z274" s="18">
        <v>46147</v>
      </c>
      <c r="AA274" s="15"/>
      <c r="AB274" s="15"/>
    </row>
    <row r="275" spans="1:28" hidden="1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74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14"/>
        <v>23</v>
      </c>
      <c r="R275" s="53" t="str">
        <f t="shared" si="15"/>
        <v>01</v>
      </c>
      <c r="S275" s="3" t="s">
        <v>199</v>
      </c>
      <c r="T275" s="3" t="s">
        <v>40</v>
      </c>
      <c r="U275" s="9" t="s">
        <v>113</v>
      </c>
      <c r="V275" s="3" t="s">
        <v>64</v>
      </c>
      <c r="W275" s="3" t="s">
        <v>74</v>
      </c>
      <c r="X275" s="5"/>
      <c r="Y275" s="3">
        <f t="shared" si="16"/>
        <v>-46106</v>
      </c>
      <c r="Z275" s="18">
        <v>46147</v>
      </c>
      <c r="AA275" s="15"/>
      <c r="AB275" s="15"/>
    </row>
    <row r="276" spans="1:28" hidden="1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74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14"/>
        <v>23</v>
      </c>
      <c r="R276" s="53" t="str">
        <f t="shared" si="15"/>
        <v>01</v>
      </c>
      <c r="S276" s="3" t="s">
        <v>199</v>
      </c>
      <c r="T276" s="3" t="s">
        <v>40</v>
      </c>
      <c r="U276" s="9" t="s">
        <v>113</v>
      </c>
      <c r="V276" s="3" t="s">
        <v>64</v>
      </c>
      <c r="W276" s="3" t="s">
        <v>74</v>
      </c>
      <c r="X276" s="5"/>
      <c r="Y276" s="3">
        <f t="shared" si="16"/>
        <v>-46106</v>
      </c>
      <c r="Z276" s="18">
        <v>46147</v>
      </c>
      <c r="AA276" s="15"/>
      <c r="AB276" s="15"/>
    </row>
    <row r="277" spans="1:28" hidden="1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74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14"/>
        <v>22</v>
      </c>
      <c r="R277" s="53" t="str">
        <f t="shared" si="15"/>
        <v>12</v>
      </c>
      <c r="S277" s="3" t="s">
        <v>199</v>
      </c>
      <c r="T277" s="3" t="s">
        <v>40</v>
      </c>
      <c r="U277" s="9" t="s">
        <v>113</v>
      </c>
      <c r="V277" s="3" t="s">
        <v>64</v>
      </c>
      <c r="W277" s="3" t="s">
        <v>74</v>
      </c>
      <c r="X277" s="5"/>
      <c r="Y277" s="3">
        <f t="shared" si="16"/>
        <v>-46106</v>
      </c>
      <c r="Z277" s="18">
        <v>46147</v>
      </c>
      <c r="AA277" s="15"/>
      <c r="AB277" s="15"/>
    </row>
    <row r="278" spans="1:28" hidden="1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74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14"/>
        <v>22</v>
      </c>
      <c r="R278" s="53" t="str">
        <f t="shared" si="15"/>
        <v>12</v>
      </c>
      <c r="S278" s="3" t="s">
        <v>199</v>
      </c>
      <c r="T278" s="3" t="s">
        <v>40</v>
      </c>
      <c r="U278" s="9" t="s">
        <v>113</v>
      </c>
      <c r="V278" s="3" t="s">
        <v>64</v>
      </c>
      <c r="W278" s="3" t="s">
        <v>74</v>
      </c>
      <c r="X278" s="5"/>
      <c r="Y278" s="3">
        <f t="shared" si="16"/>
        <v>-46106</v>
      </c>
      <c r="Z278" s="18">
        <v>46147</v>
      </c>
      <c r="AA278" s="15"/>
      <c r="AB278" s="15"/>
    </row>
    <row r="279" spans="1:28" hidden="1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74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14"/>
        <v>22</v>
      </c>
      <c r="R279" s="53" t="str">
        <f t="shared" si="15"/>
        <v>12</v>
      </c>
      <c r="S279" s="3" t="s">
        <v>199</v>
      </c>
      <c r="T279" s="3" t="s">
        <v>40</v>
      </c>
      <c r="U279" s="9" t="s">
        <v>272</v>
      </c>
      <c r="V279" s="3" t="s">
        <v>64</v>
      </c>
      <c r="W279" s="3" t="s">
        <v>74</v>
      </c>
      <c r="X279" s="5"/>
      <c r="Y279" s="3">
        <f t="shared" si="16"/>
        <v>-46106</v>
      </c>
      <c r="Z279" s="18">
        <v>46147</v>
      </c>
      <c r="AA279" s="15"/>
      <c r="AB279" s="15"/>
    </row>
    <row r="280" spans="1:28" hidden="1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74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14"/>
        <v>23</v>
      </c>
      <c r="R280" s="53" t="str">
        <f t="shared" si="15"/>
        <v>01</v>
      </c>
      <c r="S280" s="3" t="s">
        <v>199</v>
      </c>
      <c r="T280" s="3" t="s">
        <v>40</v>
      </c>
      <c r="U280" s="9" t="s">
        <v>272</v>
      </c>
      <c r="V280" s="3" t="s">
        <v>64</v>
      </c>
      <c r="W280" s="3" t="s">
        <v>74</v>
      </c>
      <c r="X280" s="5"/>
      <c r="Y280" s="3">
        <f t="shared" si="16"/>
        <v>-46106</v>
      </c>
      <c r="Z280" s="18">
        <v>46147</v>
      </c>
      <c r="AA280" s="15"/>
      <c r="AB280" s="15"/>
    </row>
    <row r="281" spans="1:28" hidden="1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74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14"/>
        <v>22</v>
      </c>
      <c r="R281" s="53" t="str">
        <f t="shared" si="15"/>
        <v>12</v>
      </c>
      <c r="S281" s="3" t="s">
        <v>199</v>
      </c>
      <c r="T281" s="3" t="s">
        <v>40</v>
      </c>
      <c r="U281" s="9" t="s">
        <v>272</v>
      </c>
      <c r="V281" s="3" t="s">
        <v>64</v>
      </c>
      <c r="W281" s="3" t="s">
        <v>74</v>
      </c>
      <c r="X281" s="5"/>
      <c r="Y281" s="3">
        <f t="shared" si="16"/>
        <v>-46106</v>
      </c>
      <c r="Z281" s="18">
        <v>46147</v>
      </c>
      <c r="AA281" s="15"/>
      <c r="AB281" s="15"/>
    </row>
    <row r="282" spans="1:28" hidden="1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74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14"/>
        <v>23</v>
      </c>
      <c r="R282" s="53" t="str">
        <f t="shared" si="15"/>
        <v>01</v>
      </c>
      <c r="S282" s="3" t="s">
        <v>199</v>
      </c>
      <c r="T282" s="3" t="s">
        <v>40</v>
      </c>
      <c r="U282" s="9" t="s">
        <v>272</v>
      </c>
      <c r="V282" s="3" t="s">
        <v>64</v>
      </c>
      <c r="W282" s="3" t="s">
        <v>74</v>
      </c>
      <c r="X282" s="5"/>
      <c r="Y282" s="3">
        <f t="shared" si="16"/>
        <v>-46106</v>
      </c>
      <c r="Z282" s="18">
        <v>46147</v>
      </c>
      <c r="AA282" s="15"/>
      <c r="AB282" s="15"/>
    </row>
    <row r="283" spans="1:28" hidden="1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74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14"/>
        <v>22</v>
      </c>
      <c r="R283" s="53" t="str">
        <f t="shared" si="15"/>
        <v>12</v>
      </c>
      <c r="S283" s="3" t="s">
        <v>199</v>
      </c>
      <c r="T283" s="3" t="s">
        <v>40</v>
      </c>
      <c r="U283" s="9" t="s">
        <v>272</v>
      </c>
      <c r="V283" s="3" t="s">
        <v>64</v>
      </c>
      <c r="W283" s="3" t="s">
        <v>74</v>
      </c>
      <c r="X283" s="5"/>
      <c r="Y283" s="3">
        <f t="shared" si="16"/>
        <v>-46106</v>
      </c>
      <c r="Z283" s="18">
        <v>46147</v>
      </c>
      <c r="AA283" s="15"/>
      <c r="AB283" s="15"/>
    </row>
    <row r="284" spans="1:28" hidden="1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74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14"/>
        <v>22</v>
      </c>
      <c r="R284" s="53" t="str">
        <f t="shared" si="15"/>
        <v>12</v>
      </c>
      <c r="S284" s="3" t="s">
        <v>199</v>
      </c>
      <c r="T284" s="3" t="s">
        <v>40</v>
      </c>
      <c r="U284" s="9" t="s">
        <v>272</v>
      </c>
      <c r="V284" s="3" t="s">
        <v>64</v>
      </c>
      <c r="W284" s="3" t="s">
        <v>74</v>
      </c>
      <c r="X284" s="5"/>
      <c r="Y284" s="3">
        <f t="shared" si="16"/>
        <v>-46106</v>
      </c>
      <c r="Z284" s="18">
        <v>46147</v>
      </c>
      <c r="AA284" s="15"/>
      <c r="AB284" s="15"/>
    </row>
    <row r="285" spans="1:28" hidden="1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74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14"/>
        <v>23</v>
      </c>
      <c r="R285" s="53" t="str">
        <f t="shared" si="15"/>
        <v>01</v>
      </c>
      <c r="S285" s="3" t="s">
        <v>199</v>
      </c>
      <c r="T285" s="3" t="s">
        <v>40</v>
      </c>
      <c r="U285" s="9" t="s">
        <v>272</v>
      </c>
      <c r="V285" s="3" t="s">
        <v>64</v>
      </c>
      <c r="W285" s="3" t="s">
        <v>74</v>
      </c>
      <c r="X285" s="5"/>
      <c r="Y285" s="3">
        <f t="shared" si="16"/>
        <v>-46106</v>
      </c>
      <c r="Z285" s="18">
        <v>46147</v>
      </c>
      <c r="AA285" s="15"/>
      <c r="AB285" s="15"/>
    </row>
    <row r="286" spans="1:28" hidden="1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74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14"/>
        <v>23</v>
      </c>
      <c r="R286" s="53" t="str">
        <f t="shared" si="15"/>
        <v>01</v>
      </c>
      <c r="S286" s="3" t="s">
        <v>199</v>
      </c>
      <c r="T286" s="3" t="s">
        <v>40</v>
      </c>
      <c r="U286" s="9" t="s">
        <v>272</v>
      </c>
      <c r="V286" s="3" t="s">
        <v>64</v>
      </c>
      <c r="W286" s="3" t="s">
        <v>74</v>
      </c>
      <c r="X286" s="5"/>
      <c r="Y286" s="3">
        <f t="shared" si="16"/>
        <v>-46106</v>
      </c>
      <c r="Z286" s="18">
        <v>46147</v>
      </c>
      <c r="AA286" s="15"/>
      <c r="AB286" s="15"/>
    </row>
    <row r="287" spans="1:28" hidden="1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14"/>
        <v>23</v>
      </c>
      <c r="R287" s="53" t="str">
        <f t="shared" si="15"/>
        <v>01</v>
      </c>
      <c r="S287" s="3" t="s">
        <v>199</v>
      </c>
      <c r="T287" s="3" t="s">
        <v>40</v>
      </c>
      <c r="U287" s="9" t="s">
        <v>113</v>
      </c>
      <c r="V287" s="3" t="s">
        <v>64</v>
      </c>
      <c r="W287" s="3" t="s">
        <v>74</v>
      </c>
      <c r="X287" s="5"/>
      <c r="Y287" s="3">
        <f t="shared" si="16"/>
        <v>-46106</v>
      </c>
      <c r="Z287" s="18">
        <v>46147</v>
      </c>
      <c r="AA287" s="15"/>
      <c r="AB287" s="15"/>
    </row>
    <row r="288" spans="1:28" hidden="1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74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14"/>
        <v>23</v>
      </c>
      <c r="R288" s="53" t="str">
        <f t="shared" si="15"/>
        <v>01</v>
      </c>
      <c r="S288" s="3" t="s">
        <v>199</v>
      </c>
      <c r="T288" s="3" t="s">
        <v>40</v>
      </c>
      <c r="U288" s="9" t="s">
        <v>113</v>
      </c>
      <c r="V288" s="3" t="s">
        <v>64</v>
      </c>
      <c r="W288" s="3" t="s">
        <v>74</v>
      </c>
      <c r="X288" s="5"/>
      <c r="Y288" s="3">
        <f t="shared" si="16"/>
        <v>-46106</v>
      </c>
      <c r="Z288" s="18">
        <v>46147</v>
      </c>
      <c r="AA288" s="15"/>
      <c r="AB288" s="15"/>
    </row>
    <row r="289" spans="1:28" hidden="1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74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14"/>
        <v>24</v>
      </c>
      <c r="R289" s="53" t="str">
        <f t="shared" si="15"/>
        <v>09</v>
      </c>
      <c r="S289" s="3" t="s">
        <v>199</v>
      </c>
      <c r="T289" s="3" t="s">
        <v>40</v>
      </c>
      <c r="U289" s="9" t="s">
        <v>113</v>
      </c>
      <c r="V289" s="3" t="s">
        <v>64</v>
      </c>
      <c r="W289" s="3" t="s">
        <v>74</v>
      </c>
      <c r="X289" s="5"/>
      <c r="Y289" s="3">
        <f t="shared" si="16"/>
        <v>-46106</v>
      </c>
      <c r="Z289" s="18">
        <v>46147</v>
      </c>
      <c r="AA289" s="15"/>
      <c r="AB289" s="15"/>
    </row>
    <row r="290" spans="1:28" hidden="1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74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14"/>
        <v>24</v>
      </c>
      <c r="R290" s="53" t="str">
        <f t="shared" si="15"/>
        <v>09</v>
      </c>
      <c r="S290" s="3" t="s">
        <v>199</v>
      </c>
      <c r="T290" s="3" t="s">
        <v>40</v>
      </c>
      <c r="U290" s="9" t="s">
        <v>113</v>
      </c>
      <c r="V290" s="3" t="s">
        <v>64</v>
      </c>
      <c r="W290" s="3" t="s">
        <v>74</v>
      </c>
      <c r="X290" s="5"/>
      <c r="Y290" s="3">
        <f t="shared" si="16"/>
        <v>-46106</v>
      </c>
      <c r="Z290" s="18">
        <v>46147</v>
      </c>
      <c r="AA290" s="15"/>
      <c r="AB290" s="15"/>
    </row>
    <row r="291" spans="1:28" hidden="1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74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14"/>
        <v>23</v>
      </c>
      <c r="R291" s="53" t="str">
        <f t="shared" si="15"/>
        <v>01</v>
      </c>
      <c r="S291" s="3" t="s">
        <v>199</v>
      </c>
      <c r="T291" s="3" t="s">
        <v>40</v>
      </c>
      <c r="U291" s="9" t="s">
        <v>69</v>
      </c>
      <c r="V291" s="3" t="s">
        <v>64</v>
      </c>
      <c r="W291" s="3" t="s">
        <v>74</v>
      </c>
      <c r="X291" s="5"/>
      <c r="Y291" s="3">
        <f t="shared" si="16"/>
        <v>-46106</v>
      </c>
      <c r="Z291" s="18">
        <v>46147</v>
      </c>
      <c r="AA291" s="15"/>
      <c r="AB291" s="15"/>
    </row>
    <row r="292" spans="1:28" hidden="1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74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14"/>
        <v>22</v>
      </c>
      <c r="R292" s="53" t="str">
        <f t="shared" si="15"/>
        <v>12</v>
      </c>
      <c r="S292" s="3" t="s">
        <v>199</v>
      </c>
      <c r="T292" s="3" t="s">
        <v>40</v>
      </c>
      <c r="U292" s="9" t="s">
        <v>113</v>
      </c>
      <c r="V292" s="3" t="s">
        <v>64</v>
      </c>
      <c r="W292" s="3" t="s">
        <v>74</v>
      </c>
      <c r="X292" s="5"/>
      <c r="Y292" s="3">
        <f t="shared" si="16"/>
        <v>-46106</v>
      </c>
      <c r="Z292" s="18">
        <v>46147</v>
      </c>
      <c r="AA292" s="15"/>
      <c r="AB292" s="15"/>
    </row>
    <row r="293" spans="1:28" hidden="1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74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14"/>
        <v>22</v>
      </c>
      <c r="R293" s="53" t="str">
        <f t="shared" si="15"/>
        <v>12</v>
      </c>
      <c r="S293" s="3" t="s">
        <v>199</v>
      </c>
      <c r="T293" s="3" t="s">
        <v>40</v>
      </c>
      <c r="U293" s="9" t="s">
        <v>272</v>
      </c>
      <c r="V293" s="3" t="s">
        <v>64</v>
      </c>
      <c r="W293" s="3" t="s">
        <v>74</v>
      </c>
      <c r="X293" s="5"/>
      <c r="Y293" s="3">
        <f t="shared" si="16"/>
        <v>-46106</v>
      </c>
      <c r="Z293" s="18">
        <v>46147</v>
      </c>
      <c r="AA293" s="15"/>
      <c r="AB293" s="15"/>
    </row>
    <row r="294" spans="1:28" hidden="1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74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14"/>
        <v>22</v>
      </c>
      <c r="R294" s="53" t="str">
        <f t="shared" si="15"/>
        <v>12</v>
      </c>
      <c r="S294" s="3" t="s">
        <v>199</v>
      </c>
      <c r="T294" s="3" t="s">
        <v>40</v>
      </c>
      <c r="U294" s="9" t="s">
        <v>113</v>
      </c>
      <c r="V294" s="3" t="s">
        <v>64</v>
      </c>
      <c r="W294" s="3" t="s">
        <v>74</v>
      </c>
      <c r="X294" s="5"/>
      <c r="Y294" s="3">
        <f t="shared" si="16"/>
        <v>-46106</v>
      </c>
      <c r="Z294" s="18">
        <v>46147</v>
      </c>
      <c r="AA294" s="15"/>
      <c r="AB294" s="15"/>
    </row>
    <row r="295" spans="1:28" hidden="1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74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17">MID(P295,5,2)</f>
        <v>24</v>
      </c>
      <c r="R295" s="53" t="str">
        <f t="shared" ref="R295:R358" si="18">MID(P295,7,2)</f>
        <v>09</v>
      </c>
      <c r="S295" s="3" t="s">
        <v>199</v>
      </c>
      <c r="T295" s="3" t="s">
        <v>40</v>
      </c>
      <c r="U295" s="9" t="s">
        <v>113</v>
      </c>
      <c r="V295" s="3" t="s">
        <v>64</v>
      </c>
      <c r="W295" s="3" t="s">
        <v>74</v>
      </c>
      <c r="X295" s="5"/>
      <c r="Y295" s="3">
        <f t="shared" si="16"/>
        <v>-46106</v>
      </c>
      <c r="Z295" s="18">
        <v>46147</v>
      </c>
      <c r="AA295" s="15"/>
      <c r="AB295" s="15"/>
    </row>
    <row r="296" spans="1:28" hidden="1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74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17"/>
        <v>23</v>
      </c>
      <c r="R296" s="53" t="str">
        <f t="shared" si="18"/>
        <v>01</v>
      </c>
      <c r="S296" s="3" t="s">
        <v>199</v>
      </c>
      <c r="T296" s="3" t="s">
        <v>40</v>
      </c>
      <c r="U296" s="9" t="s">
        <v>113</v>
      </c>
      <c r="V296" s="3" t="s">
        <v>64</v>
      </c>
      <c r="W296" s="3" t="s">
        <v>74</v>
      </c>
      <c r="X296" s="5"/>
      <c r="Y296" s="3">
        <f t="shared" si="16"/>
        <v>-46106</v>
      </c>
      <c r="Z296" s="18">
        <v>46147</v>
      </c>
      <c r="AA296" s="15"/>
      <c r="AB296" s="15"/>
    </row>
    <row r="297" spans="1:28" hidden="1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74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17"/>
        <v>23</v>
      </c>
      <c r="R297" s="53" t="str">
        <f t="shared" si="18"/>
        <v>01</v>
      </c>
      <c r="S297" s="3" t="s">
        <v>199</v>
      </c>
      <c r="T297" s="3" t="s">
        <v>40</v>
      </c>
      <c r="U297" s="9" t="s">
        <v>113</v>
      </c>
      <c r="V297" s="3" t="s">
        <v>64</v>
      </c>
      <c r="W297" s="3" t="s">
        <v>74</v>
      </c>
      <c r="X297" s="5"/>
      <c r="Y297" s="3">
        <f t="shared" si="16"/>
        <v>-46106</v>
      </c>
      <c r="Z297" s="18">
        <v>46147</v>
      </c>
      <c r="AA297" s="15"/>
      <c r="AB297" s="15"/>
    </row>
    <row r="298" spans="1:28" hidden="1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74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17"/>
        <v>22</v>
      </c>
      <c r="R298" s="53" t="str">
        <f t="shared" si="18"/>
        <v>12</v>
      </c>
      <c r="S298" s="3" t="s">
        <v>199</v>
      </c>
      <c r="T298" s="3" t="s">
        <v>40</v>
      </c>
      <c r="U298" s="9" t="s">
        <v>272</v>
      </c>
      <c r="V298" s="3" t="s">
        <v>64</v>
      </c>
      <c r="W298" s="3" t="s">
        <v>74</v>
      </c>
      <c r="X298" s="5"/>
      <c r="Y298" s="3">
        <f t="shared" si="16"/>
        <v>-46106</v>
      </c>
      <c r="Z298" s="18">
        <v>46147</v>
      </c>
      <c r="AA298" s="15"/>
      <c r="AB298" s="15"/>
    </row>
    <row r="299" spans="1:28" hidden="1">
      <c r="A299" s="6">
        <v>46107</v>
      </c>
      <c r="B299" s="3">
        <v>2026</v>
      </c>
      <c r="C299" s="3" t="s">
        <v>2963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17"/>
        <v>24</v>
      </c>
      <c r="R299" s="53" t="str">
        <f t="shared" si="18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3">
        <f t="shared" si="16"/>
        <v>40</v>
      </c>
      <c r="Z299" s="18">
        <v>46147</v>
      </c>
      <c r="AA299" s="15"/>
      <c r="AB299" s="15"/>
    </row>
    <row r="300" spans="1:28" hidden="1">
      <c r="A300" s="6">
        <v>46107</v>
      </c>
      <c r="B300" s="3">
        <v>2026</v>
      </c>
      <c r="C300" s="3" t="s">
        <v>2963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17"/>
        <v>24</v>
      </c>
      <c r="R300" s="53" t="str">
        <f t="shared" si="18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3">
        <f t="shared" si="16"/>
        <v>40</v>
      </c>
      <c r="Z300" s="18">
        <v>46147</v>
      </c>
      <c r="AA300" s="15"/>
      <c r="AB300" s="15"/>
    </row>
    <row r="301" spans="1:28" hidden="1">
      <c r="A301" s="6">
        <v>46107</v>
      </c>
      <c r="B301" s="3">
        <v>2026</v>
      </c>
      <c r="C301" s="3" t="s">
        <v>2963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17"/>
        <v>24</v>
      </c>
      <c r="R301" s="53" t="str">
        <f t="shared" si="18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3">
        <f t="shared" si="16"/>
        <v>40</v>
      </c>
      <c r="Z301" s="18">
        <v>46147</v>
      </c>
      <c r="AA301" s="15"/>
      <c r="AB301" s="15"/>
    </row>
    <row r="302" spans="1:28" hidden="1">
      <c r="A302" s="6">
        <v>46107</v>
      </c>
      <c r="B302" s="3">
        <v>2026</v>
      </c>
      <c r="C302" s="3" t="s">
        <v>2963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17"/>
        <v>24</v>
      </c>
      <c r="R302" s="53" t="str">
        <f t="shared" si="18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3">
        <f t="shared" si="16"/>
        <v>40</v>
      </c>
      <c r="Z302" s="18">
        <v>46147</v>
      </c>
      <c r="AA302" s="15"/>
      <c r="AB302" s="15"/>
    </row>
    <row r="303" spans="1:28" hidden="1">
      <c r="A303" s="6">
        <v>46107</v>
      </c>
      <c r="B303" s="3">
        <v>2026</v>
      </c>
      <c r="C303" s="3" t="s">
        <v>2963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17"/>
        <v>24</v>
      </c>
      <c r="R303" s="53" t="str">
        <f t="shared" si="18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3">
        <f t="shared" si="16"/>
        <v>40</v>
      </c>
      <c r="Z303" s="18">
        <v>46147</v>
      </c>
      <c r="AA303" s="15"/>
      <c r="AB303" s="15"/>
    </row>
    <row r="304" spans="1:28" hidden="1">
      <c r="A304" s="6">
        <v>46107</v>
      </c>
      <c r="B304" s="3">
        <v>2026</v>
      </c>
      <c r="C304" s="3" t="s">
        <v>2963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17"/>
        <v>24</v>
      </c>
      <c r="R304" s="53" t="str">
        <f t="shared" si="18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3">
        <f t="shared" si="16"/>
        <v>40</v>
      </c>
      <c r="Z304" s="18">
        <v>46147</v>
      </c>
      <c r="AA304" s="15"/>
      <c r="AB304" s="15"/>
    </row>
    <row r="305" spans="1:28" hidden="1">
      <c r="A305" s="6">
        <v>46107</v>
      </c>
      <c r="B305" s="3">
        <v>2026</v>
      </c>
      <c r="C305" s="3" t="s">
        <v>2963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17"/>
        <v>24</v>
      </c>
      <c r="R305" s="53" t="str">
        <f t="shared" si="18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3">
        <f t="shared" si="16"/>
        <v>40</v>
      </c>
      <c r="Z305" s="18">
        <v>46147</v>
      </c>
      <c r="AA305" s="15"/>
      <c r="AB305" s="15"/>
    </row>
    <row r="306" spans="1:28" hidden="1">
      <c r="A306" s="6">
        <v>46107</v>
      </c>
      <c r="B306" s="3">
        <v>2026</v>
      </c>
      <c r="C306" s="3" t="s">
        <v>2963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17"/>
        <v>24</v>
      </c>
      <c r="R306" s="53" t="str">
        <f t="shared" si="18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3">
        <f t="shared" si="16"/>
        <v>40</v>
      </c>
      <c r="Z306" s="18">
        <v>46147</v>
      </c>
      <c r="AA306" s="15"/>
      <c r="AB306" s="15"/>
    </row>
    <row r="307" spans="1:28" hidden="1">
      <c r="A307" s="6">
        <v>46107</v>
      </c>
      <c r="B307" s="3">
        <v>2026</v>
      </c>
      <c r="C307" s="3" t="s">
        <v>2963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17"/>
        <v>24</v>
      </c>
      <c r="R307" s="53" t="str">
        <f t="shared" si="18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3">
        <f t="shared" si="16"/>
        <v>40</v>
      </c>
      <c r="Z307" s="18">
        <v>46147</v>
      </c>
      <c r="AA307" s="15"/>
      <c r="AB307" s="15"/>
    </row>
    <row r="308" spans="1:28" hidden="1">
      <c r="A308" s="6">
        <v>46107</v>
      </c>
      <c r="B308" s="3">
        <v>2026</v>
      </c>
      <c r="C308" s="3" t="s">
        <v>2963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17"/>
        <v>24</v>
      </c>
      <c r="R308" s="53" t="str">
        <f t="shared" si="18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3">
        <f t="shared" si="16"/>
        <v>40</v>
      </c>
      <c r="Z308" s="18">
        <v>46147</v>
      </c>
      <c r="AA308" s="15"/>
      <c r="AB308" s="15"/>
    </row>
    <row r="309" spans="1:28" hidden="1">
      <c r="A309" s="6">
        <v>46107</v>
      </c>
      <c r="B309" s="3">
        <v>2026</v>
      </c>
      <c r="C309" s="3" t="s">
        <v>2963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17"/>
        <v>24</v>
      </c>
      <c r="R309" s="53" t="str">
        <f t="shared" si="18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3">
        <f t="shared" si="16"/>
        <v>40</v>
      </c>
      <c r="Z309" s="18">
        <v>46147</v>
      </c>
      <c r="AA309" s="15"/>
      <c r="AB309" s="15"/>
    </row>
    <row r="310" spans="1:28" hidden="1">
      <c r="A310" s="6">
        <v>46107</v>
      </c>
      <c r="B310" s="3">
        <v>2026</v>
      </c>
      <c r="C310" s="3" t="s">
        <v>2963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17"/>
        <v>24</v>
      </c>
      <c r="R310" s="53" t="str">
        <f t="shared" si="18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3">
        <f t="shared" si="16"/>
        <v>40</v>
      </c>
      <c r="Z310" s="18">
        <v>46147</v>
      </c>
      <c r="AA310" s="15"/>
      <c r="AB310" s="15"/>
    </row>
    <row r="311" spans="1:28" hidden="1">
      <c r="A311" s="6">
        <v>46107</v>
      </c>
      <c r="B311" s="3">
        <v>2026</v>
      </c>
      <c r="C311" s="3" t="s">
        <v>2963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17"/>
        <v>24</v>
      </c>
      <c r="R311" s="53" t="str">
        <f t="shared" si="18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3">
        <f t="shared" si="16"/>
        <v>40</v>
      </c>
      <c r="Z311" s="18">
        <v>46147</v>
      </c>
      <c r="AA311" s="15"/>
      <c r="AB311" s="15"/>
    </row>
    <row r="312" spans="1:28" hidden="1">
      <c r="A312" s="6">
        <v>46107</v>
      </c>
      <c r="B312" s="3">
        <v>2026</v>
      </c>
      <c r="C312" s="3" t="s">
        <v>2963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17"/>
        <v>24</v>
      </c>
      <c r="R312" s="53" t="str">
        <f t="shared" si="18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3">
        <f t="shared" si="16"/>
        <v>40</v>
      </c>
      <c r="Z312" s="18">
        <v>46147</v>
      </c>
      <c r="AA312" s="15"/>
      <c r="AB312" s="15"/>
    </row>
    <row r="313" spans="1:28" hidden="1">
      <c r="A313" s="6">
        <v>46107</v>
      </c>
      <c r="B313" s="3">
        <v>2026</v>
      </c>
      <c r="C313" s="3" t="s">
        <v>2963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17"/>
        <v>24</v>
      </c>
      <c r="R313" s="53" t="str">
        <f t="shared" si="18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3">
        <f t="shared" si="16"/>
        <v>40</v>
      </c>
      <c r="Z313" s="18">
        <v>46147</v>
      </c>
      <c r="AA313" s="15"/>
      <c r="AB313" s="15"/>
    </row>
    <row r="314" spans="1:28" hidden="1">
      <c r="A314" s="6">
        <v>46107</v>
      </c>
      <c r="B314" s="3">
        <v>2026</v>
      </c>
      <c r="C314" s="3" t="s">
        <v>2963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17"/>
        <v>24</v>
      </c>
      <c r="R314" s="53" t="str">
        <f t="shared" si="18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3">
        <f t="shared" si="16"/>
        <v>40</v>
      </c>
      <c r="Z314" s="18">
        <v>46147</v>
      </c>
      <c r="AA314" s="15"/>
      <c r="AB314" s="15"/>
    </row>
    <row r="315" spans="1:28" hidden="1">
      <c r="A315" s="6">
        <v>46107</v>
      </c>
      <c r="B315" s="3">
        <v>2026</v>
      </c>
      <c r="C315" s="3" t="s">
        <v>2963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17"/>
        <v>24</v>
      </c>
      <c r="R315" s="53" t="str">
        <f t="shared" si="18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3">
        <f t="shared" si="16"/>
        <v>40</v>
      </c>
      <c r="Z315" s="18">
        <v>46147</v>
      </c>
      <c r="AA315" s="15"/>
      <c r="AB315" s="15"/>
    </row>
    <row r="316" spans="1:28" hidden="1">
      <c r="A316" s="6">
        <v>46107</v>
      </c>
      <c r="B316" s="3">
        <v>2026</v>
      </c>
      <c r="C316" s="3" t="s">
        <v>2963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17"/>
        <v>24</v>
      </c>
      <c r="R316" s="53" t="str">
        <f t="shared" si="18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3">
        <f t="shared" si="16"/>
        <v>40</v>
      </c>
      <c r="Z316" s="18">
        <v>46147</v>
      </c>
      <c r="AA316" s="15"/>
      <c r="AB316" s="15"/>
    </row>
    <row r="317" spans="1:28" hidden="1">
      <c r="A317" s="6">
        <v>46107</v>
      </c>
      <c r="B317" s="3">
        <v>2026</v>
      </c>
      <c r="C317" s="3" t="s">
        <v>2963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17"/>
        <v>24</v>
      </c>
      <c r="R317" s="53" t="str">
        <f t="shared" si="18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3">
        <f t="shared" si="16"/>
        <v>40</v>
      </c>
      <c r="Z317" s="18">
        <v>46147</v>
      </c>
      <c r="AA317" s="15"/>
      <c r="AB317" s="15"/>
    </row>
    <row r="318" spans="1:28" hidden="1">
      <c r="A318" s="6">
        <v>46107</v>
      </c>
      <c r="B318" s="3">
        <v>2026</v>
      </c>
      <c r="C318" s="3" t="s">
        <v>2963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17"/>
        <v>24</v>
      </c>
      <c r="R318" s="53" t="str">
        <f t="shared" si="18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3">
        <f t="shared" si="16"/>
        <v>40</v>
      </c>
      <c r="Z318" s="18">
        <v>46147</v>
      </c>
      <c r="AA318" s="15"/>
      <c r="AB318" s="15"/>
    </row>
    <row r="319" spans="1:28" hidden="1">
      <c r="A319" s="6">
        <v>46107</v>
      </c>
      <c r="B319" s="3">
        <v>2026</v>
      </c>
      <c r="C319" s="3" t="s">
        <v>2963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17"/>
        <v>24</v>
      </c>
      <c r="R319" s="53" t="str">
        <f t="shared" si="18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3">
        <f t="shared" si="16"/>
        <v>40</v>
      </c>
      <c r="Z319" s="18">
        <v>46147</v>
      </c>
      <c r="AA319" s="15"/>
      <c r="AB319" s="15"/>
    </row>
    <row r="320" spans="1:28" hidden="1">
      <c r="A320" s="6">
        <v>46107</v>
      </c>
      <c r="B320" s="3">
        <v>2026</v>
      </c>
      <c r="C320" s="3" t="s">
        <v>2963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17"/>
        <v>24</v>
      </c>
      <c r="R320" s="53" t="str">
        <f t="shared" si="18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3">
        <f t="shared" si="16"/>
        <v>40</v>
      </c>
      <c r="Z320" s="18">
        <v>46147</v>
      </c>
      <c r="AA320" s="15"/>
      <c r="AB320" s="15"/>
    </row>
    <row r="321" spans="1:28" hidden="1">
      <c r="A321" s="6">
        <v>46107</v>
      </c>
      <c r="B321" s="3">
        <v>2026</v>
      </c>
      <c r="C321" s="3" t="s">
        <v>2963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17"/>
        <v>24</v>
      </c>
      <c r="R321" s="53" t="str">
        <f t="shared" si="18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3">
        <f t="shared" si="16"/>
        <v>40</v>
      </c>
      <c r="Z321" s="18">
        <v>46147</v>
      </c>
      <c r="AA321" s="15"/>
      <c r="AB321" s="15"/>
    </row>
    <row r="322" spans="1:28" hidden="1">
      <c r="A322" s="6">
        <v>46107</v>
      </c>
      <c r="B322" s="3">
        <v>2026</v>
      </c>
      <c r="C322" s="3" t="s">
        <v>2963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17"/>
        <v>24</v>
      </c>
      <c r="R322" s="53" t="str">
        <f t="shared" si="18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3">
        <f t="shared" ref="Y322:Y385" si="19">X322-A322</f>
        <v>40</v>
      </c>
      <c r="Z322" s="18">
        <v>46147</v>
      </c>
      <c r="AA322" s="15"/>
      <c r="AB322" s="15"/>
    </row>
    <row r="323" spans="1:28" hidden="1">
      <c r="A323" s="6">
        <v>46107</v>
      </c>
      <c r="B323" s="3">
        <v>2026</v>
      </c>
      <c r="C323" s="3" t="s">
        <v>2963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17"/>
        <v>24</v>
      </c>
      <c r="R323" s="53" t="str">
        <f t="shared" si="18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3">
        <f t="shared" si="19"/>
        <v>40</v>
      </c>
      <c r="Z323" s="18">
        <v>46147</v>
      </c>
      <c r="AA323" s="15"/>
      <c r="AB323" s="15"/>
    </row>
    <row r="324" spans="1:28" hidden="1">
      <c r="A324" s="6">
        <v>46107</v>
      </c>
      <c r="B324" s="3">
        <v>2026</v>
      </c>
      <c r="C324" s="3" t="s">
        <v>2963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17"/>
        <v>24</v>
      </c>
      <c r="R324" s="53" t="str">
        <f t="shared" si="18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3">
        <f t="shared" si="19"/>
        <v>40</v>
      </c>
      <c r="Z324" s="18">
        <v>46147</v>
      </c>
      <c r="AA324" s="15"/>
      <c r="AB324" s="15"/>
    </row>
    <row r="325" spans="1:28" hidden="1">
      <c r="A325" s="6">
        <v>46107</v>
      </c>
      <c r="B325" s="3">
        <v>2026</v>
      </c>
      <c r="C325" s="3" t="s">
        <v>2963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17"/>
        <v>24</v>
      </c>
      <c r="R325" s="53" t="str">
        <f t="shared" si="18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3">
        <f t="shared" si="19"/>
        <v>40</v>
      </c>
      <c r="Z325" s="18">
        <v>46147</v>
      </c>
      <c r="AA325" s="15"/>
      <c r="AB325" s="15"/>
    </row>
    <row r="326" spans="1:28" hidden="1">
      <c r="A326" s="6">
        <v>46107</v>
      </c>
      <c r="B326" s="3">
        <v>2026</v>
      </c>
      <c r="C326" s="3" t="s">
        <v>2963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17"/>
        <v>24</v>
      </c>
      <c r="R326" s="53" t="str">
        <f t="shared" si="18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3">
        <f t="shared" si="19"/>
        <v>40</v>
      </c>
      <c r="Z326" s="18">
        <v>46147</v>
      </c>
      <c r="AA326" s="15"/>
      <c r="AB326" s="15"/>
    </row>
    <row r="327" spans="1:28" hidden="1">
      <c r="A327" s="6">
        <v>46107</v>
      </c>
      <c r="B327" s="3">
        <v>2026</v>
      </c>
      <c r="C327" s="3" t="s">
        <v>2963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17"/>
        <v>24</v>
      </c>
      <c r="R327" s="53" t="str">
        <f t="shared" si="18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3">
        <f t="shared" si="19"/>
        <v>40</v>
      </c>
      <c r="Z327" s="18">
        <v>46147</v>
      </c>
      <c r="AA327" s="15"/>
      <c r="AB327" s="15"/>
    </row>
    <row r="328" spans="1:28" hidden="1">
      <c r="A328" s="6">
        <v>46107</v>
      </c>
      <c r="B328" s="3">
        <v>2026</v>
      </c>
      <c r="C328" s="3" t="s">
        <v>2963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17"/>
        <v>24</v>
      </c>
      <c r="R328" s="53" t="str">
        <f t="shared" si="18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3">
        <f t="shared" si="19"/>
        <v>40</v>
      </c>
      <c r="Z328" s="18">
        <v>46147</v>
      </c>
      <c r="AA328" s="15"/>
      <c r="AB328" s="15"/>
    </row>
    <row r="329" spans="1:28" hidden="1">
      <c r="A329" s="6">
        <v>46107</v>
      </c>
      <c r="B329" s="3">
        <v>2026</v>
      </c>
      <c r="C329" s="3" t="s">
        <v>2963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17"/>
        <v>24</v>
      </c>
      <c r="R329" s="53" t="str">
        <f t="shared" si="18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3">
        <f t="shared" si="19"/>
        <v>40</v>
      </c>
      <c r="Z329" s="18">
        <v>46147</v>
      </c>
      <c r="AA329" s="15"/>
      <c r="AB329" s="15"/>
    </row>
    <row r="330" spans="1:28" hidden="1">
      <c r="A330" s="6">
        <v>46107</v>
      </c>
      <c r="B330" s="3">
        <v>2026</v>
      </c>
      <c r="C330" s="3" t="s">
        <v>2963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17"/>
        <v>24</v>
      </c>
      <c r="R330" s="53" t="str">
        <f t="shared" si="18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3">
        <f t="shared" si="19"/>
        <v>40</v>
      </c>
      <c r="Z330" s="18">
        <v>46147</v>
      </c>
      <c r="AA330" s="15"/>
      <c r="AB330" s="15"/>
    </row>
    <row r="331" spans="1:28" hidden="1">
      <c r="A331" s="6">
        <v>46107</v>
      </c>
      <c r="B331" s="3">
        <v>2026</v>
      </c>
      <c r="C331" s="3" t="s">
        <v>2963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17"/>
        <v>24</v>
      </c>
      <c r="R331" s="53" t="str">
        <f t="shared" si="18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3">
        <f t="shared" si="19"/>
        <v>40</v>
      </c>
      <c r="Z331" s="18">
        <v>46147</v>
      </c>
      <c r="AA331" s="15"/>
      <c r="AB331" s="15"/>
    </row>
    <row r="332" spans="1:28" hidden="1">
      <c r="A332" s="6">
        <v>46107</v>
      </c>
      <c r="B332" s="3">
        <v>2026</v>
      </c>
      <c r="C332" s="3" t="s">
        <v>2963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17"/>
        <v>24</v>
      </c>
      <c r="R332" s="53" t="str">
        <f t="shared" si="18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3">
        <f t="shared" si="19"/>
        <v>40</v>
      </c>
      <c r="Z332" s="18">
        <v>46147</v>
      </c>
      <c r="AA332" s="15"/>
      <c r="AB332" s="15"/>
    </row>
    <row r="333" spans="1:28" hidden="1">
      <c r="A333" s="6">
        <v>46107</v>
      </c>
      <c r="B333" s="3">
        <v>2026</v>
      </c>
      <c r="C333" s="3" t="s">
        <v>2963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17"/>
        <v>24</v>
      </c>
      <c r="R333" s="53" t="str">
        <f t="shared" si="18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3">
        <f t="shared" si="19"/>
        <v>40</v>
      </c>
      <c r="Z333" s="18">
        <v>46147</v>
      </c>
      <c r="AA333" s="15"/>
      <c r="AB333" s="15"/>
    </row>
    <row r="334" spans="1:28" hidden="1">
      <c r="A334" s="6">
        <v>46107</v>
      </c>
      <c r="B334" s="3">
        <v>2026</v>
      </c>
      <c r="C334" s="3" t="s">
        <v>2963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17"/>
        <v>24</v>
      </c>
      <c r="R334" s="53" t="str">
        <f t="shared" si="18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3">
        <f t="shared" si="19"/>
        <v>40</v>
      </c>
      <c r="Z334" s="18">
        <v>46147</v>
      </c>
      <c r="AA334" s="15"/>
      <c r="AB334" s="15"/>
    </row>
    <row r="335" spans="1:28" hidden="1">
      <c r="A335" s="6">
        <v>46107</v>
      </c>
      <c r="B335" s="3">
        <v>2026</v>
      </c>
      <c r="C335" s="3" t="s">
        <v>2963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17"/>
        <v>24</v>
      </c>
      <c r="R335" s="53" t="str">
        <f t="shared" si="18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3">
        <f t="shared" si="19"/>
        <v>40</v>
      </c>
      <c r="Z335" s="18">
        <v>46147</v>
      </c>
      <c r="AA335" s="15"/>
      <c r="AB335" s="15"/>
    </row>
    <row r="336" spans="1:28" hidden="1">
      <c r="A336" s="6">
        <v>46107</v>
      </c>
      <c r="B336" s="3">
        <v>2026</v>
      </c>
      <c r="C336" s="3" t="s">
        <v>2963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17"/>
        <v>24</v>
      </c>
      <c r="R336" s="53" t="str">
        <f t="shared" si="18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3">
        <f t="shared" si="19"/>
        <v>40</v>
      </c>
      <c r="Z336" s="18">
        <v>46147</v>
      </c>
      <c r="AA336" s="15"/>
      <c r="AB336" s="15"/>
    </row>
    <row r="337" spans="1:28" hidden="1">
      <c r="A337" s="6">
        <v>46107</v>
      </c>
      <c r="B337" s="3">
        <v>2026</v>
      </c>
      <c r="C337" s="3" t="s">
        <v>2963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17"/>
        <v>24</v>
      </c>
      <c r="R337" s="53" t="str">
        <f t="shared" si="18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3">
        <f t="shared" si="19"/>
        <v>40</v>
      </c>
      <c r="Z337" s="18">
        <v>46147</v>
      </c>
      <c r="AA337" s="15"/>
      <c r="AB337" s="15"/>
    </row>
    <row r="338" spans="1:28" hidden="1">
      <c r="A338" s="6">
        <v>46107</v>
      </c>
      <c r="B338" s="3">
        <v>2026</v>
      </c>
      <c r="C338" s="3" t="s">
        <v>2963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17"/>
        <v>24</v>
      </c>
      <c r="R338" s="53" t="str">
        <f t="shared" si="18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3">
        <f t="shared" si="19"/>
        <v>40</v>
      </c>
      <c r="Z338" s="18">
        <v>46147</v>
      </c>
      <c r="AA338" s="15"/>
      <c r="AB338" s="15"/>
    </row>
    <row r="339" spans="1:28" hidden="1">
      <c r="A339" s="6">
        <v>46107</v>
      </c>
      <c r="B339" s="3">
        <v>2026</v>
      </c>
      <c r="C339" s="3" t="s">
        <v>2963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17"/>
        <v>24</v>
      </c>
      <c r="R339" s="53" t="str">
        <f t="shared" si="18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3">
        <f t="shared" si="19"/>
        <v>40</v>
      </c>
      <c r="Z339" s="18">
        <v>46147</v>
      </c>
      <c r="AA339" s="15"/>
      <c r="AB339" s="15"/>
    </row>
    <row r="340" spans="1:28" hidden="1">
      <c r="A340" s="6">
        <v>46107</v>
      </c>
      <c r="B340" s="3">
        <v>2026</v>
      </c>
      <c r="C340" s="3" t="s">
        <v>2963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17"/>
        <v>24</v>
      </c>
      <c r="R340" s="53" t="str">
        <f t="shared" si="18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3">
        <f t="shared" si="19"/>
        <v>40</v>
      </c>
      <c r="Z340" s="18">
        <v>46147</v>
      </c>
      <c r="AA340" s="15"/>
      <c r="AB340" s="15"/>
    </row>
    <row r="341" spans="1:28" hidden="1">
      <c r="A341" s="6">
        <v>46107</v>
      </c>
      <c r="B341" s="3">
        <v>2026</v>
      </c>
      <c r="C341" s="3" t="s">
        <v>2963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17"/>
        <v>24</v>
      </c>
      <c r="R341" s="53" t="str">
        <f t="shared" si="18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3">
        <f t="shared" si="19"/>
        <v>40</v>
      </c>
      <c r="Z341" s="18">
        <v>46147</v>
      </c>
      <c r="AA341" s="15"/>
      <c r="AB341" s="15"/>
    </row>
    <row r="342" spans="1:28" hidden="1">
      <c r="A342" s="6">
        <v>46107</v>
      </c>
      <c r="B342" s="3">
        <v>2026</v>
      </c>
      <c r="C342" s="3" t="s">
        <v>2963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17"/>
        <v>24</v>
      </c>
      <c r="R342" s="53" t="str">
        <f t="shared" si="18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3">
        <f t="shared" si="19"/>
        <v>40</v>
      </c>
      <c r="Z342" s="18">
        <v>46147</v>
      </c>
      <c r="AA342" s="15"/>
      <c r="AB342" s="15"/>
    </row>
    <row r="343" spans="1:28" hidden="1">
      <c r="A343" s="6">
        <v>46107</v>
      </c>
      <c r="B343" s="3">
        <v>2026</v>
      </c>
      <c r="C343" s="3" t="s">
        <v>2963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17"/>
        <v>24</v>
      </c>
      <c r="R343" s="53" t="str">
        <f t="shared" si="18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3">
        <f t="shared" si="19"/>
        <v>40</v>
      </c>
      <c r="Z343" s="18">
        <v>46147</v>
      </c>
      <c r="AA343" s="15"/>
      <c r="AB343" s="15"/>
    </row>
    <row r="344" spans="1:28" hidden="1">
      <c r="A344" s="6">
        <v>46107</v>
      </c>
      <c r="B344" s="3">
        <v>2026</v>
      </c>
      <c r="C344" s="3" t="s">
        <v>2963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17"/>
        <v>24</v>
      </c>
      <c r="R344" s="53" t="str">
        <f t="shared" si="18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3">
        <f t="shared" si="19"/>
        <v>40</v>
      </c>
      <c r="Z344" s="18">
        <v>46147</v>
      </c>
      <c r="AA344" s="15"/>
      <c r="AB344" s="15"/>
    </row>
    <row r="345" spans="1:28" hidden="1">
      <c r="A345" s="6">
        <v>46107</v>
      </c>
      <c r="B345" s="3">
        <v>2026</v>
      </c>
      <c r="C345" s="3" t="s">
        <v>2963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17"/>
        <v>24</v>
      </c>
      <c r="R345" s="53" t="str">
        <f t="shared" si="18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3">
        <f t="shared" si="19"/>
        <v>40</v>
      </c>
      <c r="Z345" s="18">
        <v>46147</v>
      </c>
      <c r="AA345" s="15"/>
      <c r="AB345" s="15"/>
    </row>
    <row r="346" spans="1:28" hidden="1">
      <c r="A346" s="6">
        <v>46107</v>
      </c>
      <c r="B346" s="3">
        <v>2026</v>
      </c>
      <c r="C346" s="3" t="s">
        <v>2963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17"/>
        <v>24</v>
      </c>
      <c r="R346" s="53" t="str">
        <f t="shared" si="18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3">
        <f t="shared" si="19"/>
        <v>40</v>
      </c>
      <c r="Z346" s="18">
        <v>46147</v>
      </c>
      <c r="AA346" s="15"/>
      <c r="AB346" s="15"/>
    </row>
    <row r="347" spans="1:28" hidden="1">
      <c r="A347" s="6">
        <v>46107</v>
      </c>
      <c r="B347" s="3">
        <v>2026</v>
      </c>
      <c r="C347" s="3" t="s">
        <v>2963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17"/>
        <v>24</v>
      </c>
      <c r="R347" s="53" t="str">
        <f t="shared" si="18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3">
        <f t="shared" si="19"/>
        <v>40</v>
      </c>
      <c r="Z347" s="18">
        <v>46147</v>
      </c>
      <c r="AA347" s="15"/>
      <c r="AB347" s="15"/>
    </row>
    <row r="348" spans="1:28" hidden="1">
      <c r="A348" s="6">
        <v>46107</v>
      </c>
      <c r="B348" s="3">
        <v>2026</v>
      </c>
      <c r="C348" s="3" t="s">
        <v>2963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17"/>
        <v>24</v>
      </c>
      <c r="R348" s="53" t="str">
        <f t="shared" si="18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3">
        <f t="shared" si="19"/>
        <v>40</v>
      </c>
      <c r="Z348" s="18">
        <v>46147</v>
      </c>
      <c r="AA348" s="15"/>
      <c r="AB348" s="15"/>
    </row>
    <row r="349" spans="1:28" hidden="1">
      <c r="A349" s="6">
        <v>46107</v>
      </c>
      <c r="B349" s="3">
        <v>2026</v>
      </c>
      <c r="C349" s="3" t="s">
        <v>2963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17"/>
        <v>24</v>
      </c>
      <c r="R349" s="53" t="str">
        <f t="shared" si="18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3">
        <f t="shared" si="19"/>
        <v>40</v>
      </c>
      <c r="Z349" s="18">
        <v>46147</v>
      </c>
      <c r="AA349" s="15"/>
      <c r="AB349" s="15"/>
    </row>
    <row r="350" spans="1:28" hidden="1">
      <c r="A350" s="6">
        <v>46107</v>
      </c>
      <c r="B350" s="3">
        <v>2026</v>
      </c>
      <c r="C350" s="3" t="s">
        <v>2963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17"/>
        <v>24</v>
      </c>
      <c r="R350" s="53" t="str">
        <f t="shared" si="18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3">
        <f t="shared" si="19"/>
        <v>40</v>
      </c>
      <c r="Z350" s="18">
        <v>46147</v>
      </c>
      <c r="AA350" s="15"/>
      <c r="AB350" s="15"/>
    </row>
    <row r="351" spans="1:28" hidden="1">
      <c r="A351" s="6">
        <v>46107</v>
      </c>
      <c r="B351" s="3">
        <v>2026</v>
      </c>
      <c r="C351" s="3" t="s">
        <v>2963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17"/>
        <v>24</v>
      </c>
      <c r="R351" s="53" t="str">
        <f t="shared" si="18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3">
        <f t="shared" si="19"/>
        <v>40</v>
      </c>
      <c r="Z351" s="18">
        <v>46147</v>
      </c>
      <c r="AA351" s="15"/>
      <c r="AB351" s="15"/>
    </row>
    <row r="352" spans="1:28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44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17"/>
        <v>24</v>
      </c>
      <c r="R352" s="53" t="str">
        <f t="shared" si="18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3">
        <f t="shared" si="19"/>
        <v>9</v>
      </c>
      <c r="Z352" s="18" t="s">
        <v>349</v>
      </c>
      <c r="AA352" s="15"/>
      <c r="AB352" s="15"/>
    </row>
    <row r="353" spans="1:28" hidden="1">
      <c r="A353" s="40">
        <v>46071</v>
      </c>
      <c r="B353" s="3">
        <v>2026</v>
      </c>
      <c r="C353" s="26" t="s">
        <v>2966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17"/>
        <v>23</v>
      </c>
      <c r="R353" s="53" t="str">
        <f t="shared" si="18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3">
        <f t="shared" si="19"/>
        <v>76</v>
      </c>
      <c r="Z353" s="18" t="s">
        <v>349</v>
      </c>
      <c r="AA353" s="15"/>
      <c r="AB353" s="15"/>
    </row>
    <row r="354" spans="1:28" hidden="1">
      <c r="A354" s="40">
        <v>46073</v>
      </c>
      <c r="B354" s="3">
        <v>2026</v>
      </c>
      <c r="C354" s="26" t="s">
        <v>2966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17"/>
        <v>23</v>
      </c>
      <c r="R354" s="53" t="str">
        <f t="shared" si="18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3">
        <f t="shared" si="19"/>
        <v>74</v>
      </c>
      <c r="Z354" s="18" t="s">
        <v>349</v>
      </c>
      <c r="AA354" s="15"/>
      <c r="AB354" s="15"/>
    </row>
    <row r="355" spans="1:28" hidden="1">
      <c r="A355" s="37">
        <v>46136</v>
      </c>
      <c r="B355" s="3">
        <v>2026</v>
      </c>
      <c r="C355" s="26" t="s">
        <v>2966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17"/>
        <v>26</v>
      </c>
      <c r="R355" s="53" t="str">
        <f t="shared" si="18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3">
        <f t="shared" si="19"/>
        <v>11</v>
      </c>
      <c r="Z355" s="18" t="s">
        <v>349</v>
      </c>
      <c r="AA355" s="15"/>
      <c r="AB355" s="15"/>
    </row>
    <row r="356" spans="1:28" hidden="1">
      <c r="A356" s="37">
        <v>46136</v>
      </c>
      <c r="B356" s="3">
        <v>2026</v>
      </c>
      <c r="C356" s="26" t="s">
        <v>2966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2980</v>
      </c>
      <c r="O356" s="39">
        <v>540</v>
      </c>
      <c r="P356" s="8" t="s">
        <v>512</v>
      </c>
      <c r="Q356" s="53" t="str">
        <f t="shared" si="17"/>
        <v>26</v>
      </c>
      <c r="R356" s="53" t="str">
        <f t="shared" si="18"/>
        <v>02</v>
      </c>
      <c r="S356" s="3" t="s">
        <v>199</v>
      </c>
      <c r="T356" s="26" t="s">
        <v>513</v>
      </c>
      <c r="U356" s="19" t="s">
        <v>2981</v>
      </c>
      <c r="V356" s="3" t="s">
        <v>352</v>
      </c>
      <c r="W356" s="3" t="s">
        <v>353</v>
      </c>
      <c r="X356" s="18">
        <v>46147</v>
      </c>
      <c r="Y356" s="3">
        <f t="shared" si="19"/>
        <v>11</v>
      </c>
      <c r="Z356" s="18" t="s">
        <v>349</v>
      </c>
      <c r="AA356" s="15"/>
      <c r="AB356" s="15"/>
    </row>
    <row r="357" spans="1:28" hidden="1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17"/>
        <v>25</v>
      </c>
      <c r="R357" s="53" t="str">
        <f t="shared" si="18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3">
        <f t="shared" si="19"/>
        <v>69</v>
      </c>
      <c r="Z357" s="18">
        <v>46148</v>
      </c>
      <c r="AA357" s="15"/>
      <c r="AB357" s="15"/>
    </row>
    <row r="358" spans="1:28" hidden="1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17"/>
        <v>25</v>
      </c>
      <c r="R358" s="53" t="str">
        <f t="shared" si="18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3">
        <f t="shared" si="19"/>
        <v>69</v>
      </c>
      <c r="Z358" s="18">
        <v>46148</v>
      </c>
      <c r="AA358" s="15"/>
      <c r="AB358" s="15"/>
    </row>
    <row r="359" spans="1:28" hidden="1">
      <c r="A359" s="6">
        <v>46107</v>
      </c>
      <c r="B359" s="3">
        <v>2026</v>
      </c>
      <c r="C359" s="3" t="s">
        <v>2963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20">MID(P359,5,2)</f>
        <v>24</v>
      </c>
      <c r="R359" s="53" t="str">
        <f t="shared" ref="R359:R422" si="21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3">
        <f t="shared" si="19"/>
        <v>41</v>
      </c>
      <c r="Z359" s="18">
        <v>46148</v>
      </c>
      <c r="AA359" s="15"/>
      <c r="AB359" s="15"/>
    </row>
    <row r="360" spans="1:28" hidden="1">
      <c r="A360" s="6">
        <v>46107</v>
      </c>
      <c r="B360" s="3">
        <v>2026</v>
      </c>
      <c r="C360" s="3" t="s">
        <v>2963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20"/>
        <v>24</v>
      </c>
      <c r="R360" s="53" t="str">
        <f t="shared" si="21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3">
        <f t="shared" si="19"/>
        <v>41</v>
      </c>
      <c r="Z360" s="18">
        <v>46148</v>
      </c>
      <c r="AA360" s="15"/>
      <c r="AB360" s="15"/>
    </row>
    <row r="361" spans="1:28" hidden="1">
      <c r="A361" s="6">
        <v>46107</v>
      </c>
      <c r="B361" s="3">
        <v>2026</v>
      </c>
      <c r="C361" s="3" t="s">
        <v>2963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20"/>
        <v>24</v>
      </c>
      <c r="R361" s="53" t="str">
        <f t="shared" si="21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3">
        <f t="shared" si="19"/>
        <v>41</v>
      </c>
      <c r="Z361" s="18">
        <v>46148</v>
      </c>
      <c r="AA361" s="15"/>
      <c r="AB361" s="15"/>
    </row>
    <row r="362" spans="1:28" hidden="1">
      <c r="A362" s="6">
        <v>46107</v>
      </c>
      <c r="B362" s="3">
        <v>2026</v>
      </c>
      <c r="C362" s="3" t="s">
        <v>2963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20"/>
        <v>24</v>
      </c>
      <c r="R362" s="53" t="str">
        <f t="shared" si="21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3">
        <f t="shared" si="19"/>
        <v>41</v>
      </c>
      <c r="Z362" s="18">
        <v>46148</v>
      </c>
      <c r="AA362" s="15"/>
      <c r="AB362" s="15"/>
    </row>
    <row r="363" spans="1:28" hidden="1">
      <c r="A363" s="6">
        <v>46107</v>
      </c>
      <c r="B363" s="3">
        <v>2026</v>
      </c>
      <c r="C363" s="3" t="s">
        <v>2963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20"/>
        <v>24</v>
      </c>
      <c r="R363" s="53" t="str">
        <f t="shared" si="21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3">
        <f t="shared" si="19"/>
        <v>41</v>
      </c>
      <c r="Z363" s="18">
        <v>46148</v>
      </c>
      <c r="AA363" s="15"/>
      <c r="AB363" s="15"/>
    </row>
    <row r="364" spans="1:28" hidden="1">
      <c r="A364" s="6">
        <v>46107</v>
      </c>
      <c r="B364" s="3">
        <v>2026</v>
      </c>
      <c r="C364" s="3" t="s">
        <v>2963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20"/>
        <v>24</v>
      </c>
      <c r="R364" s="53" t="str">
        <f t="shared" si="21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3">
        <f t="shared" si="19"/>
        <v>41</v>
      </c>
      <c r="Z364" s="18">
        <v>46148</v>
      </c>
      <c r="AA364" s="15"/>
      <c r="AB364" s="15"/>
    </row>
    <row r="365" spans="1:28" hidden="1">
      <c r="A365" s="6">
        <v>46107</v>
      </c>
      <c r="B365" s="3">
        <v>2026</v>
      </c>
      <c r="C365" s="3" t="s">
        <v>2963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20"/>
        <v>24</v>
      </c>
      <c r="R365" s="53" t="str">
        <f t="shared" si="21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3">
        <f t="shared" si="19"/>
        <v>41</v>
      </c>
      <c r="Z365" s="18">
        <v>46148</v>
      </c>
      <c r="AA365" s="15"/>
      <c r="AB365" s="15"/>
    </row>
    <row r="366" spans="1:28" hidden="1">
      <c r="A366" s="6">
        <v>46107</v>
      </c>
      <c r="B366" s="3">
        <v>2026</v>
      </c>
      <c r="C366" s="3" t="s">
        <v>2963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20"/>
        <v>24</v>
      </c>
      <c r="R366" s="53" t="str">
        <f t="shared" si="21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3">
        <f t="shared" si="19"/>
        <v>41</v>
      </c>
      <c r="Z366" s="18">
        <v>46148</v>
      </c>
      <c r="AA366" s="15"/>
      <c r="AB366" s="15"/>
    </row>
    <row r="367" spans="1:28" hidden="1">
      <c r="A367" s="6">
        <v>46107</v>
      </c>
      <c r="B367" s="3">
        <v>2026</v>
      </c>
      <c r="C367" s="3" t="s">
        <v>2963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20"/>
        <v>24</v>
      </c>
      <c r="R367" s="53" t="str">
        <f t="shared" si="21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3">
        <f t="shared" si="19"/>
        <v>41</v>
      </c>
      <c r="Z367" s="18">
        <v>46148</v>
      </c>
      <c r="AA367" s="15"/>
      <c r="AB367" s="15"/>
    </row>
    <row r="368" spans="1:28" hidden="1">
      <c r="A368" s="6">
        <v>46107</v>
      </c>
      <c r="B368" s="3">
        <v>2026</v>
      </c>
      <c r="C368" s="3" t="s">
        <v>2963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20"/>
        <v>24</v>
      </c>
      <c r="R368" s="53" t="str">
        <f t="shared" si="21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3">
        <f t="shared" si="19"/>
        <v>41</v>
      </c>
      <c r="Z368" s="18">
        <v>46148</v>
      </c>
      <c r="AA368" s="15"/>
      <c r="AB368" s="15"/>
    </row>
    <row r="369" spans="1:28" hidden="1">
      <c r="A369" s="6">
        <v>46107</v>
      </c>
      <c r="B369" s="3">
        <v>2026</v>
      </c>
      <c r="C369" s="3" t="s">
        <v>2963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20"/>
        <v>24</v>
      </c>
      <c r="R369" s="53" t="str">
        <f t="shared" si="21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3">
        <f t="shared" si="19"/>
        <v>41</v>
      </c>
      <c r="Z369" s="18">
        <v>46148</v>
      </c>
      <c r="AA369" s="15"/>
      <c r="AB369" s="15"/>
    </row>
    <row r="370" spans="1:28" hidden="1">
      <c r="A370" s="6">
        <v>46107</v>
      </c>
      <c r="B370" s="3">
        <v>2026</v>
      </c>
      <c r="C370" s="3" t="s">
        <v>2963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20"/>
        <v>24</v>
      </c>
      <c r="R370" s="53" t="str">
        <f t="shared" si="21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3">
        <f t="shared" si="19"/>
        <v>41</v>
      </c>
      <c r="Z370" s="18">
        <v>46148</v>
      </c>
      <c r="AA370" s="15"/>
      <c r="AB370" s="15"/>
    </row>
    <row r="371" spans="1:28" hidden="1">
      <c r="A371" s="6">
        <v>46107</v>
      </c>
      <c r="B371" s="3">
        <v>2026</v>
      </c>
      <c r="C371" s="3" t="s">
        <v>2963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20"/>
        <v>24</v>
      </c>
      <c r="R371" s="53" t="str">
        <f t="shared" si="21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3">
        <f t="shared" si="19"/>
        <v>41</v>
      </c>
      <c r="Z371" s="18">
        <v>46148</v>
      </c>
      <c r="AA371" s="15"/>
      <c r="AB371" s="15"/>
    </row>
    <row r="372" spans="1:28" hidden="1">
      <c r="A372" s="6">
        <v>46107</v>
      </c>
      <c r="B372" s="3">
        <v>2026</v>
      </c>
      <c r="C372" s="3" t="s">
        <v>2963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20"/>
        <v>24</v>
      </c>
      <c r="R372" s="53" t="str">
        <f t="shared" si="21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3">
        <f t="shared" si="19"/>
        <v>41</v>
      </c>
      <c r="Z372" s="18">
        <v>46148</v>
      </c>
      <c r="AA372" s="15"/>
      <c r="AB372" s="15"/>
    </row>
    <row r="373" spans="1:28" hidden="1">
      <c r="A373" s="6">
        <v>46107</v>
      </c>
      <c r="B373" s="3">
        <v>2026</v>
      </c>
      <c r="C373" s="3" t="s">
        <v>2963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20"/>
        <v>24</v>
      </c>
      <c r="R373" s="53" t="str">
        <f t="shared" si="21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3">
        <f t="shared" si="19"/>
        <v>41</v>
      </c>
      <c r="Z373" s="18">
        <v>46148</v>
      </c>
      <c r="AA373" s="15"/>
      <c r="AB373" s="15"/>
    </row>
    <row r="374" spans="1:28" hidden="1">
      <c r="A374" s="6">
        <v>46107</v>
      </c>
      <c r="B374" s="3">
        <v>2026</v>
      </c>
      <c r="C374" s="3" t="s">
        <v>2963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20"/>
        <v>24</v>
      </c>
      <c r="R374" s="53" t="str">
        <f t="shared" si="21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3">
        <f t="shared" si="19"/>
        <v>41</v>
      </c>
      <c r="Z374" s="18">
        <v>46148</v>
      </c>
      <c r="AA374" s="15"/>
      <c r="AB374" s="15"/>
    </row>
    <row r="375" spans="1:28" hidden="1">
      <c r="A375" s="6">
        <v>46107</v>
      </c>
      <c r="B375" s="3">
        <v>2026</v>
      </c>
      <c r="C375" s="3" t="s">
        <v>2963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20"/>
        <v>24</v>
      </c>
      <c r="R375" s="53" t="str">
        <f t="shared" si="21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3">
        <f t="shared" si="19"/>
        <v>41</v>
      </c>
      <c r="Z375" s="18">
        <v>46148</v>
      </c>
      <c r="AA375" s="15"/>
      <c r="AB375" s="15"/>
    </row>
    <row r="376" spans="1:28" hidden="1">
      <c r="A376" s="6">
        <v>46107</v>
      </c>
      <c r="B376" s="3">
        <v>2026</v>
      </c>
      <c r="C376" s="3" t="s">
        <v>2963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20"/>
        <v>24</v>
      </c>
      <c r="R376" s="53" t="str">
        <f t="shared" si="21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3">
        <f t="shared" si="19"/>
        <v>41</v>
      </c>
      <c r="Z376" s="18">
        <v>46148</v>
      </c>
      <c r="AA376" s="15"/>
      <c r="AB376" s="15"/>
    </row>
    <row r="377" spans="1:28" hidden="1">
      <c r="A377" s="6">
        <v>46107</v>
      </c>
      <c r="B377" s="3">
        <v>2026</v>
      </c>
      <c r="C377" s="3" t="s">
        <v>2963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20"/>
        <v>24</v>
      </c>
      <c r="R377" s="53" t="str">
        <f t="shared" si="21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3">
        <f t="shared" si="19"/>
        <v>41</v>
      </c>
      <c r="Z377" s="18">
        <v>46148</v>
      </c>
      <c r="AA377" s="15"/>
      <c r="AB377" s="15"/>
    </row>
    <row r="378" spans="1:28" hidden="1">
      <c r="A378" s="6">
        <v>46107</v>
      </c>
      <c r="B378" s="3">
        <v>2026</v>
      </c>
      <c r="C378" s="3" t="s">
        <v>2963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20"/>
        <v>24</v>
      </c>
      <c r="R378" s="53" t="str">
        <f t="shared" si="21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3">
        <f t="shared" si="19"/>
        <v>41</v>
      </c>
      <c r="Z378" s="18">
        <v>46148</v>
      </c>
      <c r="AA378" s="15"/>
      <c r="AB378" s="15"/>
    </row>
    <row r="379" spans="1:28" hidden="1">
      <c r="A379" s="6">
        <v>46107</v>
      </c>
      <c r="B379" s="3">
        <v>2026</v>
      </c>
      <c r="C379" s="3" t="s">
        <v>2963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20"/>
        <v>24</v>
      </c>
      <c r="R379" s="53" t="str">
        <f t="shared" si="21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3">
        <f t="shared" si="19"/>
        <v>41</v>
      </c>
      <c r="Z379" s="18">
        <v>46148</v>
      </c>
      <c r="AA379" s="15"/>
      <c r="AB379" s="15"/>
    </row>
    <row r="380" spans="1:28" hidden="1">
      <c r="A380" s="6">
        <v>46107</v>
      </c>
      <c r="B380" s="3">
        <v>2026</v>
      </c>
      <c r="C380" s="3" t="s">
        <v>2963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20"/>
        <v>24</v>
      </c>
      <c r="R380" s="53" t="str">
        <f t="shared" si="21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3">
        <f t="shared" si="19"/>
        <v>41</v>
      </c>
      <c r="Z380" s="18">
        <v>46148</v>
      </c>
      <c r="AA380" s="15"/>
      <c r="AB380" s="15"/>
    </row>
    <row r="381" spans="1:28" hidden="1">
      <c r="A381" s="6">
        <v>46107</v>
      </c>
      <c r="B381" s="3">
        <v>2026</v>
      </c>
      <c r="C381" s="3" t="s">
        <v>2963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20"/>
        <v>24</v>
      </c>
      <c r="R381" s="53" t="str">
        <f t="shared" si="21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3">
        <f t="shared" si="19"/>
        <v>41</v>
      </c>
      <c r="Z381" s="18">
        <v>46148</v>
      </c>
      <c r="AA381" s="15"/>
      <c r="AB381" s="15"/>
    </row>
    <row r="382" spans="1:28" hidden="1">
      <c r="A382" s="6">
        <v>46107</v>
      </c>
      <c r="B382" s="3">
        <v>2026</v>
      </c>
      <c r="C382" s="3" t="s">
        <v>2963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20"/>
        <v>24</v>
      </c>
      <c r="R382" s="53" t="str">
        <f t="shared" si="21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3">
        <f t="shared" si="19"/>
        <v>41</v>
      </c>
      <c r="Z382" s="18">
        <v>46148</v>
      </c>
      <c r="AA382" s="15"/>
      <c r="AB382" s="15"/>
    </row>
    <row r="383" spans="1:28" hidden="1">
      <c r="A383" s="6">
        <v>46107</v>
      </c>
      <c r="B383" s="3">
        <v>2026</v>
      </c>
      <c r="C383" s="3" t="s">
        <v>2963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20"/>
        <v>24</v>
      </c>
      <c r="R383" s="53" t="str">
        <f t="shared" si="21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3">
        <f t="shared" si="19"/>
        <v>41</v>
      </c>
      <c r="Z383" s="18">
        <v>46148</v>
      </c>
      <c r="AA383" s="15"/>
      <c r="AB383" s="15"/>
    </row>
    <row r="384" spans="1:28" hidden="1">
      <c r="A384" s="6">
        <v>46107</v>
      </c>
      <c r="B384" s="3">
        <v>2026</v>
      </c>
      <c r="C384" s="3" t="s">
        <v>2963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20"/>
        <v>24</v>
      </c>
      <c r="R384" s="53" t="str">
        <f t="shared" si="21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3">
        <f t="shared" si="19"/>
        <v>41</v>
      </c>
      <c r="Z384" s="18">
        <v>46148</v>
      </c>
      <c r="AA384" s="15"/>
      <c r="AB384" s="15"/>
    </row>
    <row r="385" spans="1:28" hidden="1">
      <c r="A385" s="6">
        <v>46107</v>
      </c>
      <c r="B385" s="3">
        <v>2026</v>
      </c>
      <c r="C385" s="3" t="s">
        <v>2963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20"/>
        <v>24</v>
      </c>
      <c r="R385" s="53" t="str">
        <f t="shared" si="21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3">
        <f t="shared" si="19"/>
        <v>41</v>
      </c>
      <c r="Z385" s="18">
        <v>46148</v>
      </c>
      <c r="AA385" s="15"/>
      <c r="AB385" s="15"/>
    </row>
    <row r="386" spans="1:28" hidden="1">
      <c r="A386" s="6">
        <v>46107</v>
      </c>
      <c r="B386" s="3">
        <v>2026</v>
      </c>
      <c r="C386" s="3" t="s">
        <v>2963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20"/>
        <v>24</v>
      </c>
      <c r="R386" s="53" t="str">
        <f t="shared" si="21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3">
        <f t="shared" ref="Y386:Y449" si="22">X386-A386</f>
        <v>41</v>
      </c>
      <c r="Z386" s="18">
        <v>46148</v>
      </c>
      <c r="AA386" s="15"/>
      <c r="AB386" s="15"/>
    </row>
    <row r="387" spans="1:28" hidden="1">
      <c r="A387" s="6">
        <v>46107</v>
      </c>
      <c r="B387" s="3">
        <v>2026</v>
      </c>
      <c r="C387" s="3" t="s">
        <v>2963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20"/>
        <v>24</v>
      </c>
      <c r="R387" s="53" t="str">
        <f t="shared" si="21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3">
        <f t="shared" si="22"/>
        <v>41</v>
      </c>
      <c r="Z387" s="18">
        <v>46148</v>
      </c>
      <c r="AA387" s="15"/>
      <c r="AB387" s="15"/>
    </row>
    <row r="388" spans="1:28" hidden="1">
      <c r="A388" s="6">
        <v>46107</v>
      </c>
      <c r="B388" s="3">
        <v>2026</v>
      </c>
      <c r="C388" s="3" t="s">
        <v>2963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20"/>
        <v>24</v>
      </c>
      <c r="R388" s="53" t="str">
        <f t="shared" si="21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3">
        <f t="shared" si="22"/>
        <v>41</v>
      </c>
      <c r="Z388" s="18">
        <v>46148</v>
      </c>
      <c r="AA388" s="15"/>
      <c r="AB388" s="15"/>
    </row>
    <row r="389" spans="1:28" hidden="1">
      <c r="A389" s="6">
        <v>46107</v>
      </c>
      <c r="B389" s="3">
        <v>2026</v>
      </c>
      <c r="C389" s="3" t="s">
        <v>2963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20"/>
        <v>24</v>
      </c>
      <c r="R389" s="53" t="str">
        <f t="shared" si="21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3">
        <f t="shared" si="22"/>
        <v>41</v>
      </c>
      <c r="Z389" s="18">
        <v>46148</v>
      </c>
      <c r="AA389" s="15"/>
      <c r="AB389" s="15"/>
    </row>
    <row r="390" spans="1:28" hidden="1">
      <c r="A390" s="6">
        <v>46107</v>
      </c>
      <c r="B390" s="3">
        <v>2026</v>
      </c>
      <c r="C390" s="3" t="s">
        <v>2963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20"/>
        <v>24</v>
      </c>
      <c r="R390" s="53" t="str">
        <f t="shared" si="21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3">
        <f t="shared" si="22"/>
        <v>41</v>
      </c>
      <c r="Z390" s="18">
        <v>46148</v>
      </c>
      <c r="AA390" s="15"/>
      <c r="AB390" s="15"/>
    </row>
    <row r="391" spans="1:28" hidden="1">
      <c r="A391" s="6">
        <v>46107</v>
      </c>
      <c r="B391" s="3">
        <v>2026</v>
      </c>
      <c r="C391" s="3" t="s">
        <v>2963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20"/>
        <v>24</v>
      </c>
      <c r="R391" s="53" t="str">
        <f t="shared" si="21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3">
        <f t="shared" si="22"/>
        <v>41</v>
      </c>
      <c r="Z391" s="18">
        <v>46148</v>
      </c>
      <c r="AA391" s="15"/>
      <c r="AB391" s="15"/>
    </row>
    <row r="392" spans="1:28" hidden="1">
      <c r="A392" s="6">
        <v>46107</v>
      </c>
      <c r="B392" s="3">
        <v>2026</v>
      </c>
      <c r="C392" s="3" t="s">
        <v>2963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20"/>
        <v>24</v>
      </c>
      <c r="R392" s="53" t="str">
        <f t="shared" si="21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3">
        <f t="shared" si="22"/>
        <v>41</v>
      </c>
      <c r="Z392" s="18">
        <v>46148</v>
      </c>
      <c r="AA392" s="15"/>
      <c r="AB392" s="15"/>
    </row>
    <row r="393" spans="1:28" hidden="1">
      <c r="A393" s="6">
        <v>46107</v>
      </c>
      <c r="B393" s="3">
        <v>2026</v>
      </c>
      <c r="C393" s="3" t="s">
        <v>2963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20"/>
        <v>24</v>
      </c>
      <c r="R393" s="53" t="str">
        <f t="shared" si="21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3">
        <f t="shared" si="22"/>
        <v>41</v>
      </c>
      <c r="Z393" s="18">
        <v>46148</v>
      </c>
      <c r="AA393" s="15"/>
      <c r="AB393" s="15"/>
    </row>
    <row r="394" spans="1:28" hidden="1">
      <c r="A394" s="6">
        <v>46107</v>
      </c>
      <c r="B394" s="3">
        <v>2026</v>
      </c>
      <c r="C394" s="3" t="s">
        <v>2963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20"/>
        <v>24</v>
      </c>
      <c r="R394" s="53" t="str">
        <f t="shared" si="21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3">
        <f t="shared" si="22"/>
        <v>41</v>
      </c>
      <c r="Z394" s="18">
        <v>46148</v>
      </c>
      <c r="AA394" s="15"/>
      <c r="AB394" s="15"/>
    </row>
    <row r="395" spans="1:28" hidden="1">
      <c r="A395" s="6">
        <v>46107</v>
      </c>
      <c r="B395" s="3">
        <v>2026</v>
      </c>
      <c r="C395" s="3" t="s">
        <v>2963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20"/>
        <v>24</v>
      </c>
      <c r="R395" s="53" t="str">
        <f t="shared" si="21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3">
        <f t="shared" si="22"/>
        <v>41</v>
      </c>
      <c r="Z395" s="18">
        <v>46148</v>
      </c>
      <c r="AA395" s="15"/>
      <c r="AB395" s="15"/>
    </row>
    <row r="396" spans="1:28" hidden="1">
      <c r="A396" s="6">
        <v>46107</v>
      </c>
      <c r="B396" s="3">
        <v>2026</v>
      </c>
      <c r="C396" s="3" t="s">
        <v>2963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20"/>
        <v>24</v>
      </c>
      <c r="R396" s="53" t="str">
        <f t="shared" si="21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3">
        <f t="shared" si="22"/>
        <v>41</v>
      </c>
      <c r="Z396" s="18">
        <v>46148</v>
      </c>
      <c r="AA396" s="15"/>
      <c r="AB396" s="15"/>
    </row>
    <row r="397" spans="1:28" hidden="1">
      <c r="A397" s="6">
        <v>46107</v>
      </c>
      <c r="B397" s="3">
        <v>2026</v>
      </c>
      <c r="C397" s="3" t="s">
        <v>2963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20"/>
        <v>24</v>
      </c>
      <c r="R397" s="53" t="str">
        <f t="shared" si="21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3">
        <f t="shared" si="22"/>
        <v>41</v>
      </c>
      <c r="Z397" s="18">
        <v>46148</v>
      </c>
      <c r="AA397" s="15"/>
      <c r="AB397" s="15"/>
    </row>
    <row r="398" spans="1:28" hidden="1">
      <c r="A398" s="6">
        <v>46107</v>
      </c>
      <c r="B398" s="3">
        <v>2026</v>
      </c>
      <c r="C398" s="3" t="s">
        <v>2963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20"/>
        <v>24</v>
      </c>
      <c r="R398" s="53" t="str">
        <f t="shared" si="21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3">
        <f t="shared" si="22"/>
        <v>41</v>
      </c>
      <c r="Z398" s="18">
        <v>46148</v>
      </c>
      <c r="AA398" s="15"/>
      <c r="AB398" s="15"/>
    </row>
    <row r="399" spans="1:28" hidden="1">
      <c r="A399" s="6">
        <v>46107</v>
      </c>
      <c r="B399" s="3">
        <v>2026</v>
      </c>
      <c r="C399" s="3" t="s">
        <v>2963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20"/>
        <v>24</v>
      </c>
      <c r="R399" s="53" t="str">
        <f t="shared" si="21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3">
        <f t="shared" si="22"/>
        <v>41</v>
      </c>
      <c r="Z399" s="18">
        <v>46148</v>
      </c>
      <c r="AA399" s="15"/>
      <c r="AB399" s="15"/>
    </row>
    <row r="400" spans="1:28" hidden="1">
      <c r="A400" s="6">
        <v>46107</v>
      </c>
      <c r="B400" s="3">
        <v>2026</v>
      </c>
      <c r="C400" s="3" t="s">
        <v>2963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20"/>
        <v>24</v>
      </c>
      <c r="R400" s="53" t="str">
        <f t="shared" si="21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3">
        <f t="shared" si="22"/>
        <v>41</v>
      </c>
      <c r="Z400" s="18">
        <v>46148</v>
      </c>
      <c r="AA400" s="15"/>
      <c r="AB400" s="15"/>
    </row>
    <row r="401" spans="1:28" hidden="1">
      <c r="A401" s="6">
        <v>46107</v>
      </c>
      <c r="B401" s="3">
        <v>2026</v>
      </c>
      <c r="C401" s="3" t="s">
        <v>2963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20"/>
        <v>24</v>
      </c>
      <c r="R401" s="53" t="str">
        <f t="shared" si="21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3">
        <f t="shared" si="22"/>
        <v>41</v>
      </c>
      <c r="Z401" s="18">
        <v>46148</v>
      </c>
      <c r="AA401" s="15"/>
      <c r="AB401" s="15"/>
    </row>
    <row r="402" spans="1:28" hidden="1">
      <c r="A402" s="6">
        <v>46107</v>
      </c>
      <c r="B402" s="3">
        <v>2026</v>
      </c>
      <c r="C402" s="3" t="s">
        <v>2963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20"/>
        <v>24</v>
      </c>
      <c r="R402" s="53" t="str">
        <f t="shared" si="21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3">
        <f t="shared" si="22"/>
        <v>41</v>
      </c>
      <c r="Z402" s="18">
        <v>46148</v>
      </c>
      <c r="AA402" s="15"/>
      <c r="AB402" s="15"/>
    </row>
    <row r="403" spans="1:28" hidden="1">
      <c r="A403" s="6">
        <v>46107</v>
      </c>
      <c r="B403" s="3">
        <v>2026</v>
      </c>
      <c r="C403" s="3" t="s">
        <v>2963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20"/>
        <v>24</v>
      </c>
      <c r="R403" s="53" t="str">
        <f t="shared" si="21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3">
        <f t="shared" si="22"/>
        <v>41</v>
      </c>
      <c r="Z403" s="18">
        <v>46148</v>
      </c>
      <c r="AA403" s="15"/>
      <c r="AB403" s="15"/>
    </row>
    <row r="404" spans="1:28" hidden="1">
      <c r="A404" s="6">
        <v>46107</v>
      </c>
      <c r="B404" s="3">
        <v>2026</v>
      </c>
      <c r="C404" s="3" t="s">
        <v>2963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20"/>
        <v>24</v>
      </c>
      <c r="R404" s="53" t="str">
        <f t="shared" si="21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3">
        <f t="shared" si="22"/>
        <v>41</v>
      </c>
      <c r="Z404" s="18">
        <v>46148</v>
      </c>
      <c r="AA404" s="15"/>
      <c r="AB404" s="15"/>
    </row>
    <row r="405" spans="1:28" hidden="1">
      <c r="A405" s="6">
        <v>46107</v>
      </c>
      <c r="B405" s="3">
        <v>2026</v>
      </c>
      <c r="C405" s="3" t="s">
        <v>2963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20"/>
        <v>24</v>
      </c>
      <c r="R405" s="53" t="str">
        <f t="shared" si="21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3">
        <f t="shared" si="22"/>
        <v>41</v>
      </c>
      <c r="Z405" s="18">
        <v>46148</v>
      </c>
      <c r="AA405" s="15"/>
      <c r="AB405" s="15"/>
    </row>
    <row r="406" spans="1:28" hidden="1">
      <c r="A406" s="6">
        <v>46107</v>
      </c>
      <c r="B406" s="3">
        <v>2026</v>
      </c>
      <c r="C406" s="3" t="s">
        <v>2963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20"/>
        <v>24</v>
      </c>
      <c r="R406" s="53" t="str">
        <f t="shared" si="21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3">
        <f t="shared" si="22"/>
        <v>41</v>
      </c>
      <c r="Z406" s="18">
        <v>46148</v>
      </c>
      <c r="AA406" s="15"/>
      <c r="AB406" s="15"/>
    </row>
    <row r="407" spans="1:28" hidden="1">
      <c r="A407" s="6">
        <v>46107</v>
      </c>
      <c r="B407" s="3">
        <v>2026</v>
      </c>
      <c r="C407" s="3" t="s">
        <v>2963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20"/>
        <v>24</v>
      </c>
      <c r="R407" s="53" t="str">
        <f t="shared" si="21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3">
        <f t="shared" si="22"/>
        <v>41</v>
      </c>
      <c r="Z407" s="18">
        <v>46148</v>
      </c>
      <c r="AA407" s="15"/>
      <c r="AB407" s="15"/>
    </row>
    <row r="408" spans="1:28" hidden="1">
      <c r="A408" s="6">
        <v>46107</v>
      </c>
      <c r="B408" s="3">
        <v>2026</v>
      </c>
      <c r="C408" s="3" t="s">
        <v>2963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20"/>
        <v>24</v>
      </c>
      <c r="R408" s="53" t="str">
        <f t="shared" si="21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3">
        <f t="shared" si="22"/>
        <v>41</v>
      </c>
      <c r="Z408" s="18">
        <v>46148</v>
      </c>
      <c r="AA408" s="15"/>
      <c r="AB408" s="15"/>
    </row>
    <row r="409" spans="1:28" hidden="1">
      <c r="A409" s="6">
        <v>46107</v>
      </c>
      <c r="B409" s="3">
        <v>2026</v>
      </c>
      <c r="C409" s="3" t="s">
        <v>2963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20"/>
        <v>24</v>
      </c>
      <c r="R409" s="53" t="str">
        <f t="shared" si="21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3">
        <f t="shared" si="22"/>
        <v>41</v>
      </c>
      <c r="Z409" s="18">
        <v>46148</v>
      </c>
      <c r="AA409" s="15"/>
      <c r="AB409" s="15"/>
    </row>
    <row r="410" spans="1:28" hidden="1">
      <c r="A410" s="6">
        <v>46107</v>
      </c>
      <c r="B410" s="3">
        <v>2026</v>
      </c>
      <c r="C410" s="3" t="s">
        <v>2963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20"/>
        <v>24</v>
      </c>
      <c r="R410" s="53" t="str">
        <f t="shared" si="21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3">
        <f t="shared" si="22"/>
        <v>41</v>
      </c>
      <c r="Z410" s="18">
        <v>46148</v>
      </c>
      <c r="AA410" s="15"/>
      <c r="AB410" s="15"/>
    </row>
    <row r="411" spans="1:28" hidden="1">
      <c r="A411" s="6">
        <v>46107</v>
      </c>
      <c r="B411" s="3">
        <v>2026</v>
      </c>
      <c r="C411" s="3" t="s">
        <v>2963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20"/>
        <v>24</v>
      </c>
      <c r="R411" s="53" t="str">
        <f t="shared" si="21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3">
        <f t="shared" si="22"/>
        <v>41</v>
      </c>
      <c r="Z411" s="18">
        <v>46148</v>
      </c>
      <c r="AA411" s="15"/>
      <c r="AB411" s="15"/>
    </row>
    <row r="412" spans="1:28" hidden="1">
      <c r="A412" s="6">
        <v>46107</v>
      </c>
      <c r="B412" s="3">
        <v>2026</v>
      </c>
      <c r="C412" s="3" t="s">
        <v>2963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20"/>
        <v>24</v>
      </c>
      <c r="R412" s="53" t="str">
        <f t="shared" si="21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3">
        <f t="shared" si="22"/>
        <v>41</v>
      </c>
      <c r="Z412" s="18">
        <v>46148</v>
      </c>
      <c r="AA412" s="15"/>
      <c r="AB412" s="15"/>
    </row>
    <row r="413" spans="1:28" hidden="1">
      <c r="A413" s="6">
        <v>46107</v>
      </c>
      <c r="B413" s="3">
        <v>2026</v>
      </c>
      <c r="C413" s="3" t="s">
        <v>2963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20"/>
        <v>24</v>
      </c>
      <c r="R413" s="53" t="str">
        <f t="shared" si="21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3">
        <f t="shared" si="22"/>
        <v>41</v>
      </c>
      <c r="Z413" s="18">
        <v>46148</v>
      </c>
      <c r="AA413" s="15"/>
      <c r="AB413" s="15"/>
    </row>
    <row r="414" spans="1:28" hidden="1">
      <c r="A414" s="6">
        <v>46107</v>
      </c>
      <c r="B414" s="3">
        <v>2026</v>
      </c>
      <c r="C414" s="3" t="s">
        <v>2963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20"/>
        <v>24</v>
      </c>
      <c r="R414" s="53" t="str">
        <f t="shared" si="21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3">
        <f t="shared" si="22"/>
        <v>41</v>
      </c>
      <c r="Z414" s="18">
        <v>46148</v>
      </c>
      <c r="AA414" s="15"/>
      <c r="AB414" s="15"/>
    </row>
    <row r="415" spans="1:28" hidden="1">
      <c r="A415" s="6">
        <v>46107</v>
      </c>
      <c r="B415" s="3">
        <v>2026</v>
      </c>
      <c r="C415" s="3" t="s">
        <v>2963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20"/>
        <v>24</v>
      </c>
      <c r="R415" s="53" t="str">
        <f t="shared" si="21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3">
        <f t="shared" si="22"/>
        <v>41</v>
      </c>
      <c r="Z415" s="18">
        <v>46148</v>
      </c>
      <c r="AA415" s="15"/>
      <c r="AB415" s="15"/>
    </row>
    <row r="416" spans="1:28" hidden="1">
      <c r="A416" s="6">
        <v>46107</v>
      </c>
      <c r="B416" s="3">
        <v>2026</v>
      </c>
      <c r="C416" s="3" t="s">
        <v>2963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20"/>
        <v>24</v>
      </c>
      <c r="R416" s="53" t="str">
        <f t="shared" si="21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3">
        <f t="shared" si="22"/>
        <v>41</v>
      </c>
      <c r="Z416" s="18">
        <v>46148</v>
      </c>
      <c r="AA416" s="15"/>
      <c r="AB416" s="15"/>
    </row>
    <row r="417" spans="1:28" hidden="1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74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20"/>
        <v>22</v>
      </c>
      <c r="R417" s="53" t="str">
        <f t="shared" si="21"/>
        <v>12</v>
      </c>
      <c r="S417" s="3" t="s">
        <v>199</v>
      </c>
      <c r="T417" s="3" t="s">
        <v>40</v>
      </c>
      <c r="U417" s="9" t="s">
        <v>272</v>
      </c>
      <c r="V417" s="3" t="s">
        <v>64</v>
      </c>
      <c r="W417" s="3" t="s">
        <v>74</v>
      </c>
      <c r="X417" s="5"/>
      <c r="Y417" s="3">
        <f t="shared" si="22"/>
        <v>-46106</v>
      </c>
      <c r="Z417" s="18">
        <v>46148</v>
      </c>
      <c r="AA417" s="15"/>
      <c r="AB417" s="15"/>
    </row>
    <row r="418" spans="1:28" hidden="1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74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20"/>
        <v>23</v>
      </c>
      <c r="R418" s="53" t="str">
        <f t="shared" si="21"/>
        <v>01</v>
      </c>
      <c r="S418" s="3" t="s">
        <v>199</v>
      </c>
      <c r="T418" s="3" t="s">
        <v>40</v>
      </c>
      <c r="U418" s="9" t="s">
        <v>272</v>
      </c>
      <c r="V418" s="3" t="s">
        <v>64</v>
      </c>
      <c r="W418" s="3" t="s">
        <v>74</v>
      </c>
      <c r="X418" s="5"/>
      <c r="Y418" s="3">
        <f t="shared" si="22"/>
        <v>-46106</v>
      </c>
      <c r="Z418" s="18">
        <v>46148</v>
      </c>
      <c r="AA418" s="15"/>
      <c r="AB418" s="15"/>
    </row>
    <row r="419" spans="1:28" hidden="1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74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20"/>
        <v>23</v>
      </c>
      <c r="R419" s="53" t="str">
        <f t="shared" si="21"/>
        <v>01</v>
      </c>
      <c r="S419" s="3" t="s">
        <v>199</v>
      </c>
      <c r="T419" s="3" t="s">
        <v>40</v>
      </c>
      <c r="U419" s="9" t="s">
        <v>113</v>
      </c>
      <c r="V419" s="3" t="s">
        <v>64</v>
      </c>
      <c r="W419" s="3" t="s">
        <v>74</v>
      </c>
      <c r="X419" s="5"/>
      <c r="Y419" s="3">
        <f t="shared" si="22"/>
        <v>-46106</v>
      </c>
      <c r="Z419" s="18">
        <v>46148</v>
      </c>
      <c r="AA419" s="15"/>
      <c r="AB419" s="15"/>
    </row>
    <row r="420" spans="1:28" hidden="1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74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20"/>
        <v>22</v>
      </c>
      <c r="R420" s="53" t="str">
        <f t="shared" si="21"/>
        <v>12</v>
      </c>
      <c r="S420" s="3" t="s">
        <v>199</v>
      </c>
      <c r="T420" s="3" t="s">
        <v>40</v>
      </c>
      <c r="U420" s="9" t="s">
        <v>272</v>
      </c>
      <c r="V420" s="3" t="s">
        <v>64</v>
      </c>
      <c r="W420" s="3" t="s">
        <v>74</v>
      </c>
      <c r="X420" s="5"/>
      <c r="Y420" s="3">
        <f t="shared" si="22"/>
        <v>-46106</v>
      </c>
      <c r="Z420" s="18">
        <v>46148</v>
      </c>
      <c r="AA420" s="15"/>
      <c r="AB420" s="15"/>
    </row>
    <row r="421" spans="1:28" hidden="1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74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20"/>
        <v>23</v>
      </c>
      <c r="R421" s="53" t="str">
        <f t="shared" si="21"/>
        <v>01</v>
      </c>
      <c r="S421" s="3" t="s">
        <v>199</v>
      </c>
      <c r="T421" s="3" t="s">
        <v>40</v>
      </c>
      <c r="U421" s="9" t="s">
        <v>272</v>
      </c>
      <c r="V421" s="3" t="s">
        <v>64</v>
      </c>
      <c r="W421" s="3" t="s">
        <v>74</v>
      </c>
      <c r="X421" s="5"/>
      <c r="Y421" s="3">
        <f t="shared" si="22"/>
        <v>-46106</v>
      </c>
      <c r="Z421" s="18">
        <v>46148</v>
      </c>
      <c r="AA421" s="15"/>
      <c r="AB421" s="15"/>
    </row>
    <row r="422" spans="1:28" hidden="1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74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20"/>
        <v>22</v>
      </c>
      <c r="R422" s="53" t="str">
        <f t="shared" si="21"/>
        <v>12</v>
      </c>
      <c r="S422" s="3" t="s">
        <v>199</v>
      </c>
      <c r="T422" s="3" t="s">
        <v>40</v>
      </c>
      <c r="U422" s="9" t="s">
        <v>113</v>
      </c>
      <c r="V422" s="3" t="s">
        <v>64</v>
      </c>
      <c r="W422" s="3" t="s">
        <v>74</v>
      </c>
      <c r="X422" s="5"/>
      <c r="Y422" s="3">
        <f t="shared" si="22"/>
        <v>-46106</v>
      </c>
      <c r="Z422" s="18">
        <v>46148</v>
      </c>
      <c r="AA422" s="15"/>
      <c r="AB422" s="15"/>
    </row>
    <row r="423" spans="1:28" hidden="1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74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23">MID(P423,5,2)</f>
        <v>23</v>
      </c>
      <c r="R423" s="53" t="str">
        <f t="shared" ref="R423:R486" si="24">MID(P423,7,2)</f>
        <v>01</v>
      </c>
      <c r="S423" s="3" t="s">
        <v>199</v>
      </c>
      <c r="T423" s="3" t="s">
        <v>40</v>
      </c>
      <c r="U423" s="9" t="s">
        <v>272</v>
      </c>
      <c r="V423" s="3" t="s">
        <v>64</v>
      </c>
      <c r="W423" s="3" t="s">
        <v>74</v>
      </c>
      <c r="X423" s="5"/>
      <c r="Y423" s="3">
        <f t="shared" si="22"/>
        <v>-46106</v>
      </c>
      <c r="Z423" s="18">
        <v>46148</v>
      </c>
      <c r="AA423" s="15"/>
      <c r="AB423" s="15"/>
    </row>
    <row r="424" spans="1:28" hidden="1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74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23"/>
        <v>23</v>
      </c>
      <c r="R424" s="53" t="str">
        <f t="shared" si="24"/>
        <v>01</v>
      </c>
      <c r="S424" s="3" t="s">
        <v>199</v>
      </c>
      <c r="T424" s="3" t="s">
        <v>40</v>
      </c>
      <c r="U424" s="9" t="s">
        <v>272</v>
      </c>
      <c r="V424" s="3" t="s">
        <v>64</v>
      </c>
      <c r="W424" s="3" t="s">
        <v>74</v>
      </c>
      <c r="X424" s="5"/>
      <c r="Y424" s="3">
        <f t="shared" si="22"/>
        <v>-46106</v>
      </c>
      <c r="Z424" s="18">
        <v>46148</v>
      </c>
      <c r="AA424" s="15"/>
      <c r="AB424" s="15"/>
    </row>
    <row r="425" spans="1:28" hidden="1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74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23"/>
        <v>23</v>
      </c>
      <c r="R425" s="53" t="str">
        <f t="shared" si="24"/>
        <v>01</v>
      </c>
      <c r="S425" s="3" t="s">
        <v>199</v>
      </c>
      <c r="T425" s="3" t="s">
        <v>40</v>
      </c>
      <c r="U425" s="9" t="s">
        <v>272</v>
      </c>
      <c r="V425" s="3" t="s">
        <v>64</v>
      </c>
      <c r="W425" s="3" t="s">
        <v>74</v>
      </c>
      <c r="X425" s="5"/>
      <c r="Y425" s="3">
        <f t="shared" si="22"/>
        <v>-46106</v>
      </c>
      <c r="Z425" s="18">
        <v>46148</v>
      </c>
      <c r="AA425" s="15"/>
      <c r="AB425" s="15"/>
    </row>
    <row r="426" spans="1:28" hidden="1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74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23"/>
        <v>23</v>
      </c>
      <c r="R426" s="53" t="str">
        <f t="shared" si="24"/>
        <v>01</v>
      </c>
      <c r="S426" s="3" t="s">
        <v>199</v>
      </c>
      <c r="T426" s="3" t="s">
        <v>40</v>
      </c>
      <c r="U426" s="9" t="s">
        <v>272</v>
      </c>
      <c r="V426" s="3" t="s">
        <v>64</v>
      </c>
      <c r="W426" s="3" t="s">
        <v>74</v>
      </c>
      <c r="X426" s="5"/>
      <c r="Y426" s="3">
        <f t="shared" si="22"/>
        <v>-46106</v>
      </c>
      <c r="Z426" s="18">
        <v>46148</v>
      </c>
      <c r="AA426" s="15"/>
      <c r="AB426" s="15"/>
    </row>
    <row r="427" spans="1:28" hidden="1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74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23"/>
        <v>22</v>
      </c>
      <c r="R427" s="53" t="str">
        <f t="shared" si="24"/>
        <v>12</v>
      </c>
      <c r="S427" s="3" t="s">
        <v>199</v>
      </c>
      <c r="T427" s="3" t="s">
        <v>40</v>
      </c>
      <c r="U427" s="9" t="s">
        <v>113</v>
      </c>
      <c r="V427" s="3" t="s">
        <v>64</v>
      </c>
      <c r="W427" s="3" t="s">
        <v>74</v>
      </c>
      <c r="X427" s="5"/>
      <c r="Y427" s="3">
        <f t="shared" si="22"/>
        <v>-46106</v>
      </c>
      <c r="Z427" s="18">
        <v>46148</v>
      </c>
      <c r="AA427" s="15"/>
      <c r="AB427" s="15"/>
    </row>
    <row r="428" spans="1:28" hidden="1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74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23"/>
        <v>23</v>
      </c>
      <c r="R428" s="53" t="str">
        <f t="shared" si="24"/>
        <v>01</v>
      </c>
      <c r="S428" s="3" t="s">
        <v>199</v>
      </c>
      <c r="T428" s="3" t="s">
        <v>40</v>
      </c>
      <c r="U428" s="9" t="s">
        <v>113</v>
      </c>
      <c r="V428" s="3" t="s">
        <v>64</v>
      </c>
      <c r="W428" s="3" t="s">
        <v>74</v>
      </c>
      <c r="X428" s="5"/>
      <c r="Y428" s="3">
        <f t="shared" si="22"/>
        <v>-46106</v>
      </c>
      <c r="Z428" s="18">
        <v>46148</v>
      </c>
      <c r="AA428" s="15"/>
      <c r="AB428" s="15"/>
    </row>
    <row r="429" spans="1:28" hidden="1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74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23"/>
        <v>22</v>
      </c>
      <c r="R429" s="53" t="str">
        <f t="shared" si="24"/>
        <v>12</v>
      </c>
      <c r="S429" s="3" t="s">
        <v>199</v>
      </c>
      <c r="T429" s="3" t="s">
        <v>40</v>
      </c>
      <c r="U429" s="9" t="s">
        <v>113</v>
      </c>
      <c r="V429" s="3" t="s">
        <v>64</v>
      </c>
      <c r="W429" s="3" t="s">
        <v>74</v>
      </c>
      <c r="X429" s="5"/>
      <c r="Y429" s="3">
        <f t="shared" si="22"/>
        <v>-46106</v>
      </c>
      <c r="Z429" s="18">
        <v>46148</v>
      </c>
      <c r="AA429" s="15"/>
      <c r="AB429" s="15"/>
    </row>
    <row r="430" spans="1:28" hidden="1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74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23"/>
        <v>23</v>
      </c>
      <c r="R430" s="53" t="str">
        <f t="shared" si="24"/>
        <v>01</v>
      </c>
      <c r="S430" s="3" t="s">
        <v>199</v>
      </c>
      <c r="T430" s="3" t="s">
        <v>40</v>
      </c>
      <c r="U430" s="9" t="s">
        <v>272</v>
      </c>
      <c r="V430" s="3" t="s">
        <v>64</v>
      </c>
      <c r="W430" s="3" t="s">
        <v>74</v>
      </c>
      <c r="X430" s="5"/>
      <c r="Y430" s="3">
        <f t="shared" si="22"/>
        <v>-46106</v>
      </c>
      <c r="Z430" s="18">
        <v>46148</v>
      </c>
      <c r="AA430" s="15"/>
      <c r="AB430" s="15"/>
    </row>
    <row r="431" spans="1:28" hidden="1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74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23"/>
        <v>23</v>
      </c>
      <c r="R431" s="53" t="str">
        <f t="shared" si="24"/>
        <v>01</v>
      </c>
      <c r="S431" s="3" t="s">
        <v>199</v>
      </c>
      <c r="T431" s="3" t="s">
        <v>40</v>
      </c>
      <c r="U431" s="9" t="s">
        <v>272</v>
      </c>
      <c r="V431" s="3" t="s">
        <v>64</v>
      </c>
      <c r="W431" s="3" t="s">
        <v>74</v>
      </c>
      <c r="X431" s="5"/>
      <c r="Y431" s="3">
        <f t="shared" si="22"/>
        <v>-46106</v>
      </c>
      <c r="Z431" s="18">
        <v>46148</v>
      </c>
      <c r="AA431" s="15"/>
      <c r="AB431" s="15"/>
    </row>
    <row r="432" spans="1:28" hidden="1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74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23"/>
        <v>23</v>
      </c>
      <c r="R432" s="53" t="str">
        <f t="shared" si="24"/>
        <v>01</v>
      </c>
      <c r="S432" s="3" t="s">
        <v>199</v>
      </c>
      <c r="T432" s="3" t="s">
        <v>40</v>
      </c>
      <c r="U432" s="9" t="s">
        <v>272</v>
      </c>
      <c r="V432" s="3" t="s">
        <v>64</v>
      </c>
      <c r="W432" s="3" t="s">
        <v>74</v>
      </c>
      <c r="X432" s="5"/>
      <c r="Y432" s="3">
        <f t="shared" si="22"/>
        <v>-46106</v>
      </c>
      <c r="Z432" s="18">
        <v>46148</v>
      </c>
      <c r="AA432" s="15"/>
      <c r="AB432" s="15"/>
    </row>
    <row r="433" spans="1:28" hidden="1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74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23"/>
        <v>23</v>
      </c>
      <c r="R433" s="53" t="str">
        <f t="shared" si="24"/>
        <v>01</v>
      </c>
      <c r="S433" s="3" t="s">
        <v>199</v>
      </c>
      <c r="T433" s="3" t="s">
        <v>40</v>
      </c>
      <c r="U433" s="9" t="s">
        <v>113</v>
      </c>
      <c r="V433" s="3" t="s">
        <v>64</v>
      </c>
      <c r="W433" s="3" t="s">
        <v>74</v>
      </c>
      <c r="X433" s="5"/>
      <c r="Y433" s="3">
        <f t="shared" si="22"/>
        <v>-46106</v>
      </c>
      <c r="Z433" s="18">
        <v>46148</v>
      </c>
      <c r="AA433" s="15"/>
      <c r="AB433" s="15"/>
    </row>
    <row r="434" spans="1:28" hidden="1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74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23"/>
        <v>23</v>
      </c>
      <c r="R434" s="53" t="str">
        <f t="shared" si="24"/>
        <v>01</v>
      </c>
      <c r="S434" s="3" t="s">
        <v>199</v>
      </c>
      <c r="T434" s="3" t="s">
        <v>40</v>
      </c>
      <c r="U434" s="9" t="s">
        <v>113</v>
      </c>
      <c r="V434" s="3" t="s">
        <v>64</v>
      </c>
      <c r="W434" s="3" t="s">
        <v>74</v>
      </c>
      <c r="X434" s="5"/>
      <c r="Y434" s="3">
        <f t="shared" si="22"/>
        <v>-46106</v>
      </c>
      <c r="Z434" s="18">
        <v>46148</v>
      </c>
      <c r="AA434" s="15"/>
      <c r="AB434" s="15"/>
    </row>
    <row r="435" spans="1:28" hidden="1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74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23"/>
        <v>24</v>
      </c>
      <c r="R435" s="53" t="str">
        <f t="shared" si="24"/>
        <v>09</v>
      </c>
      <c r="S435" s="3" t="s">
        <v>199</v>
      </c>
      <c r="T435" s="3" t="s">
        <v>40</v>
      </c>
      <c r="U435" s="9" t="s">
        <v>113</v>
      </c>
      <c r="V435" s="3" t="s">
        <v>64</v>
      </c>
      <c r="W435" s="3" t="s">
        <v>74</v>
      </c>
      <c r="X435" s="5"/>
      <c r="Y435" s="3">
        <f t="shared" si="22"/>
        <v>-46106</v>
      </c>
      <c r="Z435" s="18">
        <v>46148</v>
      </c>
      <c r="AA435" s="15"/>
      <c r="AB435" s="15"/>
    </row>
    <row r="436" spans="1:28" hidden="1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74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23"/>
        <v>24</v>
      </c>
      <c r="R436" s="53" t="str">
        <f t="shared" si="24"/>
        <v>09</v>
      </c>
      <c r="S436" s="3" t="s">
        <v>199</v>
      </c>
      <c r="T436" s="3" t="s">
        <v>40</v>
      </c>
      <c r="U436" s="9" t="s">
        <v>113</v>
      </c>
      <c r="V436" s="3" t="s">
        <v>64</v>
      </c>
      <c r="W436" s="3" t="s">
        <v>74</v>
      </c>
      <c r="X436" s="5"/>
      <c r="Y436" s="3">
        <f t="shared" si="22"/>
        <v>-46106</v>
      </c>
      <c r="Z436" s="18">
        <v>46148</v>
      </c>
      <c r="AA436" s="15"/>
      <c r="AB436" s="15"/>
    </row>
    <row r="437" spans="1:28" hidden="1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74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23"/>
        <v>24</v>
      </c>
      <c r="R437" s="53" t="str">
        <f t="shared" si="24"/>
        <v>09</v>
      </c>
      <c r="S437" s="3" t="s">
        <v>199</v>
      </c>
      <c r="T437" s="3" t="s">
        <v>40</v>
      </c>
      <c r="U437" s="9" t="s">
        <v>113</v>
      </c>
      <c r="V437" s="3" t="s">
        <v>64</v>
      </c>
      <c r="W437" s="3" t="s">
        <v>74</v>
      </c>
      <c r="X437" s="5"/>
      <c r="Y437" s="3">
        <f t="shared" si="22"/>
        <v>-46106</v>
      </c>
      <c r="Z437" s="18">
        <v>46148</v>
      </c>
      <c r="AA437" s="15"/>
      <c r="AB437" s="15"/>
    </row>
    <row r="438" spans="1:28" hidden="1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74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23"/>
        <v>24</v>
      </c>
      <c r="R438" s="53" t="str">
        <f t="shared" si="24"/>
        <v>09</v>
      </c>
      <c r="S438" s="3" t="s">
        <v>199</v>
      </c>
      <c r="T438" s="3" t="s">
        <v>40</v>
      </c>
      <c r="U438" s="9" t="s">
        <v>63</v>
      </c>
      <c r="V438" s="3" t="s">
        <v>64</v>
      </c>
      <c r="W438" s="3" t="s">
        <v>74</v>
      </c>
      <c r="X438" s="5"/>
      <c r="Y438" s="3">
        <f t="shared" si="22"/>
        <v>-46106</v>
      </c>
      <c r="Z438" s="18">
        <v>46148</v>
      </c>
      <c r="AA438" s="15"/>
      <c r="AB438" s="15"/>
    </row>
    <row r="439" spans="1:28" hidden="1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74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23"/>
        <v>24</v>
      </c>
      <c r="R439" s="53" t="str">
        <f t="shared" si="24"/>
        <v>09</v>
      </c>
      <c r="S439" s="3" t="s">
        <v>199</v>
      </c>
      <c r="T439" s="3" t="s">
        <v>40</v>
      </c>
      <c r="U439" s="9" t="s">
        <v>272</v>
      </c>
      <c r="V439" s="3" t="s">
        <v>64</v>
      </c>
      <c r="W439" s="3" t="s">
        <v>74</v>
      </c>
      <c r="X439" s="5"/>
      <c r="Y439" s="3">
        <f t="shared" si="22"/>
        <v>-46106</v>
      </c>
      <c r="Z439" s="18">
        <v>46148</v>
      </c>
      <c r="AA439" s="15"/>
      <c r="AB439" s="15"/>
    </row>
    <row r="440" spans="1:28" hidden="1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74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23"/>
        <v>24</v>
      </c>
      <c r="R440" s="53" t="str">
        <f t="shared" si="24"/>
        <v>09</v>
      </c>
      <c r="S440" s="3" t="s">
        <v>199</v>
      </c>
      <c r="T440" s="3" t="s">
        <v>40</v>
      </c>
      <c r="U440" s="9" t="s">
        <v>113</v>
      </c>
      <c r="V440" s="3" t="s">
        <v>64</v>
      </c>
      <c r="W440" s="3" t="s">
        <v>74</v>
      </c>
      <c r="X440" s="5"/>
      <c r="Y440" s="3">
        <f t="shared" si="22"/>
        <v>-46106</v>
      </c>
      <c r="Z440" s="18">
        <v>46148</v>
      </c>
      <c r="AA440" s="15"/>
      <c r="AB440" s="15"/>
    </row>
    <row r="441" spans="1:28" hidden="1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74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23"/>
        <v>24</v>
      </c>
      <c r="R441" s="53" t="str">
        <f t="shared" si="24"/>
        <v>09</v>
      </c>
      <c r="S441" s="3" t="s">
        <v>199</v>
      </c>
      <c r="T441" s="3" t="s">
        <v>40</v>
      </c>
      <c r="U441" s="9" t="s">
        <v>272</v>
      </c>
      <c r="V441" s="3" t="s">
        <v>64</v>
      </c>
      <c r="W441" s="3" t="s">
        <v>74</v>
      </c>
      <c r="X441" s="5"/>
      <c r="Y441" s="3">
        <f t="shared" si="22"/>
        <v>-46106</v>
      </c>
      <c r="Z441" s="18">
        <v>46148</v>
      </c>
      <c r="AA441" s="15"/>
      <c r="AB441" s="15"/>
    </row>
    <row r="442" spans="1:28" hidden="1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74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23"/>
        <v>24</v>
      </c>
      <c r="R442" s="53" t="str">
        <f t="shared" si="24"/>
        <v>09</v>
      </c>
      <c r="S442" s="3" t="s">
        <v>199</v>
      </c>
      <c r="T442" s="3" t="s">
        <v>40</v>
      </c>
      <c r="U442" s="9" t="s">
        <v>272</v>
      </c>
      <c r="V442" s="3" t="s">
        <v>64</v>
      </c>
      <c r="W442" s="3" t="s">
        <v>74</v>
      </c>
      <c r="X442" s="5"/>
      <c r="Y442" s="3">
        <f t="shared" si="22"/>
        <v>-46106</v>
      </c>
      <c r="Z442" s="18">
        <v>46148</v>
      </c>
      <c r="AA442" s="15"/>
      <c r="AB442" s="15"/>
    </row>
    <row r="443" spans="1:28" hidden="1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74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23"/>
        <v>24</v>
      </c>
      <c r="R443" s="53" t="str">
        <f t="shared" si="24"/>
        <v>09</v>
      </c>
      <c r="S443" s="3" t="s">
        <v>199</v>
      </c>
      <c r="T443" s="3" t="s">
        <v>40</v>
      </c>
      <c r="U443" s="9" t="s">
        <v>63</v>
      </c>
      <c r="V443" s="3" t="s">
        <v>64</v>
      </c>
      <c r="W443" s="3" t="s">
        <v>74</v>
      </c>
      <c r="X443" s="5"/>
      <c r="Y443" s="3">
        <f t="shared" si="22"/>
        <v>-46106</v>
      </c>
      <c r="Z443" s="18">
        <v>46148</v>
      </c>
      <c r="AA443" s="15"/>
      <c r="AB443" s="15"/>
    </row>
    <row r="444" spans="1:28" hidden="1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74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23"/>
        <v>24</v>
      </c>
      <c r="R444" s="53" t="str">
        <f t="shared" si="24"/>
        <v>09</v>
      </c>
      <c r="S444" s="3" t="s">
        <v>199</v>
      </c>
      <c r="T444" s="3" t="s">
        <v>40</v>
      </c>
      <c r="U444" s="9" t="s">
        <v>113</v>
      </c>
      <c r="V444" s="3" t="s">
        <v>64</v>
      </c>
      <c r="W444" s="3" t="s">
        <v>74</v>
      </c>
      <c r="X444" s="5"/>
      <c r="Y444" s="3">
        <f t="shared" si="22"/>
        <v>-46106</v>
      </c>
      <c r="Z444" s="18">
        <v>46148</v>
      </c>
      <c r="AA444" s="15"/>
      <c r="AB444" s="15"/>
    </row>
    <row r="445" spans="1:28" hidden="1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74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23"/>
        <v>24</v>
      </c>
      <c r="R445" s="53" t="str">
        <f t="shared" si="24"/>
        <v>09</v>
      </c>
      <c r="S445" s="3" t="s">
        <v>199</v>
      </c>
      <c r="T445" s="3" t="s">
        <v>40</v>
      </c>
      <c r="U445" s="9" t="s">
        <v>113</v>
      </c>
      <c r="V445" s="3" t="s">
        <v>64</v>
      </c>
      <c r="W445" s="3" t="s">
        <v>74</v>
      </c>
      <c r="X445" s="5"/>
      <c r="Y445" s="3">
        <f t="shared" si="22"/>
        <v>-46106</v>
      </c>
      <c r="Z445" s="18">
        <v>46148</v>
      </c>
      <c r="AA445" s="15"/>
      <c r="AB445" s="15"/>
    </row>
    <row r="446" spans="1:28" hidden="1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74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23"/>
        <v>24</v>
      </c>
      <c r="R446" s="53" t="str">
        <f t="shared" si="24"/>
        <v>09</v>
      </c>
      <c r="S446" s="3" t="s">
        <v>199</v>
      </c>
      <c r="T446" s="3" t="s">
        <v>40</v>
      </c>
      <c r="U446" s="9" t="s">
        <v>63</v>
      </c>
      <c r="V446" s="3" t="s">
        <v>64</v>
      </c>
      <c r="W446" s="3" t="s">
        <v>74</v>
      </c>
      <c r="X446" s="5"/>
      <c r="Y446" s="3">
        <f t="shared" si="22"/>
        <v>-46106</v>
      </c>
      <c r="Z446" s="18">
        <v>46148</v>
      </c>
      <c r="AA446" s="15"/>
      <c r="AB446" s="15"/>
    </row>
    <row r="447" spans="1:28" hidden="1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74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23"/>
        <v>23</v>
      </c>
      <c r="R447" s="53" t="str">
        <f t="shared" si="24"/>
        <v>01</v>
      </c>
      <c r="S447" s="3" t="s">
        <v>199</v>
      </c>
      <c r="T447" s="3" t="s">
        <v>40</v>
      </c>
      <c r="U447" s="9" t="s">
        <v>272</v>
      </c>
      <c r="V447" s="3" t="s">
        <v>64</v>
      </c>
      <c r="W447" s="3" t="s">
        <v>74</v>
      </c>
      <c r="X447" s="5"/>
      <c r="Y447" s="3">
        <f t="shared" si="22"/>
        <v>-46106</v>
      </c>
      <c r="Z447" s="18">
        <v>46148</v>
      </c>
      <c r="AA447" s="15"/>
      <c r="AB447" s="15"/>
    </row>
    <row r="448" spans="1:28" hidden="1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74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23"/>
        <v>22</v>
      </c>
      <c r="R448" s="53" t="str">
        <f t="shared" si="24"/>
        <v>12</v>
      </c>
      <c r="S448" s="3" t="s">
        <v>199</v>
      </c>
      <c r="T448" s="3" t="s">
        <v>40</v>
      </c>
      <c r="U448" s="9" t="s">
        <v>272</v>
      </c>
      <c r="V448" s="3" t="s">
        <v>64</v>
      </c>
      <c r="W448" s="3" t="s">
        <v>74</v>
      </c>
      <c r="X448" s="5"/>
      <c r="Y448" s="3">
        <f t="shared" si="22"/>
        <v>-46106</v>
      </c>
      <c r="Z448" s="18">
        <v>46148</v>
      </c>
      <c r="AA448" s="15"/>
      <c r="AB448" s="15"/>
    </row>
    <row r="449" spans="1:28" hidden="1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74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23"/>
        <v>24</v>
      </c>
      <c r="R449" s="53" t="str">
        <f t="shared" si="24"/>
        <v>09</v>
      </c>
      <c r="S449" s="3" t="s">
        <v>199</v>
      </c>
      <c r="T449" s="3" t="s">
        <v>40</v>
      </c>
      <c r="U449" s="9" t="s">
        <v>272</v>
      </c>
      <c r="V449" s="3" t="s">
        <v>64</v>
      </c>
      <c r="W449" s="3" t="s">
        <v>74</v>
      </c>
      <c r="X449" s="5"/>
      <c r="Y449" s="3">
        <f t="shared" si="22"/>
        <v>-46106</v>
      </c>
      <c r="Z449" s="18">
        <v>46148</v>
      </c>
      <c r="AA449" s="15"/>
      <c r="AB449" s="15"/>
    </row>
    <row r="450" spans="1:28" hidden="1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74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23"/>
        <v>22</v>
      </c>
      <c r="R450" s="53" t="str">
        <f t="shared" si="24"/>
        <v>12</v>
      </c>
      <c r="S450" s="3" t="s">
        <v>199</v>
      </c>
      <c r="T450" s="3" t="s">
        <v>40</v>
      </c>
      <c r="U450" s="9" t="s">
        <v>113</v>
      </c>
      <c r="V450" s="3" t="s">
        <v>64</v>
      </c>
      <c r="W450" s="3" t="s">
        <v>74</v>
      </c>
      <c r="X450" s="5"/>
      <c r="Y450" s="3">
        <f t="shared" ref="Y450:Y513" si="25">X450-A450</f>
        <v>-46106</v>
      </c>
      <c r="Z450" s="18">
        <v>46148</v>
      </c>
      <c r="AA450" s="15"/>
      <c r="AB450" s="15"/>
    </row>
    <row r="451" spans="1:28" hidden="1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74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23"/>
        <v>22</v>
      </c>
      <c r="R451" s="53" t="str">
        <f t="shared" si="24"/>
        <v>12</v>
      </c>
      <c r="S451" s="3" t="s">
        <v>199</v>
      </c>
      <c r="T451" s="3" t="s">
        <v>40</v>
      </c>
      <c r="U451" s="9" t="s">
        <v>113</v>
      </c>
      <c r="V451" s="3" t="s">
        <v>64</v>
      </c>
      <c r="W451" s="3" t="s">
        <v>74</v>
      </c>
      <c r="X451" s="5"/>
      <c r="Y451" s="3">
        <f t="shared" si="25"/>
        <v>-46106</v>
      </c>
      <c r="Z451" s="18">
        <v>46149</v>
      </c>
      <c r="AA451" s="15"/>
      <c r="AB451" s="15"/>
    </row>
    <row r="452" spans="1:28" hidden="1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74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23"/>
        <v>23</v>
      </c>
      <c r="R452" s="53" t="str">
        <f t="shared" si="24"/>
        <v>01</v>
      </c>
      <c r="S452" s="3" t="s">
        <v>199</v>
      </c>
      <c r="T452" s="3" t="s">
        <v>40</v>
      </c>
      <c r="U452" s="9" t="s">
        <v>113</v>
      </c>
      <c r="V452" s="3" t="s">
        <v>64</v>
      </c>
      <c r="W452" s="3" t="s">
        <v>74</v>
      </c>
      <c r="X452" s="5"/>
      <c r="Y452" s="3">
        <f t="shared" si="25"/>
        <v>-46106</v>
      </c>
      <c r="Z452" s="18">
        <v>46149</v>
      </c>
      <c r="AA452" s="15"/>
      <c r="AB452" s="15"/>
    </row>
    <row r="453" spans="1:28" hidden="1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74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23"/>
        <v>24</v>
      </c>
      <c r="R453" s="53" t="str">
        <f t="shared" si="24"/>
        <v>09</v>
      </c>
      <c r="S453" s="3" t="s">
        <v>199</v>
      </c>
      <c r="T453" s="3" t="s">
        <v>40</v>
      </c>
      <c r="U453" s="9" t="s">
        <v>113</v>
      </c>
      <c r="V453" s="3" t="s">
        <v>64</v>
      </c>
      <c r="W453" s="3" t="s">
        <v>74</v>
      </c>
      <c r="X453" s="5"/>
      <c r="Y453" s="3">
        <f t="shared" si="25"/>
        <v>-46106</v>
      </c>
      <c r="Z453" s="18">
        <v>46149</v>
      </c>
      <c r="AA453" s="15"/>
      <c r="AB453" s="15"/>
    </row>
    <row r="454" spans="1:28" hidden="1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74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23"/>
        <v>22</v>
      </c>
      <c r="R454" s="53" t="str">
        <f t="shared" si="24"/>
        <v>12</v>
      </c>
      <c r="S454" s="3" t="s">
        <v>199</v>
      </c>
      <c r="T454" s="3" t="s">
        <v>40</v>
      </c>
      <c r="U454" s="9" t="s">
        <v>113</v>
      </c>
      <c r="V454" s="3" t="s">
        <v>64</v>
      </c>
      <c r="W454" s="3" t="s">
        <v>74</v>
      </c>
      <c r="X454" s="5"/>
      <c r="Y454" s="3">
        <f t="shared" si="25"/>
        <v>-46106</v>
      </c>
      <c r="Z454" s="18">
        <v>46149</v>
      </c>
      <c r="AA454" s="15"/>
      <c r="AB454" s="15"/>
    </row>
    <row r="455" spans="1:28" hidden="1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74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23"/>
        <v>23</v>
      </c>
      <c r="R455" s="53" t="str">
        <f t="shared" si="24"/>
        <v>01</v>
      </c>
      <c r="S455" s="3" t="s">
        <v>199</v>
      </c>
      <c r="T455" s="3" t="s">
        <v>40</v>
      </c>
      <c r="U455" s="9" t="s">
        <v>113</v>
      </c>
      <c r="V455" s="3" t="s">
        <v>64</v>
      </c>
      <c r="W455" s="3" t="s">
        <v>74</v>
      </c>
      <c r="X455" s="5"/>
      <c r="Y455" s="3">
        <f t="shared" si="25"/>
        <v>-46106</v>
      </c>
      <c r="Z455" s="18">
        <v>46149</v>
      </c>
      <c r="AA455" s="15"/>
      <c r="AB455" s="15"/>
    </row>
    <row r="456" spans="1:28" hidden="1">
      <c r="A456" s="6">
        <v>46107</v>
      </c>
      <c r="B456" s="3">
        <v>2026</v>
      </c>
      <c r="C456" s="3" t="s">
        <v>2963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23"/>
        <v>24</v>
      </c>
      <c r="R456" s="53" t="str">
        <f t="shared" si="24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3">
        <f t="shared" si="25"/>
        <v>42</v>
      </c>
      <c r="Z456" s="18">
        <v>46149</v>
      </c>
      <c r="AA456" s="15"/>
      <c r="AB456" s="15"/>
    </row>
    <row r="457" spans="1:28" hidden="1">
      <c r="A457" s="6">
        <v>46107</v>
      </c>
      <c r="B457" s="3">
        <v>2026</v>
      </c>
      <c r="C457" s="3" t="s">
        <v>2963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23"/>
        <v>24</v>
      </c>
      <c r="R457" s="53" t="str">
        <f t="shared" si="24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3">
        <f t="shared" si="25"/>
        <v>42</v>
      </c>
      <c r="Z457" s="18">
        <v>46149</v>
      </c>
      <c r="AA457" s="15"/>
      <c r="AB457" s="15"/>
    </row>
    <row r="458" spans="1:28" hidden="1">
      <c r="A458" s="6">
        <v>46107</v>
      </c>
      <c r="B458" s="3">
        <v>2026</v>
      </c>
      <c r="C458" s="3" t="s">
        <v>2963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23"/>
        <v>24</v>
      </c>
      <c r="R458" s="53" t="str">
        <f t="shared" si="24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3">
        <f t="shared" si="25"/>
        <v>42</v>
      </c>
      <c r="Z458" s="18">
        <v>46149</v>
      </c>
      <c r="AA458" s="15"/>
      <c r="AB458" s="15"/>
    </row>
    <row r="459" spans="1:28" hidden="1">
      <c r="A459" s="6">
        <v>46107</v>
      </c>
      <c r="B459" s="3">
        <v>2026</v>
      </c>
      <c r="C459" s="3" t="s">
        <v>2963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23"/>
        <v>24</v>
      </c>
      <c r="R459" s="53" t="str">
        <f t="shared" si="24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3">
        <f t="shared" si="25"/>
        <v>42</v>
      </c>
      <c r="Z459" s="18">
        <v>46149</v>
      </c>
      <c r="AA459" s="15"/>
      <c r="AB459" s="15"/>
    </row>
    <row r="460" spans="1:28" hidden="1">
      <c r="A460" s="6">
        <v>46107</v>
      </c>
      <c r="B460" s="3">
        <v>2026</v>
      </c>
      <c r="C460" s="3" t="s">
        <v>2963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23"/>
        <v>24</v>
      </c>
      <c r="R460" s="53" t="str">
        <f t="shared" si="24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3">
        <f t="shared" si="25"/>
        <v>42</v>
      </c>
      <c r="Z460" s="18">
        <v>46149</v>
      </c>
      <c r="AA460" s="15"/>
      <c r="AB460" s="15"/>
    </row>
    <row r="461" spans="1:28" hidden="1">
      <c r="A461" s="6">
        <v>46107</v>
      </c>
      <c r="B461" s="3">
        <v>2026</v>
      </c>
      <c r="C461" s="3" t="s">
        <v>2963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23"/>
        <v>24</v>
      </c>
      <c r="R461" s="53" t="str">
        <f t="shared" si="24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3">
        <f t="shared" si="25"/>
        <v>42</v>
      </c>
      <c r="Z461" s="18">
        <v>46149</v>
      </c>
      <c r="AA461" s="15"/>
      <c r="AB461" s="15"/>
    </row>
    <row r="462" spans="1:28" hidden="1">
      <c r="A462" s="6">
        <v>46107</v>
      </c>
      <c r="B462" s="3">
        <v>2026</v>
      </c>
      <c r="C462" s="3" t="s">
        <v>2963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23"/>
        <v>24</v>
      </c>
      <c r="R462" s="53" t="str">
        <f t="shared" si="24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3">
        <f t="shared" si="25"/>
        <v>42</v>
      </c>
      <c r="Z462" s="18">
        <v>46149</v>
      </c>
      <c r="AA462" s="15"/>
      <c r="AB462" s="15"/>
    </row>
    <row r="463" spans="1:28" hidden="1">
      <c r="A463" s="6">
        <v>46107</v>
      </c>
      <c r="B463" s="3">
        <v>2026</v>
      </c>
      <c r="C463" s="3" t="s">
        <v>2963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23"/>
        <v>24</v>
      </c>
      <c r="R463" s="53" t="str">
        <f t="shared" si="24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3">
        <f t="shared" si="25"/>
        <v>42</v>
      </c>
      <c r="Z463" s="18">
        <v>46149</v>
      </c>
      <c r="AA463" s="15"/>
      <c r="AB463" s="15"/>
    </row>
    <row r="464" spans="1:28" hidden="1">
      <c r="A464" s="6">
        <v>46107</v>
      </c>
      <c r="B464" s="3">
        <v>2026</v>
      </c>
      <c r="C464" s="3" t="s">
        <v>2963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23"/>
        <v>24</v>
      </c>
      <c r="R464" s="53" t="str">
        <f t="shared" si="24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3">
        <f t="shared" si="25"/>
        <v>42</v>
      </c>
      <c r="Z464" s="18">
        <v>46149</v>
      </c>
      <c r="AA464" s="15"/>
      <c r="AB464" s="15"/>
    </row>
    <row r="465" spans="1:28" hidden="1">
      <c r="A465" s="6">
        <v>46107</v>
      </c>
      <c r="B465" s="3">
        <v>2026</v>
      </c>
      <c r="C465" s="3" t="s">
        <v>2963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23"/>
        <v>24</v>
      </c>
      <c r="R465" s="53" t="str">
        <f t="shared" si="24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3">
        <f t="shared" si="25"/>
        <v>42</v>
      </c>
      <c r="Z465" s="18">
        <v>46149</v>
      </c>
      <c r="AA465" s="15"/>
      <c r="AB465" s="15"/>
    </row>
    <row r="466" spans="1:28" hidden="1">
      <c r="A466" s="6">
        <v>46107</v>
      </c>
      <c r="B466" s="3">
        <v>2026</v>
      </c>
      <c r="C466" s="3" t="s">
        <v>2963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23"/>
        <v>24</v>
      </c>
      <c r="R466" s="53" t="str">
        <f t="shared" si="24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3">
        <f t="shared" si="25"/>
        <v>42</v>
      </c>
      <c r="Z466" s="18">
        <v>46149</v>
      </c>
      <c r="AA466" s="15"/>
      <c r="AB466" s="15"/>
    </row>
    <row r="467" spans="1:28" hidden="1">
      <c r="A467" s="6">
        <v>46107</v>
      </c>
      <c r="B467" s="3">
        <v>2026</v>
      </c>
      <c r="C467" s="3" t="s">
        <v>2963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23"/>
        <v>24</v>
      </c>
      <c r="R467" s="53" t="str">
        <f t="shared" si="24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3">
        <f t="shared" si="25"/>
        <v>42</v>
      </c>
      <c r="Z467" s="18">
        <v>46149</v>
      </c>
      <c r="AA467" s="15"/>
      <c r="AB467" s="15"/>
    </row>
    <row r="468" spans="1:28" hidden="1">
      <c r="A468" s="6">
        <v>46107</v>
      </c>
      <c r="B468" s="3">
        <v>2026</v>
      </c>
      <c r="C468" s="3" t="s">
        <v>2963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23"/>
        <v>24</v>
      </c>
      <c r="R468" s="53" t="str">
        <f t="shared" si="24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3">
        <f t="shared" si="25"/>
        <v>42</v>
      </c>
      <c r="Z468" s="18">
        <v>46149</v>
      </c>
      <c r="AA468" s="15"/>
      <c r="AB468" s="15"/>
    </row>
    <row r="469" spans="1:28" hidden="1">
      <c r="A469" s="6">
        <v>46107</v>
      </c>
      <c r="B469" s="3">
        <v>2026</v>
      </c>
      <c r="C469" s="3" t="s">
        <v>2963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23"/>
        <v>24</v>
      </c>
      <c r="R469" s="53" t="str">
        <f t="shared" si="24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3">
        <f t="shared" si="25"/>
        <v>42</v>
      </c>
      <c r="Z469" s="18">
        <v>46149</v>
      </c>
      <c r="AA469" s="15"/>
      <c r="AB469" s="15"/>
    </row>
    <row r="470" spans="1:28" hidden="1">
      <c r="A470" s="6">
        <v>46107</v>
      </c>
      <c r="B470" s="3">
        <v>2026</v>
      </c>
      <c r="C470" s="3" t="s">
        <v>2963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23"/>
        <v>24</v>
      </c>
      <c r="R470" s="53" t="str">
        <f t="shared" si="24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3">
        <f t="shared" si="25"/>
        <v>42</v>
      </c>
      <c r="Z470" s="18">
        <v>46149</v>
      </c>
      <c r="AA470" s="15"/>
      <c r="AB470" s="15"/>
    </row>
    <row r="471" spans="1:28" hidden="1">
      <c r="A471" s="6">
        <v>46107</v>
      </c>
      <c r="B471" s="3">
        <v>2026</v>
      </c>
      <c r="C471" s="3" t="s">
        <v>2963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23"/>
        <v>24</v>
      </c>
      <c r="R471" s="53" t="str">
        <f t="shared" si="24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3">
        <f t="shared" si="25"/>
        <v>42</v>
      </c>
      <c r="Z471" s="18">
        <v>46149</v>
      </c>
      <c r="AA471" s="15"/>
      <c r="AB471" s="15"/>
    </row>
    <row r="472" spans="1:28" hidden="1">
      <c r="A472" s="6">
        <v>46107</v>
      </c>
      <c r="B472" s="3">
        <v>2026</v>
      </c>
      <c r="C472" s="3" t="s">
        <v>2963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23"/>
        <v>24</v>
      </c>
      <c r="R472" s="53" t="str">
        <f t="shared" si="24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3">
        <f t="shared" si="25"/>
        <v>42</v>
      </c>
      <c r="Z472" s="18">
        <v>46149</v>
      </c>
      <c r="AA472" s="15"/>
      <c r="AB472" s="15"/>
    </row>
    <row r="473" spans="1:28" hidden="1">
      <c r="A473" s="6">
        <v>46107</v>
      </c>
      <c r="B473" s="3">
        <v>2026</v>
      </c>
      <c r="C473" s="3" t="s">
        <v>2963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23"/>
        <v>24</v>
      </c>
      <c r="R473" s="53" t="str">
        <f t="shared" si="24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3">
        <f t="shared" si="25"/>
        <v>42</v>
      </c>
      <c r="Z473" s="18">
        <v>46149</v>
      </c>
      <c r="AA473" s="15"/>
      <c r="AB473" s="15"/>
    </row>
    <row r="474" spans="1:28" hidden="1">
      <c r="A474" s="6">
        <v>46107</v>
      </c>
      <c r="B474" s="3">
        <v>2026</v>
      </c>
      <c r="C474" s="3" t="s">
        <v>2963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23"/>
        <v>24</v>
      </c>
      <c r="R474" s="53" t="str">
        <f t="shared" si="24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3">
        <f t="shared" si="25"/>
        <v>42</v>
      </c>
      <c r="Z474" s="18">
        <v>46149</v>
      </c>
      <c r="AA474" s="15"/>
      <c r="AB474" s="15"/>
    </row>
    <row r="475" spans="1:28" hidden="1">
      <c r="A475" s="6">
        <v>46107</v>
      </c>
      <c r="B475" s="3">
        <v>2026</v>
      </c>
      <c r="C475" s="3" t="s">
        <v>2963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23"/>
        <v>24</v>
      </c>
      <c r="R475" s="53" t="str">
        <f t="shared" si="24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3">
        <f t="shared" si="25"/>
        <v>42</v>
      </c>
      <c r="Z475" s="18">
        <v>46149</v>
      </c>
      <c r="AA475" s="15"/>
      <c r="AB475" s="15"/>
    </row>
    <row r="476" spans="1:28" hidden="1">
      <c r="A476" s="6">
        <v>46107</v>
      </c>
      <c r="B476" s="3">
        <v>2026</v>
      </c>
      <c r="C476" s="3" t="s">
        <v>2963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23"/>
        <v>24</v>
      </c>
      <c r="R476" s="53" t="str">
        <f t="shared" si="24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3">
        <f t="shared" si="25"/>
        <v>42</v>
      </c>
      <c r="Z476" s="18">
        <v>46149</v>
      </c>
      <c r="AA476" s="15"/>
      <c r="AB476" s="15"/>
    </row>
    <row r="477" spans="1:28" hidden="1">
      <c r="A477" s="6">
        <v>46107</v>
      </c>
      <c r="B477" s="3">
        <v>2026</v>
      </c>
      <c r="C477" s="3" t="s">
        <v>2963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23"/>
        <v>24</v>
      </c>
      <c r="R477" s="53" t="str">
        <f t="shared" si="24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3">
        <f t="shared" si="25"/>
        <v>42</v>
      </c>
      <c r="Z477" s="18">
        <v>46149</v>
      </c>
      <c r="AA477" s="15"/>
      <c r="AB477" s="15"/>
    </row>
    <row r="478" spans="1:28" hidden="1">
      <c r="A478" s="6">
        <v>46107</v>
      </c>
      <c r="B478" s="3">
        <v>2026</v>
      </c>
      <c r="C478" s="3" t="s">
        <v>2963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23"/>
        <v>24</v>
      </c>
      <c r="R478" s="53" t="str">
        <f t="shared" si="24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3">
        <f t="shared" si="25"/>
        <v>42</v>
      </c>
      <c r="Z478" s="18">
        <v>46149</v>
      </c>
      <c r="AA478" s="15"/>
      <c r="AB478" s="15"/>
    </row>
    <row r="479" spans="1:28" hidden="1">
      <c r="A479" s="6">
        <v>46107</v>
      </c>
      <c r="B479" s="3">
        <v>2026</v>
      </c>
      <c r="C479" s="3" t="s">
        <v>2963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23"/>
        <v>24</v>
      </c>
      <c r="R479" s="53" t="str">
        <f t="shared" si="24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3">
        <f t="shared" si="25"/>
        <v>42</v>
      </c>
      <c r="Z479" s="18">
        <v>46149</v>
      </c>
      <c r="AA479" s="15"/>
      <c r="AB479" s="15"/>
    </row>
    <row r="480" spans="1:28" hidden="1">
      <c r="A480" s="6">
        <v>46107</v>
      </c>
      <c r="B480" s="3">
        <v>2026</v>
      </c>
      <c r="C480" s="3" t="s">
        <v>2963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23"/>
        <v>24</v>
      </c>
      <c r="R480" s="53" t="str">
        <f t="shared" si="24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3">
        <f t="shared" si="25"/>
        <v>42</v>
      </c>
      <c r="Z480" s="18">
        <v>46149</v>
      </c>
      <c r="AA480" s="15"/>
      <c r="AB480" s="15"/>
    </row>
    <row r="481" spans="1:28" hidden="1">
      <c r="A481" s="6">
        <v>46107</v>
      </c>
      <c r="B481" s="3">
        <v>2026</v>
      </c>
      <c r="C481" s="3" t="s">
        <v>2963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23"/>
        <v>24</v>
      </c>
      <c r="R481" s="53" t="str">
        <f t="shared" si="24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3">
        <f t="shared" si="25"/>
        <v>42</v>
      </c>
      <c r="Z481" s="18">
        <v>46149</v>
      </c>
      <c r="AA481" s="15"/>
      <c r="AB481" s="15"/>
    </row>
    <row r="482" spans="1:28" hidden="1">
      <c r="A482" s="6">
        <v>46107</v>
      </c>
      <c r="B482" s="3">
        <v>2026</v>
      </c>
      <c r="C482" s="3" t="s">
        <v>2963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23"/>
        <v>24</v>
      </c>
      <c r="R482" s="53" t="str">
        <f t="shared" si="24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3">
        <f t="shared" si="25"/>
        <v>42</v>
      </c>
      <c r="Z482" s="18">
        <v>46149</v>
      </c>
      <c r="AA482" s="15"/>
      <c r="AB482" s="15"/>
    </row>
    <row r="483" spans="1:28" hidden="1">
      <c r="A483" s="6">
        <v>46107</v>
      </c>
      <c r="B483" s="3">
        <v>2026</v>
      </c>
      <c r="C483" s="3" t="s">
        <v>2963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23"/>
        <v>24</v>
      </c>
      <c r="R483" s="53" t="str">
        <f t="shared" si="24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3">
        <f t="shared" si="25"/>
        <v>42</v>
      </c>
      <c r="Z483" s="18">
        <v>46149</v>
      </c>
      <c r="AA483" s="15"/>
      <c r="AB483" s="15"/>
    </row>
    <row r="484" spans="1:28" hidden="1">
      <c r="A484" s="6">
        <v>46107</v>
      </c>
      <c r="B484" s="3">
        <v>2026</v>
      </c>
      <c r="C484" s="3" t="s">
        <v>2963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23"/>
        <v>24</v>
      </c>
      <c r="R484" s="53" t="str">
        <f t="shared" si="24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3">
        <f t="shared" si="25"/>
        <v>42</v>
      </c>
      <c r="Z484" s="18">
        <v>46149</v>
      </c>
      <c r="AA484" s="15"/>
      <c r="AB484" s="15"/>
    </row>
    <row r="485" spans="1:28" hidden="1">
      <c r="A485" s="6">
        <v>46107</v>
      </c>
      <c r="B485" s="3">
        <v>2026</v>
      </c>
      <c r="C485" s="3" t="s">
        <v>2963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23"/>
        <v>24</v>
      </c>
      <c r="R485" s="53" t="str">
        <f t="shared" si="24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3">
        <f t="shared" si="25"/>
        <v>42</v>
      </c>
      <c r="Z485" s="18">
        <v>46149</v>
      </c>
      <c r="AA485" s="15"/>
      <c r="AB485" s="15"/>
    </row>
    <row r="486" spans="1:28" hidden="1">
      <c r="A486" s="6">
        <v>46107</v>
      </c>
      <c r="B486" s="3">
        <v>2026</v>
      </c>
      <c r="C486" s="3" t="s">
        <v>2963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23"/>
        <v>24</v>
      </c>
      <c r="R486" s="53" t="str">
        <f t="shared" si="24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3">
        <f t="shared" si="25"/>
        <v>42</v>
      </c>
      <c r="Z486" s="18">
        <v>46149</v>
      </c>
      <c r="AA486" s="15"/>
      <c r="AB486" s="15"/>
    </row>
    <row r="487" spans="1:28" hidden="1">
      <c r="A487" s="6">
        <v>46107</v>
      </c>
      <c r="B487" s="3">
        <v>2026</v>
      </c>
      <c r="C487" s="3" t="s">
        <v>2963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26">MID(P487,5,2)</f>
        <v>24</v>
      </c>
      <c r="R487" s="53" t="str">
        <f t="shared" ref="R487:R550" si="27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3">
        <f t="shared" si="25"/>
        <v>42</v>
      </c>
      <c r="Z487" s="18">
        <v>46149</v>
      </c>
      <c r="AA487" s="15"/>
      <c r="AB487" s="15"/>
    </row>
    <row r="488" spans="1:28" hidden="1">
      <c r="A488" s="6">
        <v>46107</v>
      </c>
      <c r="B488" s="3">
        <v>2026</v>
      </c>
      <c r="C488" s="3" t="s">
        <v>2963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26"/>
        <v>24</v>
      </c>
      <c r="R488" s="53" t="str">
        <f t="shared" si="27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3">
        <f t="shared" si="25"/>
        <v>42</v>
      </c>
      <c r="Z488" s="18">
        <v>46149</v>
      </c>
      <c r="AA488" s="15"/>
      <c r="AB488" s="15"/>
    </row>
    <row r="489" spans="1:28" hidden="1">
      <c r="A489" s="6">
        <v>46107</v>
      </c>
      <c r="B489" s="3">
        <v>2026</v>
      </c>
      <c r="C489" s="3" t="s">
        <v>2963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26"/>
        <v>24</v>
      </c>
      <c r="R489" s="53" t="str">
        <f t="shared" si="27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3">
        <f t="shared" si="25"/>
        <v>42</v>
      </c>
      <c r="Z489" s="18">
        <v>46149</v>
      </c>
      <c r="AA489" s="15"/>
      <c r="AB489" s="15"/>
    </row>
    <row r="490" spans="1:28" hidden="1">
      <c r="A490" s="6">
        <v>46107</v>
      </c>
      <c r="B490" s="3">
        <v>2026</v>
      </c>
      <c r="C490" s="3" t="s">
        <v>2963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26"/>
        <v>24</v>
      </c>
      <c r="R490" s="53" t="str">
        <f t="shared" si="27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3">
        <f t="shared" si="25"/>
        <v>42</v>
      </c>
      <c r="Z490" s="18">
        <v>46149</v>
      </c>
      <c r="AA490" s="15"/>
      <c r="AB490" s="15"/>
    </row>
    <row r="491" spans="1:28" hidden="1">
      <c r="A491" s="6">
        <v>46107</v>
      </c>
      <c r="B491" s="3">
        <v>2026</v>
      </c>
      <c r="C491" s="3" t="s">
        <v>2963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26"/>
        <v>24</v>
      </c>
      <c r="R491" s="53" t="str">
        <f t="shared" si="27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3">
        <f t="shared" si="25"/>
        <v>42</v>
      </c>
      <c r="Z491" s="18">
        <v>46149</v>
      </c>
      <c r="AA491" s="15"/>
      <c r="AB491" s="15"/>
    </row>
    <row r="492" spans="1:28" hidden="1">
      <c r="A492" s="6">
        <v>46107</v>
      </c>
      <c r="B492" s="3">
        <v>2026</v>
      </c>
      <c r="C492" s="3" t="s">
        <v>2963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26"/>
        <v>24</v>
      </c>
      <c r="R492" s="53" t="str">
        <f t="shared" si="27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3">
        <f t="shared" si="25"/>
        <v>42</v>
      </c>
      <c r="Z492" s="18">
        <v>46149</v>
      </c>
      <c r="AA492" s="15"/>
      <c r="AB492" s="15"/>
    </row>
    <row r="493" spans="1:28" hidden="1">
      <c r="A493" s="6">
        <v>46107</v>
      </c>
      <c r="B493" s="3">
        <v>2026</v>
      </c>
      <c r="C493" s="3" t="s">
        <v>2963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26"/>
        <v>24</v>
      </c>
      <c r="R493" s="53" t="str">
        <f t="shared" si="27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3">
        <f t="shared" si="25"/>
        <v>42</v>
      </c>
      <c r="Z493" s="18">
        <v>46149</v>
      </c>
      <c r="AA493" s="15"/>
      <c r="AB493" s="15"/>
    </row>
    <row r="494" spans="1:28" hidden="1">
      <c r="A494" s="6">
        <v>46107</v>
      </c>
      <c r="B494" s="3">
        <v>2026</v>
      </c>
      <c r="C494" s="3" t="s">
        <v>2963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26"/>
        <v>24</v>
      </c>
      <c r="R494" s="53" t="str">
        <f t="shared" si="27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3">
        <f t="shared" si="25"/>
        <v>42</v>
      </c>
      <c r="Z494" s="18">
        <v>46149</v>
      </c>
      <c r="AA494" s="15"/>
      <c r="AB494" s="15"/>
    </row>
    <row r="495" spans="1:28" hidden="1">
      <c r="A495" s="6">
        <v>46107</v>
      </c>
      <c r="B495" s="3">
        <v>2026</v>
      </c>
      <c r="C495" s="3" t="s">
        <v>2963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26"/>
        <v>24</v>
      </c>
      <c r="R495" s="53" t="str">
        <f t="shared" si="27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3">
        <f t="shared" si="25"/>
        <v>42</v>
      </c>
      <c r="Z495" s="18">
        <v>46149</v>
      </c>
      <c r="AA495" s="15"/>
      <c r="AB495" s="15"/>
    </row>
    <row r="496" spans="1:28" hidden="1">
      <c r="A496" s="6">
        <v>46107</v>
      </c>
      <c r="B496" s="3">
        <v>2026</v>
      </c>
      <c r="C496" s="3" t="s">
        <v>2963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26"/>
        <v>24</v>
      </c>
      <c r="R496" s="53" t="str">
        <f t="shared" si="27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3">
        <f t="shared" si="25"/>
        <v>42</v>
      </c>
      <c r="Z496" s="18">
        <v>46149</v>
      </c>
      <c r="AA496" s="15"/>
      <c r="AB496" s="15"/>
    </row>
    <row r="497" spans="1:28" hidden="1">
      <c r="A497" s="6">
        <v>46107</v>
      </c>
      <c r="B497" s="3">
        <v>2026</v>
      </c>
      <c r="C497" s="3" t="s">
        <v>2963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26"/>
        <v>24</v>
      </c>
      <c r="R497" s="53" t="str">
        <f t="shared" si="27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3">
        <f t="shared" si="25"/>
        <v>42</v>
      </c>
      <c r="Z497" s="18">
        <v>46149</v>
      </c>
      <c r="AA497" s="15"/>
      <c r="AB497" s="15"/>
    </row>
    <row r="498" spans="1:28" hidden="1">
      <c r="A498" s="6">
        <v>46107</v>
      </c>
      <c r="B498" s="3">
        <v>2026</v>
      </c>
      <c r="C498" s="3" t="s">
        <v>2963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26"/>
        <v>24</v>
      </c>
      <c r="R498" s="53" t="str">
        <f t="shared" si="27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3">
        <f t="shared" si="25"/>
        <v>42</v>
      </c>
      <c r="Z498" s="18">
        <v>46149</v>
      </c>
      <c r="AA498" s="15"/>
      <c r="AB498" s="15"/>
    </row>
    <row r="499" spans="1:28" hidden="1">
      <c r="A499" s="6">
        <v>46107</v>
      </c>
      <c r="B499" s="3">
        <v>2026</v>
      </c>
      <c r="C499" s="3" t="s">
        <v>2963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26"/>
        <v>24</v>
      </c>
      <c r="R499" s="53" t="str">
        <f t="shared" si="27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3">
        <f t="shared" si="25"/>
        <v>42</v>
      </c>
      <c r="Z499" s="18">
        <v>46149</v>
      </c>
      <c r="AA499" s="15"/>
      <c r="AB499" s="15"/>
    </row>
    <row r="500" spans="1:28" hidden="1">
      <c r="A500" s="6">
        <v>46107</v>
      </c>
      <c r="B500" s="3">
        <v>2026</v>
      </c>
      <c r="C500" s="3" t="s">
        <v>2963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26"/>
        <v>24</v>
      </c>
      <c r="R500" s="53" t="str">
        <f t="shared" si="27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3">
        <f t="shared" si="25"/>
        <v>43</v>
      </c>
      <c r="Z500" s="18">
        <v>46150</v>
      </c>
      <c r="AA500" s="15"/>
      <c r="AB500" s="15"/>
    </row>
    <row r="501" spans="1:28" hidden="1">
      <c r="A501" s="6">
        <v>46107</v>
      </c>
      <c r="B501" s="3">
        <v>2026</v>
      </c>
      <c r="C501" s="3" t="s">
        <v>2963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26"/>
        <v>24</v>
      </c>
      <c r="R501" s="53" t="str">
        <f t="shared" si="27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3">
        <f t="shared" si="25"/>
        <v>43</v>
      </c>
      <c r="Z501" s="18">
        <v>46150</v>
      </c>
      <c r="AA501" s="15"/>
      <c r="AB501" s="15"/>
    </row>
    <row r="502" spans="1:28" hidden="1">
      <c r="A502" s="6">
        <v>46107</v>
      </c>
      <c r="B502" s="3">
        <v>2026</v>
      </c>
      <c r="C502" s="3" t="s">
        <v>2963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26"/>
        <v>24</v>
      </c>
      <c r="R502" s="53" t="str">
        <f t="shared" si="27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3">
        <f t="shared" si="25"/>
        <v>43</v>
      </c>
      <c r="Z502" s="18">
        <v>46150</v>
      </c>
      <c r="AA502" s="15"/>
      <c r="AB502" s="15"/>
    </row>
    <row r="503" spans="1:28" hidden="1">
      <c r="A503" s="6">
        <v>46107</v>
      </c>
      <c r="B503" s="3">
        <v>2026</v>
      </c>
      <c r="C503" s="3" t="s">
        <v>2963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26"/>
        <v>24</v>
      </c>
      <c r="R503" s="53" t="str">
        <f t="shared" si="27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3">
        <f t="shared" si="25"/>
        <v>43</v>
      </c>
      <c r="Z503" s="18">
        <v>46150</v>
      </c>
      <c r="AA503" s="15"/>
      <c r="AB503" s="15"/>
    </row>
    <row r="504" spans="1:28" hidden="1">
      <c r="A504" s="6">
        <v>46107</v>
      </c>
      <c r="B504" s="3">
        <v>2026</v>
      </c>
      <c r="C504" s="3" t="s">
        <v>2963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26"/>
        <v>24</v>
      </c>
      <c r="R504" s="53" t="str">
        <f t="shared" si="27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3">
        <f t="shared" si="25"/>
        <v>43</v>
      </c>
      <c r="Z504" s="18">
        <v>46150</v>
      </c>
      <c r="AA504" s="15"/>
      <c r="AB504" s="15"/>
    </row>
    <row r="505" spans="1:28" hidden="1">
      <c r="A505" s="6">
        <v>46107</v>
      </c>
      <c r="B505" s="3">
        <v>2026</v>
      </c>
      <c r="C505" s="3" t="s">
        <v>2963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26"/>
        <v>24</v>
      </c>
      <c r="R505" s="53" t="str">
        <f t="shared" si="27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3">
        <f t="shared" si="25"/>
        <v>43</v>
      </c>
      <c r="Z505" s="18">
        <v>46150</v>
      </c>
      <c r="AA505" s="15"/>
      <c r="AB505" s="15"/>
    </row>
    <row r="506" spans="1:28" hidden="1">
      <c r="A506" s="6">
        <v>46107</v>
      </c>
      <c r="B506" s="3">
        <v>2026</v>
      </c>
      <c r="C506" s="3" t="s">
        <v>2963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26"/>
        <v>24</v>
      </c>
      <c r="R506" s="53" t="str">
        <f t="shared" si="27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3">
        <f t="shared" si="25"/>
        <v>43</v>
      </c>
      <c r="Z506" s="18">
        <v>46150</v>
      </c>
      <c r="AA506" s="15"/>
      <c r="AB506" s="15"/>
    </row>
    <row r="507" spans="1:28" hidden="1">
      <c r="A507" s="6">
        <v>46107</v>
      </c>
      <c r="B507" s="3">
        <v>2026</v>
      </c>
      <c r="C507" s="3" t="s">
        <v>2963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26"/>
        <v>24</v>
      </c>
      <c r="R507" s="53" t="str">
        <f t="shared" si="27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3">
        <f t="shared" si="25"/>
        <v>43</v>
      </c>
      <c r="Z507" s="18">
        <v>46150</v>
      </c>
      <c r="AA507" s="15"/>
      <c r="AB507" s="15"/>
    </row>
    <row r="508" spans="1:28" hidden="1">
      <c r="A508" s="6">
        <v>46107</v>
      </c>
      <c r="B508" s="3">
        <v>2026</v>
      </c>
      <c r="C508" s="3" t="s">
        <v>2963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26"/>
        <v>24</v>
      </c>
      <c r="R508" s="53" t="str">
        <f t="shared" si="27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3">
        <f t="shared" si="25"/>
        <v>43</v>
      </c>
      <c r="Z508" s="18">
        <v>46150</v>
      </c>
      <c r="AA508" s="15"/>
      <c r="AB508" s="15"/>
    </row>
    <row r="509" spans="1:28" hidden="1">
      <c r="A509" s="6">
        <v>46107</v>
      </c>
      <c r="B509" s="3">
        <v>2026</v>
      </c>
      <c r="C509" s="3" t="s">
        <v>2963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26"/>
        <v>24</v>
      </c>
      <c r="R509" s="53" t="str">
        <f t="shared" si="27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3">
        <f t="shared" si="25"/>
        <v>43</v>
      </c>
      <c r="Z509" s="18">
        <v>46150</v>
      </c>
      <c r="AA509" s="15"/>
      <c r="AB509" s="15"/>
    </row>
    <row r="510" spans="1:28" hidden="1">
      <c r="A510" s="6">
        <v>46107</v>
      </c>
      <c r="B510" s="3">
        <v>2026</v>
      </c>
      <c r="C510" s="3" t="s">
        <v>2963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26"/>
        <v>24</v>
      </c>
      <c r="R510" s="53" t="str">
        <f t="shared" si="27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3">
        <f t="shared" si="25"/>
        <v>43</v>
      </c>
      <c r="Z510" s="18">
        <v>46150</v>
      </c>
      <c r="AA510" s="15"/>
      <c r="AB510" s="15"/>
    </row>
    <row r="511" spans="1:28" hidden="1">
      <c r="A511" s="6">
        <v>46107</v>
      </c>
      <c r="B511" s="3">
        <v>2026</v>
      </c>
      <c r="C511" s="3" t="s">
        <v>2963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26"/>
        <v>24</v>
      </c>
      <c r="R511" s="53" t="str">
        <f t="shared" si="27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3">
        <f t="shared" si="25"/>
        <v>43</v>
      </c>
      <c r="Z511" s="18">
        <v>46150</v>
      </c>
      <c r="AA511" s="15"/>
      <c r="AB511" s="15"/>
    </row>
    <row r="512" spans="1:28" hidden="1">
      <c r="A512" s="6">
        <v>46107</v>
      </c>
      <c r="B512" s="3">
        <v>2026</v>
      </c>
      <c r="C512" s="3" t="s">
        <v>2963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26"/>
        <v>24</v>
      </c>
      <c r="R512" s="53" t="str">
        <f t="shared" si="27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3">
        <f t="shared" si="25"/>
        <v>43</v>
      </c>
      <c r="Z512" s="18">
        <v>46150</v>
      </c>
      <c r="AA512" s="15"/>
      <c r="AB512" s="15"/>
    </row>
    <row r="513" spans="1:28" hidden="1">
      <c r="A513" s="6">
        <v>46107</v>
      </c>
      <c r="B513" s="3">
        <v>2026</v>
      </c>
      <c r="C513" s="3" t="s">
        <v>2963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26"/>
        <v>24</v>
      </c>
      <c r="R513" s="53" t="str">
        <f t="shared" si="27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3">
        <f t="shared" si="25"/>
        <v>43</v>
      </c>
      <c r="Z513" s="18">
        <v>46150</v>
      </c>
      <c r="AA513" s="15"/>
      <c r="AB513" s="15"/>
    </row>
    <row r="514" spans="1:28" hidden="1">
      <c r="A514" s="6">
        <v>46107</v>
      </c>
      <c r="B514" s="3">
        <v>2026</v>
      </c>
      <c r="C514" s="3" t="s">
        <v>2963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26"/>
        <v>24</v>
      </c>
      <c r="R514" s="53" t="str">
        <f t="shared" si="27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3">
        <f t="shared" ref="Y514:Y577" si="28">X514-A514</f>
        <v>43</v>
      </c>
      <c r="Z514" s="18">
        <v>46150</v>
      </c>
      <c r="AA514" s="15"/>
      <c r="AB514" s="15"/>
    </row>
    <row r="515" spans="1:28" hidden="1">
      <c r="A515" s="6">
        <v>46107</v>
      </c>
      <c r="B515" s="3">
        <v>2026</v>
      </c>
      <c r="C515" s="3" t="s">
        <v>2963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26"/>
        <v>24</v>
      </c>
      <c r="R515" s="53" t="str">
        <f t="shared" si="27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3">
        <f t="shared" si="28"/>
        <v>43</v>
      </c>
      <c r="Z515" s="18">
        <v>46150</v>
      </c>
      <c r="AA515" s="15"/>
      <c r="AB515" s="15"/>
    </row>
    <row r="516" spans="1:28" hidden="1">
      <c r="A516" s="6">
        <v>46107</v>
      </c>
      <c r="B516" s="3">
        <v>2026</v>
      </c>
      <c r="C516" s="3" t="s">
        <v>2963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26"/>
        <v>24</v>
      </c>
      <c r="R516" s="53" t="str">
        <f t="shared" si="27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3">
        <f t="shared" si="28"/>
        <v>43</v>
      </c>
      <c r="Z516" s="18">
        <v>46150</v>
      </c>
      <c r="AA516" s="15"/>
      <c r="AB516" s="15"/>
    </row>
    <row r="517" spans="1:28" hidden="1">
      <c r="A517" s="6">
        <v>46107</v>
      </c>
      <c r="B517" s="3">
        <v>2026</v>
      </c>
      <c r="C517" s="3" t="s">
        <v>2963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26"/>
        <v>24</v>
      </c>
      <c r="R517" s="53" t="str">
        <f t="shared" si="27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3">
        <f t="shared" si="28"/>
        <v>43</v>
      </c>
      <c r="Z517" s="18">
        <v>46150</v>
      </c>
      <c r="AA517" s="15"/>
      <c r="AB517" s="15"/>
    </row>
    <row r="518" spans="1:28" hidden="1">
      <c r="A518" s="6">
        <v>46107</v>
      </c>
      <c r="B518" s="3">
        <v>2026</v>
      </c>
      <c r="C518" s="3" t="s">
        <v>2963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26"/>
        <v>24</v>
      </c>
      <c r="R518" s="53" t="str">
        <f t="shared" si="27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3">
        <f t="shared" si="28"/>
        <v>43</v>
      </c>
      <c r="Z518" s="18">
        <v>46150</v>
      </c>
      <c r="AA518" s="15"/>
      <c r="AB518" s="15"/>
    </row>
    <row r="519" spans="1:28" hidden="1">
      <c r="A519" s="6">
        <v>46107</v>
      </c>
      <c r="B519" s="3">
        <v>2026</v>
      </c>
      <c r="C519" s="3" t="s">
        <v>2963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26"/>
        <v>24</v>
      </c>
      <c r="R519" s="53" t="str">
        <f t="shared" si="27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3">
        <f t="shared" si="28"/>
        <v>43</v>
      </c>
      <c r="Z519" s="18">
        <v>46150</v>
      </c>
      <c r="AA519" s="15"/>
      <c r="AB519" s="15"/>
    </row>
    <row r="520" spans="1:28" hidden="1">
      <c r="A520" s="6">
        <v>46107</v>
      </c>
      <c r="B520" s="3">
        <v>2026</v>
      </c>
      <c r="C520" s="3" t="s">
        <v>2963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26"/>
        <v>24</v>
      </c>
      <c r="R520" s="53" t="str">
        <f t="shared" si="27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3">
        <f t="shared" si="28"/>
        <v>43</v>
      </c>
      <c r="Z520" s="18">
        <v>46150</v>
      </c>
      <c r="AA520" s="15"/>
      <c r="AB520" s="15"/>
    </row>
    <row r="521" spans="1:28" hidden="1">
      <c r="A521" s="6">
        <v>46107</v>
      </c>
      <c r="B521" s="3">
        <v>2026</v>
      </c>
      <c r="C521" s="3" t="s">
        <v>2963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26"/>
        <v>24</v>
      </c>
      <c r="R521" s="53" t="str">
        <f t="shared" si="27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3">
        <f t="shared" si="28"/>
        <v>43</v>
      </c>
      <c r="Z521" s="18">
        <v>46150</v>
      </c>
      <c r="AA521" s="15"/>
      <c r="AB521" s="15"/>
    </row>
    <row r="522" spans="1:28" hidden="1">
      <c r="A522" s="6">
        <v>46107</v>
      </c>
      <c r="B522" s="3">
        <v>2026</v>
      </c>
      <c r="C522" s="3" t="s">
        <v>2963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26"/>
        <v>24</v>
      </c>
      <c r="R522" s="53" t="str">
        <f t="shared" si="27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3">
        <f t="shared" si="28"/>
        <v>43</v>
      </c>
      <c r="Z522" s="18">
        <v>46150</v>
      </c>
      <c r="AA522" s="15"/>
      <c r="AB522" s="15"/>
    </row>
    <row r="523" spans="1:28" hidden="1">
      <c r="A523" s="6">
        <v>46107</v>
      </c>
      <c r="B523" s="3">
        <v>2026</v>
      </c>
      <c r="C523" s="3" t="s">
        <v>2963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26"/>
        <v>24</v>
      </c>
      <c r="R523" s="53" t="str">
        <f t="shared" si="27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3">
        <f t="shared" si="28"/>
        <v>43</v>
      </c>
      <c r="Z523" s="18">
        <v>46150</v>
      </c>
      <c r="AA523" s="15"/>
      <c r="AB523" s="15"/>
    </row>
    <row r="524" spans="1:28" hidden="1">
      <c r="A524" s="6">
        <v>46107</v>
      </c>
      <c r="B524" s="3">
        <v>2026</v>
      </c>
      <c r="C524" s="3" t="s">
        <v>2963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26"/>
        <v>24</v>
      </c>
      <c r="R524" s="53" t="str">
        <f t="shared" si="27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3">
        <f t="shared" si="28"/>
        <v>43</v>
      </c>
      <c r="Z524" s="18">
        <v>46150</v>
      </c>
      <c r="AA524" s="15"/>
      <c r="AB524" s="15"/>
    </row>
    <row r="525" spans="1:28" hidden="1">
      <c r="A525" s="6">
        <v>46107</v>
      </c>
      <c r="B525" s="3">
        <v>2026</v>
      </c>
      <c r="C525" s="3" t="s">
        <v>2963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26"/>
        <v>24</v>
      </c>
      <c r="R525" s="53" t="str">
        <f t="shared" si="27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3">
        <f t="shared" si="28"/>
        <v>43</v>
      </c>
      <c r="Z525" s="18">
        <v>46150</v>
      </c>
      <c r="AA525" s="15"/>
      <c r="AB525" s="15"/>
    </row>
    <row r="526" spans="1:28" hidden="1">
      <c r="A526" s="6">
        <v>46107</v>
      </c>
      <c r="B526" s="3">
        <v>2026</v>
      </c>
      <c r="C526" s="3" t="s">
        <v>2963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26"/>
        <v>24</v>
      </c>
      <c r="R526" s="53" t="str">
        <f t="shared" si="27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3">
        <f t="shared" si="28"/>
        <v>43</v>
      </c>
      <c r="Z526" s="18">
        <v>46150</v>
      </c>
      <c r="AA526" s="15"/>
      <c r="AB526" s="15"/>
    </row>
    <row r="527" spans="1:28" hidden="1">
      <c r="A527" s="6">
        <v>46107</v>
      </c>
      <c r="B527" s="3">
        <v>2026</v>
      </c>
      <c r="C527" s="3" t="s">
        <v>2963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26"/>
        <v>24</v>
      </c>
      <c r="R527" s="53" t="str">
        <f t="shared" si="27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3">
        <f t="shared" si="28"/>
        <v>43</v>
      </c>
      <c r="Z527" s="18">
        <v>46150</v>
      </c>
      <c r="AA527" s="15"/>
      <c r="AB527" s="15"/>
    </row>
    <row r="528" spans="1:28" hidden="1">
      <c r="A528" s="6">
        <v>46107</v>
      </c>
      <c r="B528" s="3">
        <v>2026</v>
      </c>
      <c r="C528" s="3" t="s">
        <v>2963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26"/>
        <v>24</v>
      </c>
      <c r="R528" s="53" t="str">
        <f t="shared" si="27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3">
        <f t="shared" si="28"/>
        <v>43</v>
      </c>
      <c r="Z528" s="18">
        <v>46150</v>
      </c>
      <c r="AA528" s="15"/>
      <c r="AB528" s="15"/>
    </row>
    <row r="529" spans="1:28" hidden="1">
      <c r="A529" s="6">
        <v>46107</v>
      </c>
      <c r="B529" s="3">
        <v>2026</v>
      </c>
      <c r="C529" s="3" t="s">
        <v>2963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26"/>
        <v>24</v>
      </c>
      <c r="R529" s="53" t="str">
        <f t="shared" si="27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3">
        <f t="shared" si="28"/>
        <v>43</v>
      </c>
      <c r="Z529" s="18">
        <v>46150</v>
      </c>
      <c r="AA529" s="15"/>
      <c r="AB529" s="15"/>
    </row>
    <row r="530" spans="1:28" hidden="1">
      <c r="A530" s="6">
        <v>46107</v>
      </c>
      <c r="B530" s="3">
        <v>2026</v>
      </c>
      <c r="C530" s="3" t="s">
        <v>2963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26"/>
        <v>24</v>
      </c>
      <c r="R530" s="53" t="str">
        <f t="shared" si="27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3">
        <f t="shared" si="28"/>
        <v>43</v>
      </c>
      <c r="Z530" s="18">
        <v>46150</v>
      </c>
      <c r="AA530" s="15"/>
      <c r="AB530" s="15"/>
    </row>
    <row r="531" spans="1:28" hidden="1">
      <c r="A531" s="6">
        <v>46107</v>
      </c>
      <c r="B531" s="3">
        <v>2026</v>
      </c>
      <c r="C531" s="3" t="s">
        <v>2963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26"/>
        <v>24</v>
      </c>
      <c r="R531" s="53" t="str">
        <f t="shared" si="27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3">
        <f t="shared" si="28"/>
        <v>43</v>
      </c>
      <c r="Z531" s="18">
        <v>46150</v>
      </c>
      <c r="AA531" s="15"/>
      <c r="AB531" s="15"/>
    </row>
    <row r="532" spans="1:28" hidden="1">
      <c r="A532" s="6">
        <v>46107</v>
      </c>
      <c r="B532" s="3">
        <v>2026</v>
      </c>
      <c r="C532" s="3" t="s">
        <v>2963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26"/>
        <v>24</v>
      </c>
      <c r="R532" s="53" t="str">
        <f t="shared" si="27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3">
        <f t="shared" si="28"/>
        <v>43</v>
      </c>
      <c r="Z532" s="18">
        <v>46150</v>
      </c>
      <c r="AA532" s="15"/>
      <c r="AB532" s="15"/>
    </row>
    <row r="533" spans="1:28" hidden="1">
      <c r="A533" s="6">
        <v>46107</v>
      </c>
      <c r="B533" s="3">
        <v>2026</v>
      </c>
      <c r="C533" s="3" t="s">
        <v>2963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26"/>
        <v>24</v>
      </c>
      <c r="R533" s="53" t="str">
        <f t="shared" si="27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3">
        <f t="shared" si="28"/>
        <v>43</v>
      </c>
      <c r="Z533" s="18">
        <v>46150</v>
      </c>
      <c r="AA533" s="15"/>
      <c r="AB533" s="15"/>
    </row>
    <row r="534" spans="1:28" hidden="1">
      <c r="A534" s="6">
        <v>46107</v>
      </c>
      <c r="B534" s="3">
        <v>2026</v>
      </c>
      <c r="C534" s="3" t="s">
        <v>2963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26"/>
        <v>24</v>
      </c>
      <c r="R534" s="53" t="str">
        <f t="shared" si="27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3">
        <f t="shared" si="28"/>
        <v>43</v>
      </c>
      <c r="Z534" s="18">
        <v>46150</v>
      </c>
      <c r="AA534" s="15"/>
      <c r="AB534" s="15"/>
    </row>
    <row r="535" spans="1:28" hidden="1">
      <c r="A535" s="6">
        <v>46107</v>
      </c>
      <c r="B535" s="3">
        <v>2026</v>
      </c>
      <c r="C535" s="3" t="s">
        <v>2963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26"/>
        <v>24</v>
      </c>
      <c r="R535" s="53" t="str">
        <f t="shared" si="27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3">
        <f t="shared" si="28"/>
        <v>43</v>
      </c>
      <c r="Z535" s="18">
        <v>46150</v>
      </c>
      <c r="AA535" s="15"/>
      <c r="AB535" s="15"/>
    </row>
    <row r="536" spans="1:28" hidden="1">
      <c r="A536" s="6">
        <v>46107</v>
      </c>
      <c r="B536" s="3">
        <v>2026</v>
      </c>
      <c r="C536" s="3" t="s">
        <v>2963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26"/>
        <v>24</v>
      </c>
      <c r="R536" s="53" t="str">
        <f t="shared" si="27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3">
        <f t="shared" si="28"/>
        <v>43</v>
      </c>
      <c r="Z536" s="18">
        <v>46150</v>
      </c>
      <c r="AA536" s="15"/>
      <c r="AB536" s="15"/>
    </row>
    <row r="537" spans="1:28" hidden="1">
      <c r="A537" s="6">
        <v>46107</v>
      </c>
      <c r="B537" s="3">
        <v>2026</v>
      </c>
      <c r="C537" s="3" t="s">
        <v>2963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26"/>
        <v>24</v>
      </c>
      <c r="R537" s="53" t="str">
        <f t="shared" si="27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3">
        <f t="shared" si="28"/>
        <v>43</v>
      </c>
      <c r="Z537" s="18">
        <v>46150</v>
      </c>
      <c r="AA537" s="15"/>
      <c r="AB537" s="15"/>
    </row>
    <row r="538" spans="1:28" hidden="1">
      <c r="A538" s="6">
        <v>46107</v>
      </c>
      <c r="B538" s="3">
        <v>2026</v>
      </c>
      <c r="C538" s="3" t="s">
        <v>2963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26"/>
        <v>24</v>
      </c>
      <c r="R538" s="53" t="str">
        <f t="shared" si="27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3">
        <f t="shared" si="28"/>
        <v>43</v>
      </c>
      <c r="Z538" s="18">
        <v>46150</v>
      </c>
      <c r="AA538" s="15"/>
      <c r="AB538" s="15"/>
    </row>
    <row r="539" spans="1:28" hidden="1">
      <c r="A539" s="6">
        <v>46107</v>
      </c>
      <c r="B539" s="3">
        <v>2026</v>
      </c>
      <c r="C539" s="3" t="s">
        <v>2963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26"/>
        <v>24</v>
      </c>
      <c r="R539" s="53" t="str">
        <f t="shared" si="27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3">
        <f t="shared" si="28"/>
        <v>43</v>
      </c>
      <c r="Z539" s="18">
        <v>46150</v>
      </c>
      <c r="AA539" s="15"/>
      <c r="AB539" s="15"/>
    </row>
    <row r="540" spans="1:28" hidden="1">
      <c r="A540" s="6">
        <v>46107</v>
      </c>
      <c r="B540" s="3">
        <v>2026</v>
      </c>
      <c r="C540" s="3" t="s">
        <v>2963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26"/>
        <v>24</v>
      </c>
      <c r="R540" s="53" t="str">
        <f t="shared" si="27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3">
        <f t="shared" si="28"/>
        <v>43</v>
      </c>
      <c r="Z540" s="18">
        <v>46150</v>
      </c>
      <c r="AA540" s="15"/>
      <c r="AB540" s="15"/>
    </row>
    <row r="541" spans="1:28" hidden="1">
      <c r="A541" s="6">
        <v>46107</v>
      </c>
      <c r="B541" s="3">
        <v>2026</v>
      </c>
      <c r="C541" s="3" t="s">
        <v>2963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26"/>
        <v>24</v>
      </c>
      <c r="R541" s="53" t="str">
        <f t="shared" si="27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3">
        <f t="shared" si="28"/>
        <v>43</v>
      </c>
      <c r="Z541" s="18">
        <v>46150</v>
      </c>
      <c r="AA541" s="15"/>
      <c r="AB541" s="15"/>
    </row>
    <row r="542" spans="1:28" hidden="1">
      <c r="A542" s="6">
        <v>46107</v>
      </c>
      <c r="B542" s="3">
        <v>2026</v>
      </c>
      <c r="C542" s="3" t="s">
        <v>2963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26"/>
        <v>24</v>
      </c>
      <c r="R542" s="53" t="str">
        <f t="shared" si="27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3">
        <f t="shared" si="28"/>
        <v>43</v>
      </c>
      <c r="Z542" s="18">
        <v>46150</v>
      </c>
      <c r="AA542" s="15"/>
      <c r="AB542" s="15"/>
    </row>
    <row r="543" spans="1:28" hidden="1">
      <c r="A543" s="6">
        <v>46107</v>
      </c>
      <c r="B543" s="3">
        <v>2026</v>
      </c>
      <c r="C543" s="3" t="s">
        <v>2963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26"/>
        <v>24</v>
      </c>
      <c r="R543" s="53" t="str">
        <f t="shared" si="27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3">
        <f t="shared" si="28"/>
        <v>43</v>
      </c>
      <c r="Z543" s="18">
        <v>46150</v>
      </c>
      <c r="AA543" s="15"/>
      <c r="AB543" s="15"/>
    </row>
    <row r="544" spans="1:28" hidden="1">
      <c r="A544" s="6">
        <v>46107</v>
      </c>
      <c r="B544" s="3">
        <v>2026</v>
      </c>
      <c r="C544" s="3" t="s">
        <v>2963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26"/>
        <v>24</v>
      </c>
      <c r="R544" s="53" t="str">
        <f t="shared" si="27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3">
        <f t="shared" si="28"/>
        <v>43</v>
      </c>
      <c r="Z544" s="18">
        <v>46150</v>
      </c>
      <c r="AA544" s="15"/>
      <c r="AB544" s="15"/>
    </row>
    <row r="545" spans="1:28" hidden="1">
      <c r="A545" s="6">
        <v>46107</v>
      </c>
      <c r="B545" s="3">
        <v>2026</v>
      </c>
      <c r="C545" s="3" t="s">
        <v>2963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26"/>
        <v>24</v>
      </c>
      <c r="R545" s="53" t="str">
        <f t="shared" si="27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3">
        <f t="shared" si="28"/>
        <v>43</v>
      </c>
      <c r="Z545" s="18">
        <v>46150</v>
      </c>
      <c r="AA545" s="15"/>
      <c r="AB545" s="15"/>
    </row>
    <row r="546" spans="1:28" hidden="1">
      <c r="A546" s="6">
        <v>46107</v>
      </c>
      <c r="B546" s="3">
        <v>2026</v>
      </c>
      <c r="C546" s="3" t="s">
        <v>2963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26"/>
        <v>24</v>
      </c>
      <c r="R546" s="53" t="str">
        <f t="shared" si="27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3">
        <f t="shared" si="28"/>
        <v>43</v>
      </c>
      <c r="Z546" s="18">
        <v>46150</v>
      </c>
      <c r="AA546" s="15"/>
      <c r="AB546" s="15"/>
    </row>
    <row r="547" spans="1:28" hidden="1">
      <c r="A547" s="6">
        <v>46107</v>
      </c>
      <c r="B547" s="3">
        <v>2026</v>
      </c>
      <c r="C547" s="3" t="s">
        <v>2963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26"/>
        <v>24</v>
      </c>
      <c r="R547" s="53" t="str">
        <f t="shared" si="27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3">
        <f t="shared" si="28"/>
        <v>43</v>
      </c>
      <c r="Z547" s="18">
        <v>46150</v>
      </c>
      <c r="AA547" s="15"/>
      <c r="AB547" s="15"/>
    </row>
    <row r="548" spans="1:28" hidden="1">
      <c r="A548" s="6">
        <v>46107</v>
      </c>
      <c r="B548" s="3">
        <v>2026</v>
      </c>
      <c r="C548" s="3" t="s">
        <v>2963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26"/>
        <v>24</v>
      </c>
      <c r="R548" s="53" t="str">
        <f t="shared" si="27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3">
        <f t="shared" si="28"/>
        <v>43</v>
      </c>
      <c r="Z548" s="18">
        <v>46150</v>
      </c>
      <c r="AA548" s="15"/>
      <c r="AB548" s="15"/>
    </row>
    <row r="549" spans="1:28" hidden="1">
      <c r="A549" s="6">
        <v>46107</v>
      </c>
      <c r="B549" s="3">
        <v>2026</v>
      </c>
      <c r="C549" s="3" t="s">
        <v>2963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26"/>
        <v>24</v>
      </c>
      <c r="R549" s="53" t="str">
        <f t="shared" si="27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3">
        <f t="shared" si="28"/>
        <v>43</v>
      </c>
      <c r="Z549" s="18">
        <v>46150</v>
      </c>
      <c r="AA549" s="15"/>
      <c r="AB549" s="15"/>
    </row>
    <row r="550" spans="1:28" hidden="1">
      <c r="A550" s="6">
        <v>46107</v>
      </c>
      <c r="B550" s="3">
        <v>2026</v>
      </c>
      <c r="C550" s="3" t="s">
        <v>2963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26"/>
        <v>24</v>
      </c>
      <c r="R550" s="53" t="str">
        <f t="shared" si="27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3">
        <f t="shared" si="28"/>
        <v>43</v>
      </c>
      <c r="Z550" s="18">
        <v>46150</v>
      </c>
      <c r="AA550" s="15"/>
      <c r="AB550" s="15"/>
    </row>
    <row r="551" spans="1:28" hidden="1">
      <c r="A551" s="6">
        <v>46107</v>
      </c>
      <c r="B551" s="3">
        <v>2026</v>
      </c>
      <c r="C551" s="3" t="s">
        <v>2963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29">MID(P551,5,2)</f>
        <v>24</v>
      </c>
      <c r="R551" s="53" t="str">
        <f t="shared" ref="R551:R614" si="30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3">
        <f t="shared" si="28"/>
        <v>43</v>
      </c>
      <c r="Z551" s="18">
        <v>46150</v>
      </c>
      <c r="AA551" s="15"/>
      <c r="AB551" s="15"/>
    </row>
    <row r="552" spans="1:28" hidden="1">
      <c r="A552" s="6">
        <v>46107</v>
      </c>
      <c r="B552" s="3">
        <v>2026</v>
      </c>
      <c r="C552" s="3" t="s">
        <v>2963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29"/>
        <v>24</v>
      </c>
      <c r="R552" s="53" t="str">
        <f t="shared" si="30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3">
        <f t="shared" si="28"/>
        <v>44</v>
      </c>
      <c r="Z552" s="18">
        <v>46151</v>
      </c>
      <c r="AA552" s="15"/>
      <c r="AB552" s="15"/>
    </row>
    <row r="553" spans="1:28" hidden="1">
      <c r="A553" s="6">
        <v>46107</v>
      </c>
      <c r="B553" s="3">
        <v>2026</v>
      </c>
      <c r="C553" s="3" t="s">
        <v>2963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29"/>
        <v>24</v>
      </c>
      <c r="R553" s="53" t="str">
        <f t="shared" si="30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3">
        <f t="shared" si="28"/>
        <v>44</v>
      </c>
      <c r="Z553" s="18">
        <v>46151</v>
      </c>
      <c r="AA553" s="15"/>
      <c r="AB553" s="15"/>
    </row>
    <row r="554" spans="1:28" hidden="1">
      <c r="A554" s="6">
        <v>46107</v>
      </c>
      <c r="B554" s="3">
        <v>2026</v>
      </c>
      <c r="C554" s="3" t="s">
        <v>2963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29"/>
        <v>24</v>
      </c>
      <c r="R554" s="53" t="str">
        <f t="shared" si="30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3">
        <f t="shared" si="28"/>
        <v>44</v>
      </c>
      <c r="Z554" s="18">
        <v>46151</v>
      </c>
      <c r="AA554" s="15"/>
      <c r="AB554" s="15"/>
    </row>
    <row r="555" spans="1:28" hidden="1">
      <c r="A555" s="6">
        <v>46107</v>
      </c>
      <c r="B555" s="3">
        <v>2026</v>
      </c>
      <c r="C555" s="3" t="s">
        <v>2963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29"/>
        <v>24</v>
      </c>
      <c r="R555" s="53" t="str">
        <f t="shared" si="30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3">
        <f t="shared" si="28"/>
        <v>44</v>
      </c>
      <c r="Z555" s="18">
        <v>46151</v>
      </c>
      <c r="AA555" s="15"/>
      <c r="AB555" s="15"/>
    </row>
    <row r="556" spans="1:28" hidden="1">
      <c r="A556" s="6">
        <v>46107</v>
      </c>
      <c r="B556" s="3">
        <v>2026</v>
      </c>
      <c r="C556" s="3" t="s">
        <v>2963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29"/>
        <v>24</v>
      </c>
      <c r="R556" s="53" t="str">
        <f t="shared" si="30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3">
        <f t="shared" si="28"/>
        <v>44</v>
      </c>
      <c r="Z556" s="18">
        <v>46151</v>
      </c>
      <c r="AA556" s="15"/>
      <c r="AB556" s="15"/>
    </row>
    <row r="557" spans="1:28" hidden="1">
      <c r="A557" s="6">
        <v>46107</v>
      </c>
      <c r="B557" s="3">
        <v>2026</v>
      </c>
      <c r="C557" s="3" t="s">
        <v>2963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29"/>
        <v>24</v>
      </c>
      <c r="R557" s="53" t="str">
        <f t="shared" si="30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3">
        <f t="shared" si="28"/>
        <v>44</v>
      </c>
      <c r="Z557" s="18">
        <v>46151</v>
      </c>
      <c r="AA557" s="15"/>
      <c r="AB557" s="15"/>
    </row>
    <row r="558" spans="1:28" hidden="1">
      <c r="A558" s="6">
        <v>46107</v>
      </c>
      <c r="B558" s="3">
        <v>2026</v>
      </c>
      <c r="C558" s="3" t="s">
        <v>2963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29"/>
        <v>24</v>
      </c>
      <c r="R558" s="53" t="str">
        <f t="shared" si="30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3">
        <f t="shared" si="28"/>
        <v>44</v>
      </c>
      <c r="Z558" s="18">
        <v>46151</v>
      </c>
      <c r="AA558" s="15"/>
      <c r="AB558" s="15"/>
    </row>
    <row r="559" spans="1:28" hidden="1">
      <c r="A559" s="6">
        <v>46107</v>
      </c>
      <c r="B559" s="3">
        <v>2026</v>
      </c>
      <c r="C559" s="3" t="s">
        <v>2963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29"/>
        <v>24</v>
      </c>
      <c r="R559" s="53" t="str">
        <f t="shared" si="30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3">
        <f t="shared" si="28"/>
        <v>44</v>
      </c>
      <c r="Z559" s="18">
        <v>46151</v>
      </c>
      <c r="AA559" s="15"/>
      <c r="AB559" s="15"/>
    </row>
    <row r="560" spans="1:28" hidden="1">
      <c r="A560" s="6">
        <v>46107</v>
      </c>
      <c r="B560" s="3">
        <v>2026</v>
      </c>
      <c r="C560" s="3" t="s">
        <v>2963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29"/>
        <v>24</v>
      </c>
      <c r="R560" s="53" t="str">
        <f t="shared" si="30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3">
        <f t="shared" si="28"/>
        <v>44</v>
      </c>
      <c r="Z560" s="18">
        <v>46151</v>
      </c>
      <c r="AA560" s="15"/>
      <c r="AB560" s="15"/>
    </row>
    <row r="561" spans="1:28" hidden="1">
      <c r="A561" s="6">
        <v>46107</v>
      </c>
      <c r="B561" s="3">
        <v>2026</v>
      </c>
      <c r="C561" s="3" t="s">
        <v>2963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29"/>
        <v>24</v>
      </c>
      <c r="R561" s="53" t="str">
        <f t="shared" si="30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3">
        <f t="shared" si="28"/>
        <v>44</v>
      </c>
      <c r="Z561" s="18">
        <v>46151</v>
      </c>
      <c r="AA561" s="15"/>
      <c r="AB561" s="15"/>
    </row>
    <row r="562" spans="1:28" hidden="1">
      <c r="A562" s="6">
        <v>46107</v>
      </c>
      <c r="B562" s="3">
        <v>2026</v>
      </c>
      <c r="C562" s="3" t="s">
        <v>2963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29"/>
        <v>24</v>
      </c>
      <c r="R562" s="53" t="str">
        <f t="shared" si="30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3">
        <f t="shared" si="28"/>
        <v>44</v>
      </c>
      <c r="Z562" s="18">
        <v>46151</v>
      </c>
      <c r="AA562" s="15"/>
      <c r="AB562" s="15"/>
    </row>
    <row r="563" spans="1:28" hidden="1">
      <c r="A563" s="6">
        <v>46107</v>
      </c>
      <c r="B563" s="3">
        <v>2026</v>
      </c>
      <c r="C563" s="3" t="s">
        <v>2963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29"/>
        <v>24</v>
      </c>
      <c r="R563" s="53" t="str">
        <f t="shared" si="30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3">
        <f t="shared" si="28"/>
        <v>44</v>
      </c>
      <c r="Z563" s="18">
        <v>46151</v>
      </c>
      <c r="AA563" s="15"/>
      <c r="AB563" s="15"/>
    </row>
    <row r="564" spans="1:28" hidden="1">
      <c r="A564" s="6">
        <v>46107</v>
      </c>
      <c r="B564" s="3">
        <v>2026</v>
      </c>
      <c r="C564" s="3" t="s">
        <v>2963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29"/>
        <v>24</v>
      </c>
      <c r="R564" s="53" t="str">
        <f t="shared" si="30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3">
        <f t="shared" si="28"/>
        <v>44</v>
      </c>
      <c r="Z564" s="18">
        <v>46151</v>
      </c>
      <c r="AA564" s="15"/>
      <c r="AB564" s="15"/>
    </row>
    <row r="565" spans="1:28" hidden="1">
      <c r="A565" s="6">
        <v>46107</v>
      </c>
      <c r="B565" s="3">
        <v>2026</v>
      </c>
      <c r="C565" s="3" t="s">
        <v>2963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29"/>
        <v>24</v>
      </c>
      <c r="R565" s="53" t="str">
        <f t="shared" si="30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3">
        <f t="shared" si="28"/>
        <v>44</v>
      </c>
      <c r="Z565" s="18">
        <v>46151</v>
      </c>
      <c r="AA565" s="15"/>
      <c r="AB565" s="15"/>
    </row>
    <row r="566" spans="1:28" hidden="1">
      <c r="A566" s="6">
        <v>46107</v>
      </c>
      <c r="B566" s="3">
        <v>2026</v>
      </c>
      <c r="C566" s="3" t="s">
        <v>2963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29"/>
        <v>24</v>
      </c>
      <c r="R566" s="53" t="str">
        <f t="shared" si="30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3">
        <f t="shared" si="28"/>
        <v>44</v>
      </c>
      <c r="Z566" s="18">
        <v>46151</v>
      </c>
      <c r="AA566" s="15"/>
      <c r="AB566" s="15"/>
    </row>
    <row r="567" spans="1:28" hidden="1">
      <c r="A567" s="6">
        <v>46107</v>
      </c>
      <c r="B567" s="3">
        <v>2026</v>
      </c>
      <c r="C567" s="3" t="s">
        <v>2963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29"/>
        <v>24</v>
      </c>
      <c r="R567" s="53" t="str">
        <f t="shared" si="30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3">
        <f t="shared" si="28"/>
        <v>44</v>
      </c>
      <c r="Z567" s="18">
        <v>46151</v>
      </c>
      <c r="AA567" s="15"/>
      <c r="AB567" s="15"/>
    </row>
    <row r="568" spans="1:28" hidden="1">
      <c r="A568" s="6">
        <v>46107</v>
      </c>
      <c r="B568" s="3">
        <v>2026</v>
      </c>
      <c r="C568" s="3" t="s">
        <v>2963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29"/>
        <v>24</v>
      </c>
      <c r="R568" s="53" t="str">
        <f t="shared" si="30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3">
        <f t="shared" si="28"/>
        <v>44</v>
      </c>
      <c r="Z568" s="18">
        <v>46151</v>
      </c>
      <c r="AA568" s="15"/>
      <c r="AB568" s="15"/>
    </row>
    <row r="569" spans="1:28" hidden="1">
      <c r="A569" s="6">
        <v>46107</v>
      </c>
      <c r="B569" s="3">
        <v>2026</v>
      </c>
      <c r="C569" s="3" t="s">
        <v>2963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29"/>
        <v>24</v>
      </c>
      <c r="R569" s="53" t="str">
        <f t="shared" si="30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3">
        <f t="shared" si="28"/>
        <v>44</v>
      </c>
      <c r="Z569" s="18">
        <v>46151</v>
      </c>
      <c r="AA569" s="15"/>
      <c r="AB569" s="15"/>
    </row>
    <row r="570" spans="1:28" hidden="1">
      <c r="A570" s="6">
        <v>46107</v>
      </c>
      <c r="B570" s="3">
        <v>2026</v>
      </c>
      <c r="C570" s="3" t="s">
        <v>2963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29"/>
        <v>24</v>
      </c>
      <c r="R570" s="53" t="str">
        <f t="shared" si="30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3">
        <f t="shared" si="28"/>
        <v>44</v>
      </c>
      <c r="Z570" s="18">
        <v>46151</v>
      </c>
      <c r="AA570" s="15"/>
      <c r="AB570" s="15"/>
    </row>
    <row r="571" spans="1:28" hidden="1">
      <c r="A571" s="6">
        <v>46107</v>
      </c>
      <c r="B571" s="3">
        <v>2026</v>
      </c>
      <c r="C571" s="3" t="s">
        <v>2963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29"/>
        <v>24</v>
      </c>
      <c r="R571" s="53" t="str">
        <f t="shared" si="30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3">
        <f t="shared" si="28"/>
        <v>44</v>
      </c>
      <c r="Z571" s="18">
        <v>46151</v>
      </c>
      <c r="AA571" s="15"/>
      <c r="AB571" s="15"/>
    </row>
    <row r="572" spans="1:28" hidden="1">
      <c r="A572" s="6">
        <v>46107</v>
      </c>
      <c r="B572" s="3">
        <v>2026</v>
      </c>
      <c r="C572" s="3" t="s">
        <v>2963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29"/>
        <v>24</v>
      </c>
      <c r="R572" s="53" t="str">
        <f t="shared" si="30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3">
        <f t="shared" si="28"/>
        <v>44</v>
      </c>
      <c r="Z572" s="18">
        <v>46151</v>
      </c>
      <c r="AA572" s="15"/>
      <c r="AB572" s="15"/>
    </row>
    <row r="573" spans="1:28" hidden="1">
      <c r="A573" s="6">
        <v>46107</v>
      </c>
      <c r="B573" s="3">
        <v>2026</v>
      </c>
      <c r="C573" s="3" t="s">
        <v>2963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29"/>
        <v>24</v>
      </c>
      <c r="R573" s="53" t="str">
        <f t="shared" si="30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3">
        <f t="shared" si="28"/>
        <v>44</v>
      </c>
      <c r="Z573" s="18">
        <v>46151</v>
      </c>
      <c r="AA573" s="15"/>
      <c r="AB573" s="15"/>
    </row>
    <row r="574" spans="1:28" hidden="1">
      <c r="A574" s="6">
        <v>46107</v>
      </c>
      <c r="B574" s="3">
        <v>2026</v>
      </c>
      <c r="C574" s="3" t="s">
        <v>2963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29"/>
        <v>24</v>
      </c>
      <c r="R574" s="53" t="str">
        <f t="shared" si="30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3">
        <f t="shared" si="28"/>
        <v>44</v>
      </c>
      <c r="Z574" s="18">
        <v>46151</v>
      </c>
      <c r="AA574" s="15"/>
      <c r="AB574" s="15"/>
    </row>
    <row r="575" spans="1:28" hidden="1">
      <c r="A575" s="6">
        <v>46107</v>
      </c>
      <c r="B575" s="3">
        <v>2026</v>
      </c>
      <c r="C575" s="3" t="s">
        <v>2963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29"/>
        <v>24</v>
      </c>
      <c r="R575" s="53" t="str">
        <f t="shared" si="30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3">
        <f t="shared" si="28"/>
        <v>44</v>
      </c>
      <c r="Z575" s="18">
        <v>46151</v>
      </c>
      <c r="AA575" s="15"/>
      <c r="AB575" s="15"/>
    </row>
    <row r="576" spans="1:28" hidden="1">
      <c r="A576" s="6">
        <v>46107</v>
      </c>
      <c r="B576" s="3">
        <v>2026</v>
      </c>
      <c r="C576" s="3" t="s">
        <v>2963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29"/>
        <v>24</v>
      </c>
      <c r="R576" s="53" t="str">
        <f t="shared" si="30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3">
        <f t="shared" si="28"/>
        <v>44</v>
      </c>
      <c r="Z576" s="18">
        <v>46151</v>
      </c>
      <c r="AA576" s="15"/>
      <c r="AB576" s="15"/>
    </row>
    <row r="577" spans="1:28" hidden="1">
      <c r="A577" s="6">
        <v>46107</v>
      </c>
      <c r="B577" s="3">
        <v>2026</v>
      </c>
      <c r="C577" s="3" t="s">
        <v>2963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29"/>
        <v>24</v>
      </c>
      <c r="R577" s="53" t="str">
        <f t="shared" si="30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3">
        <f t="shared" si="28"/>
        <v>44</v>
      </c>
      <c r="Z577" s="18">
        <v>46151</v>
      </c>
      <c r="AA577" s="15"/>
      <c r="AB577" s="15"/>
    </row>
    <row r="578" spans="1:28" hidden="1">
      <c r="A578" s="6">
        <v>46107</v>
      </c>
      <c r="B578" s="3">
        <v>2026</v>
      </c>
      <c r="C578" s="3" t="s">
        <v>2963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29"/>
        <v>24</v>
      </c>
      <c r="R578" s="53" t="str">
        <f t="shared" si="30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3">
        <f t="shared" ref="Y578:Y641" si="31">X578-A578</f>
        <v>44</v>
      </c>
      <c r="Z578" s="18">
        <v>46151</v>
      </c>
      <c r="AA578" s="15"/>
      <c r="AB578" s="15"/>
    </row>
    <row r="579" spans="1:28" hidden="1">
      <c r="A579" s="6">
        <v>46107</v>
      </c>
      <c r="B579" s="3">
        <v>2026</v>
      </c>
      <c r="C579" s="3" t="s">
        <v>2963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29"/>
        <v>24</v>
      </c>
      <c r="R579" s="53" t="str">
        <f t="shared" si="30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3">
        <f t="shared" si="31"/>
        <v>44</v>
      </c>
      <c r="Z579" s="18">
        <v>46151</v>
      </c>
      <c r="AA579" s="15"/>
      <c r="AB579" s="15"/>
    </row>
    <row r="580" spans="1:28" hidden="1">
      <c r="A580" s="6">
        <v>46107</v>
      </c>
      <c r="B580" s="3">
        <v>2026</v>
      </c>
      <c r="C580" s="3" t="s">
        <v>2963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29"/>
        <v>24</v>
      </c>
      <c r="R580" s="53" t="str">
        <f t="shared" si="30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3">
        <f t="shared" si="31"/>
        <v>44</v>
      </c>
      <c r="Z580" s="18">
        <v>46151</v>
      </c>
      <c r="AA580" s="15"/>
      <c r="AB580" s="15"/>
    </row>
    <row r="581" spans="1:28" hidden="1">
      <c r="A581" s="6">
        <v>46107</v>
      </c>
      <c r="B581" s="3">
        <v>2026</v>
      </c>
      <c r="C581" s="3" t="s">
        <v>2963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29"/>
        <v>24</v>
      </c>
      <c r="R581" s="53" t="str">
        <f t="shared" si="30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3">
        <f t="shared" si="31"/>
        <v>44</v>
      </c>
      <c r="Z581" s="18">
        <v>46151</v>
      </c>
      <c r="AA581" s="15"/>
      <c r="AB581" s="15"/>
    </row>
    <row r="582" spans="1:28" hidden="1">
      <c r="A582" s="6">
        <v>46107</v>
      </c>
      <c r="B582" s="3">
        <v>2026</v>
      </c>
      <c r="C582" s="3" t="s">
        <v>2963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29"/>
        <v>24</v>
      </c>
      <c r="R582" s="53" t="str">
        <f t="shared" si="30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3">
        <f t="shared" si="31"/>
        <v>44</v>
      </c>
      <c r="Z582" s="18">
        <v>46151</v>
      </c>
      <c r="AA582" s="15"/>
      <c r="AB582" s="15"/>
    </row>
    <row r="583" spans="1:28" hidden="1">
      <c r="A583" s="6">
        <v>46107</v>
      </c>
      <c r="B583" s="3">
        <v>2026</v>
      </c>
      <c r="C583" s="3" t="s">
        <v>2963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29"/>
        <v>24</v>
      </c>
      <c r="R583" s="53" t="str">
        <f t="shared" si="30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3">
        <f t="shared" si="31"/>
        <v>44</v>
      </c>
      <c r="Z583" s="18">
        <v>46151</v>
      </c>
      <c r="AA583" s="15"/>
      <c r="AB583" s="15"/>
    </row>
    <row r="584" spans="1:28" hidden="1">
      <c r="A584" s="6">
        <v>46107</v>
      </c>
      <c r="B584" s="3">
        <v>2026</v>
      </c>
      <c r="C584" s="3" t="s">
        <v>2963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29"/>
        <v>24</v>
      </c>
      <c r="R584" s="53" t="str">
        <f t="shared" si="30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3">
        <f t="shared" si="31"/>
        <v>44</v>
      </c>
      <c r="Z584" s="18">
        <v>46151</v>
      </c>
      <c r="AA584" s="15"/>
      <c r="AB584" s="15"/>
    </row>
    <row r="585" spans="1:28" hidden="1">
      <c r="A585" s="6">
        <v>46107</v>
      </c>
      <c r="B585" s="3">
        <v>2026</v>
      </c>
      <c r="C585" s="3" t="s">
        <v>2963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29"/>
        <v>24</v>
      </c>
      <c r="R585" s="53" t="str">
        <f t="shared" si="30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3">
        <f t="shared" si="31"/>
        <v>44</v>
      </c>
      <c r="Z585" s="18">
        <v>46151</v>
      </c>
      <c r="AA585" s="15"/>
      <c r="AB585" s="15"/>
    </row>
    <row r="586" spans="1:28" hidden="1">
      <c r="A586" s="6">
        <v>46107</v>
      </c>
      <c r="B586" s="3">
        <v>2026</v>
      </c>
      <c r="C586" s="3" t="s">
        <v>2963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29"/>
        <v>24</v>
      </c>
      <c r="R586" s="53" t="str">
        <f t="shared" si="30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3">
        <f t="shared" si="31"/>
        <v>44</v>
      </c>
      <c r="Z586" s="18">
        <v>46151</v>
      </c>
      <c r="AA586" s="15"/>
      <c r="AB586" s="15"/>
    </row>
    <row r="587" spans="1:28" hidden="1">
      <c r="A587" s="6">
        <v>46107</v>
      </c>
      <c r="B587" s="3">
        <v>2026</v>
      </c>
      <c r="C587" s="3" t="s">
        <v>2963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29"/>
        <v>24</v>
      </c>
      <c r="R587" s="53" t="str">
        <f t="shared" si="30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3">
        <f t="shared" si="31"/>
        <v>44</v>
      </c>
      <c r="Z587" s="18">
        <v>46151</v>
      </c>
      <c r="AA587" s="15"/>
      <c r="AB587" s="15"/>
    </row>
    <row r="588" spans="1:28" hidden="1">
      <c r="A588" s="6">
        <v>46107</v>
      </c>
      <c r="B588" s="3">
        <v>2026</v>
      </c>
      <c r="C588" s="3" t="s">
        <v>2963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29"/>
        <v>24</v>
      </c>
      <c r="R588" s="53" t="str">
        <f t="shared" si="30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3">
        <f t="shared" si="31"/>
        <v>44</v>
      </c>
      <c r="Z588" s="18">
        <v>46151</v>
      </c>
      <c r="AA588" s="15"/>
      <c r="AB588" s="15"/>
    </row>
    <row r="589" spans="1:28" hidden="1">
      <c r="A589" s="6">
        <v>46107</v>
      </c>
      <c r="B589" s="3">
        <v>2026</v>
      </c>
      <c r="C589" s="3" t="s">
        <v>2963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29"/>
        <v>24</v>
      </c>
      <c r="R589" s="53" t="str">
        <f t="shared" si="30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3">
        <f t="shared" si="31"/>
        <v>44</v>
      </c>
      <c r="Z589" s="18">
        <v>46151</v>
      </c>
      <c r="AA589" s="15"/>
      <c r="AB589" s="15"/>
    </row>
    <row r="590" spans="1:28" hidden="1">
      <c r="A590" s="6">
        <v>46107</v>
      </c>
      <c r="B590" s="3">
        <v>2026</v>
      </c>
      <c r="C590" s="3" t="s">
        <v>2963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29"/>
        <v>24</v>
      </c>
      <c r="R590" s="53" t="str">
        <f t="shared" si="30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3">
        <f t="shared" si="31"/>
        <v>44</v>
      </c>
      <c r="Z590" s="18">
        <v>46151</v>
      </c>
      <c r="AA590" s="15"/>
      <c r="AB590" s="15"/>
    </row>
    <row r="591" spans="1:28" hidden="1">
      <c r="A591" s="6">
        <v>46107</v>
      </c>
      <c r="B591" s="3">
        <v>2026</v>
      </c>
      <c r="C591" s="3" t="s">
        <v>2963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29"/>
        <v>24</v>
      </c>
      <c r="R591" s="53" t="str">
        <f t="shared" si="30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3">
        <f t="shared" si="31"/>
        <v>44</v>
      </c>
      <c r="Z591" s="18">
        <v>46151</v>
      </c>
      <c r="AA591" s="15"/>
      <c r="AB591" s="15"/>
    </row>
    <row r="592" spans="1:28" hidden="1">
      <c r="A592" s="6">
        <v>46107</v>
      </c>
      <c r="B592" s="3">
        <v>2026</v>
      </c>
      <c r="C592" s="3" t="s">
        <v>2963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29"/>
        <v>24</v>
      </c>
      <c r="R592" s="53" t="str">
        <f t="shared" si="30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3">
        <f t="shared" si="31"/>
        <v>44</v>
      </c>
      <c r="Z592" s="18">
        <v>46151</v>
      </c>
      <c r="AA592" s="15"/>
      <c r="AB592" s="15"/>
    </row>
    <row r="593" spans="1:28" hidden="1">
      <c r="A593" s="6">
        <v>46107</v>
      </c>
      <c r="B593" s="3">
        <v>2026</v>
      </c>
      <c r="C593" s="3" t="s">
        <v>2963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29"/>
        <v>24</v>
      </c>
      <c r="R593" s="53" t="str">
        <f t="shared" si="30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3">
        <f t="shared" si="31"/>
        <v>44</v>
      </c>
      <c r="Z593" s="18">
        <v>46151</v>
      </c>
      <c r="AA593" s="15"/>
      <c r="AB593" s="15"/>
    </row>
    <row r="594" spans="1:28" hidden="1">
      <c r="A594" s="6">
        <v>46107</v>
      </c>
      <c r="B594" s="3">
        <v>2026</v>
      </c>
      <c r="C594" s="3" t="s">
        <v>2963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29"/>
        <v>24</v>
      </c>
      <c r="R594" s="53" t="str">
        <f t="shared" si="30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3">
        <f t="shared" si="31"/>
        <v>44</v>
      </c>
      <c r="Z594" s="18">
        <v>46151</v>
      </c>
      <c r="AA594" s="15"/>
      <c r="AB594" s="15"/>
    </row>
    <row r="595" spans="1:28" hidden="1">
      <c r="A595" s="6">
        <v>46107</v>
      </c>
      <c r="B595" s="3">
        <v>2026</v>
      </c>
      <c r="C595" s="3" t="s">
        <v>2963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29"/>
        <v>24</v>
      </c>
      <c r="R595" s="53" t="str">
        <f t="shared" si="30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3">
        <f t="shared" si="31"/>
        <v>44</v>
      </c>
      <c r="Z595" s="18">
        <v>46151</v>
      </c>
      <c r="AA595" s="15"/>
      <c r="AB595" s="15"/>
    </row>
    <row r="596" spans="1:28" hidden="1">
      <c r="A596" s="6">
        <v>46107</v>
      </c>
      <c r="B596" s="3">
        <v>2026</v>
      </c>
      <c r="C596" s="3" t="s">
        <v>2963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29"/>
        <v>24</v>
      </c>
      <c r="R596" s="53" t="str">
        <f t="shared" si="30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3">
        <f t="shared" si="31"/>
        <v>44</v>
      </c>
      <c r="Z596" s="18">
        <v>46151</v>
      </c>
      <c r="AA596" s="15"/>
      <c r="AB596" s="15"/>
    </row>
    <row r="597" spans="1:28" hidden="1">
      <c r="A597" s="6">
        <v>46107</v>
      </c>
      <c r="B597" s="3">
        <v>2026</v>
      </c>
      <c r="C597" s="3" t="s">
        <v>2963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29"/>
        <v>24</v>
      </c>
      <c r="R597" s="53" t="str">
        <f t="shared" si="30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3">
        <f t="shared" si="31"/>
        <v>44</v>
      </c>
      <c r="Z597" s="18">
        <v>46151</v>
      </c>
      <c r="AA597" s="15"/>
      <c r="AB597" s="15"/>
    </row>
    <row r="598" spans="1:28" hidden="1">
      <c r="A598" s="6">
        <v>46107</v>
      </c>
      <c r="B598" s="3">
        <v>2026</v>
      </c>
      <c r="C598" s="3" t="s">
        <v>2963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29"/>
        <v>24</v>
      </c>
      <c r="R598" s="53" t="str">
        <f t="shared" si="30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3">
        <f t="shared" si="31"/>
        <v>44</v>
      </c>
      <c r="Z598" s="18">
        <v>46151</v>
      </c>
      <c r="AA598" s="15"/>
      <c r="AB598" s="15"/>
    </row>
    <row r="599" spans="1:28" hidden="1">
      <c r="A599" s="6">
        <v>46107</v>
      </c>
      <c r="B599" s="3">
        <v>2026</v>
      </c>
      <c r="C599" s="3" t="s">
        <v>2963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29"/>
        <v>24</v>
      </c>
      <c r="R599" s="53" t="str">
        <f t="shared" si="30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3">
        <f t="shared" si="31"/>
        <v>44</v>
      </c>
      <c r="Z599" s="18">
        <v>46151</v>
      </c>
      <c r="AA599" s="15"/>
      <c r="AB599" s="15"/>
    </row>
    <row r="600" spans="1:28" hidden="1">
      <c r="A600" s="6">
        <v>46107</v>
      </c>
      <c r="B600" s="3">
        <v>2026</v>
      </c>
      <c r="C600" s="3" t="s">
        <v>2963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29"/>
        <v>24</v>
      </c>
      <c r="R600" s="53" t="str">
        <f t="shared" si="30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3">
        <f t="shared" si="31"/>
        <v>44</v>
      </c>
      <c r="Z600" s="18">
        <v>46151</v>
      </c>
      <c r="AA600" s="15"/>
      <c r="AB600" s="15"/>
    </row>
    <row r="601" spans="1:28" hidden="1">
      <c r="A601" s="6">
        <v>46107</v>
      </c>
      <c r="B601" s="3">
        <v>2026</v>
      </c>
      <c r="C601" s="3" t="s">
        <v>2963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29"/>
        <v>24</v>
      </c>
      <c r="R601" s="53" t="str">
        <f t="shared" si="30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3">
        <f t="shared" si="31"/>
        <v>44</v>
      </c>
      <c r="Z601" s="18">
        <v>46151</v>
      </c>
      <c r="AA601" s="15"/>
      <c r="AB601" s="15"/>
    </row>
    <row r="602" spans="1:28" hidden="1">
      <c r="A602" s="6">
        <v>46107</v>
      </c>
      <c r="B602" s="3">
        <v>2026</v>
      </c>
      <c r="C602" s="3" t="s">
        <v>2963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29"/>
        <v>24</v>
      </c>
      <c r="R602" s="53" t="str">
        <f t="shared" si="30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3">
        <f t="shared" si="31"/>
        <v>44</v>
      </c>
      <c r="Z602" s="18">
        <v>46151</v>
      </c>
      <c r="AA602" s="15"/>
      <c r="AB602" s="15"/>
    </row>
    <row r="603" spans="1:28" hidden="1">
      <c r="A603" s="6">
        <v>46107</v>
      </c>
      <c r="B603" s="3">
        <v>2026</v>
      </c>
      <c r="C603" s="3" t="s">
        <v>2963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29"/>
        <v>24</v>
      </c>
      <c r="R603" s="53" t="str">
        <f t="shared" si="30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3">
        <f t="shared" si="31"/>
        <v>44</v>
      </c>
      <c r="Z603" s="18">
        <v>46151</v>
      </c>
      <c r="AA603" s="15"/>
      <c r="AB603" s="15"/>
    </row>
    <row r="604" spans="1:28" hidden="1">
      <c r="A604" s="6">
        <v>46107</v>
      </c>
      <c r="B604" s="3">
        <v>2026</v>
      </c>
      <c r="C604" s="3" t="s">
        <v>2963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29"/>
        <v>24</v>
      </c>
      <c r="R604" s="53" t="str">
        <f t="shared" si="30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3">
        <f t="shared" si="31"/>
        <v>44</v>
      </c>
      <c r="Z604" s="18">
        <v>46151</v>
      </c>
      <c r="AA604" s="15"/>
      <c r="AB604" s="15"/>
    </row>
    <row r="605" spans="1:28" hidden="1">
      <c r="A605" s="6">
        <v>46107</v>
      </c>
      <c r="B605" s="3">
        <v>2026</v>
      </c>
      <c r="C605" s="3" t="s">
        <v>2963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29"/>
        <v>24</v>
      </c>
      <c r="R605" s="53" t="str">
        <f t="shared" si="30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3">
        <f t="shared" si="31"/>
        <v>44</v>
      </c>
      <c r="Z605" s="18">
        <v>46151</v>
      </c>
      <c r="AA605" s="15"/>
      <c r="AB605" s="15"/>
    </row>
    <row r="606" spans="1:28" hidden="1">
      <c r="A606" s="6">
        <v>46107</v>
      </c>
      <c r="B606" s="3">
        <v>2026</v>
      </c>
      <c r="C606" s="3" t="s">
        <v>2963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29"/>
        <v>24</v>
      </c>
      <c r="R606" s="53" t="str">
        <f t="shared" si="30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3">
        <f t="shared" si="31"/>
        <v>44</v>
      </c>
      <c r="Z606" s="18">
        <v>46151</v>
      </c>
      <c r="AA606" s="15"/>
      <c r="AB606" s="15"/>
    </row>
    <row r="607" spans="1:28" hidden="1">
      <c r="A607" s="6">
        <v>46107</v>
      </c>
      <c r="B607" s="3">
        <v>2026</v>
      </c>
      <c r="C607" s="3" t="s">
        <v>2963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29"/>
        <v>24</v>
      </c>
      <c r="R607" s="53" t="str">
        <f t="shared" si="30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3">
        <f t="shared" si="31"/>
        <v>44</v>
      </c>
      <c r="Z607" s="18">
        <v>46151</v>
      </c>
      <c r="AA607" s="15"/>
      <c r="AB607" s="15"/>
    </row>
    <row r="608" spans="1:28" hidden="1">
      <c r="A608" s="6">
        <v>46107</v>
      </c>
      <c r="B608" s="3">
        <v>2026</v>
      </c>
      <c r="C608" s="3" t="s">
        <v>2963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29"/>
        <v>24</v>
      </c>
      <c r="R608" s="53" t="str">
        <f t="shared" si="30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3">
        <f t="shared" si="31"/>
        <v>44</v>
      </c>
      <c r="Z608" s="18">
        <v>46151</v>
      </c>
      <c r="AA608" s="15"/>
      <c r="AB608" s="15"/>
    </row>
    <row r="609" spans="1:28" hidden="1">
      <c r="A609" s="6">
        <v>46107</v>
      </c>
      <c r="B609" s="3">
        <v>2026</v>
      </c>
      <c r="C609" s="3" t="s">
        <v>2963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29"/>
        <v>24</v>
      </c>
      <c r="R609" s="53" t="str">
        <f t="shared" si="30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3">
        <f t="shared" si="31"/>
        <v>44</v>
      </c>
      <c r="Z609" s="18">
        <v>46151</v>
      </c>
      <c r="AA609" s="15"/>
      <c r="AB609" s="15"/>
    </row>
    <row r="610" spans="1:28" hidden="1">
      <c r="A610" s="6">
        <v>46107</v>
      </c>
      <c r="B610" s="3">
        <v>2026</v>
      </c>
      <c r="C610" s="3" t="s">
        <v>2963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29"/>
        <v>24</v>
      </c>
      <c r="R610" s="53" t="str">
        <f t="shared" si="30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3">
        <f t="shared" si="31"/>
        <v>44</v>
      </c>
      <c r="Z610" s="18">
        <v>46151</v>
      </c>
      <c r="AA610" s="15"/>
      <c r="AB610" s="15"/>
    </row>
    <row r="611" spans="1:28" hidden="1">
      <c r="A611" s="6">
        <v>46107</v>
      </c>
      <c r="B611" s="3">
        <v>2026</v>
      </c>
      <c r="C611" s="3" t="s">
        <v>2963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29"/>
        <v>24</v>
      </c>
      <c r="R611" s="53" t="str">
        <f t="shared" si="30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3">
        <f t="shared" si="31"/>
        <v>44</v>
      </c>
      <c r="Z611" s="18">
        <v>46151</v>
      </c>
      <c r="AA611" s="15"/>
      <c r="AB611" s="15"/>
    </row>
    <row r="612" spans="1:28" hidden="1">
      <c r="A612" s="6">
        <v>46107</v>
      </c>
      <c r="B612" s="3">
        <v>2026</v>
      </c>
      <c r="C612" s="3" t="s">
        <v>2963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29"/>
        <v>24</v>
      </c>
      <c r="R612" s="53" t="str">
        <f t="shared" si="30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3">
        <f t="shared" si="31"/>
        <v>44</v>
      </c>
      <c r="Z612" s="18">
        <v>46151</v>
      </c>
      <c r="AA612" s="15"/>
      <c r="AB612" s="15"/>
    </row>
    <row r="613" spans="1:28" hidden="1">
      <c r="A613" s="6">
        <v>46107</v>
      </c>
      <c r="B613" s="3">
        <v>2026</v>
      </c>
      <c r="C613" s="3" t="s">
        <v>2963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29"/>
        <v>24</v>
      </c>
      <c r="R613" s="53" t="str">
        <f t="shared" si="30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3">
        <f t="shared" si="31"/>
        <v>44</v>
      </c>
      <c r="Z613" s="18">
        <v>46151</v>
      </c>
      <c r="AA613" s="15"/>
      <c r="AB613" s="15"/>
    </row>
    <row r="614" spans="1:28" hidden="1">
      <c r="A614" s="6">
        <v>46107</v>
      </c>
      <c r="B614" s="3">
        <v>2026</v>
      </c>
      <c r="C614" s="3" t="s">
        <v>2963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29"/>
        <v>24</v>
      </c>
      <c r="R614" s="53" t="str">
        <f t="shared" si="30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3">
        <f t="shared" si="31"/>
        <v>44</v>
      </c>
      <c r="Z614" s="18">
        <v>46151</v>
      </c>
      <c r="AA614" s="15"/>
      <c r="AB614" s="15"/>
    </row>
    <row r="615" spans="1:28" hidden="1">
      <c r="A615" s="6">
        <v>46107</v>
      </c>
      <c r="B615" s="3">
        <v>2026</v>
      </c>
      <c r="C615" s="3" t="s">
        <v>2963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32">MID(P615,5,2)</f>
        <v>24</v>
      </c>
      <c r="R615" s="53" t="str">
        <f t="shared" ref="R615:R678" si="33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3">
        <f t="shared" si="31"/>
        <v>44</v>
      </c>
      <c r="Z615" s="18">
        <v>46151</v>
      </c>
      <c r="AA615" s="15"/>
      <c r="AB615" s="15"/>
    </row>
    <row r="616" spans="1:28" hidden="1">
      <c r="A616" s="6">
        <v>46107</v>
      </c>
      <c r="B616" s="3">
        <v>2026</v>
      </c>
      <c r="C616" s="3" t="s">
        <v>2963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32"/>
        <v>24</v>
      </c>
      <c r="R616" s="53" t="str">
        <f t="shared" si="33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3">
        <f t="shared" si="31"/>
        <v>44</v>
      </c>
      <c r="Z616" s="18">
        <v>46151</v>
      </c>
      <c r="AA616" s="15"/>
      <c r="AB616" s="15"/>
    </row>
    <row r="617" spans="1:28" hidden="1">
      <c r="A617" s="6">
        <v>46107</v>
      </c>
      <c r="B617" s="3">
        <v>2026</v>
      </c>
      <c r="C617" s="3" t="s">
        <v>2963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32"/>
        <v>24</v>
      </c>
      <c r="R617" s="53" t="str">
        <f t="shared" si="33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3">
        <f t="shared" si="31"/>
        <v>44</v>
      </c>
      <c r="Z617" s="18">
        <v>46151</v>
      </c>
      <c r="AA617" s="15"/>
      <c r="AB617" s="15"/>
    </row>
    <row r="618" spans="1:28" hidden="1">
      <c r="A618" s="6">
        <v>46107</v>
      </c>
      <c r="B618" s="3">
        <v>2026</v>
      </c>
      <c r="C618" s="3" t="s">
        <v>2963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32"/>
        <v>24</v>
      </c>
      <c r="R618" s="53" t="str">
        <f t="shared" si="33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3">
        <f t="shared" si="31"/>
        <v>44</v>
      </c>
      <c r="Z618" s="18">
        <v>46151</v>
      </c>
      <c r="AA618" s="15"/>
      <c r="AB618" s="15"/>
    </row>
    <row r="619" spans="1:28" hidden="1">
      <c r="A619" s="6">
        <v>46107</v>
      </c>
      <c r="B619" s="3">
        <v>2026</v>
      </c>
      <c r="C619" s="3" t="s">
        <v>2963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32"/>
        <v>24</v>
      </c>
      <c r="R619" s="53" t="str">
        <f t="shared" si="33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3">
        <f t="shared" si="31"/>
        <v>44</v>
      </c>
      <c r="Z619" s="18">
        <v>46151</v>
      </c>
      <c r="AA619" s="15"/>
      <c r="AB619" s="15"/>
    </row>
    <row r="620" spans="1:28" hidden="1">
      <c r="A620" s="6">
        <v>46107</v>
      </c>
      <c r="B620" s="3">
        <v>2026</v>
      </c>
      <c r="C620" s="3" t="s">
        <v>2963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32"/>
        <v>24</v>
      </c>
      <c r="R620" s="53" t="str">
        <f t="shared" si="33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3">
        <f t="shared" si="31"/>
        <v>44</v>
      </c>
      <c r="Z620" s="18">
        <v>46151</v>
      </c>
      <c r="AA620" s="15"/>
      <c r="AB620" s="15"/>
    </row>
    <row r="621" spans="1:28" hidden="1">
      <c r="A621" s="6">
        <v>46107</v>
      </c>
      <c r="B621" s="3">
        <v>2026</v>
      </c>
      <c r="C621" s="3" t="s">
        <v>2963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32"/>
        <v>24</v>
      </c>
      <c r="R621" s="53" t="str">
        <f t="shared" si="33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3">
        <f t="shared" si="31"/>
        <v>44</v>
      </c>
      <c r="Z621" s="18">
        <v>46151</v>
      </c>
      <c r="AA621" s="15"/>
      <c r="AB621" s="15"/>
    </row>
    <row r="622" spans="1:28" hidden="1">
      <c r="A622" s="6">
        <v>46107</v>
      </c>
      <c r="B622" s="3">
        <v>2026</v>
      </c>
      <c r="C622" s="3" t="s">
        <v>2963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32"/>
        <v>24</v>
      </c>
      <c r="R622" s="53" t="str">
        <f t="shared" si="33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3">
        <f t="shared" si="31"/>
        <v>44</v>
      </c>
      <c r="Z622" s="18">
        <v>46151</v>
      </c>
      <c r="AA622" s="15"/>
      <c r="AB622" s="15"/>
    </row>
    <row r="623" spans="1:28" hidden="1">
      <c r="A623" s="6">
        <v>46107</v>
      </c>
      <c r="B623" s="3">
        <v>2026</v>
      </c>
      <c r="C623" s="3" t="s">
        <v>2963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32"/>
        <v>24</v>
      </c>
      <c r="R623" s="53" t="str">
        <f t="shared" si="33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3">
        <f t="shared" si="31"/>
        <v>44</v>
      </c>
      <c r="Z623" s="18">
        <v>46151</v>
      </c>
      <c r="AA623" s="15"/>
      <c r="AB623" s="15"/>
    </row>
    <row r="624" spans="1:28" hidden="1">
      <c r="A624" s="6">
        <v>46107</v>
      </c>
      <c r="B624" s="3">
        <v>2026</v>
      </c>
      <c r="C624" s="3" t="s">
        <v>2963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32"/>
        <v>24</v>
      </c>
      <c r="R624" s="53" t="str">
        <f t="shared" si="33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3">
        <f t="shared" si="31"/>
        <v>44</v>
      </c>
      <c r="Z624" s="18">
        <v>46151</v>
      </c>
      <c r="AA624" s="15"/>
      <c r="AB624" s="15"/>
    </row>
    <row r="625" spans="1:28" hidden="1">
      <c r="A625" s="6">
        <v>46107</v>
      </c>
      <c r="B625" s="3">
        <v>2026</v>
      </c>
      <c r="C625" s="3" t="s">
        <v>2963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32"/>
        <v>24</v>
      </c>
      <c r="R625" s="53" t="str">
        <f t="shared" si="33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3">
        <f t="shared" si="31"/>
        <v>44</v>
      </c>
      <c r="Z625" s="18">
        <v>46151</v>
      </c>
      <c r="AA625" s="15"/>
      <c r="AB625" s="15"/>
    </row>
    <row r="626" spans="1:28" hidden="1">
      <c r="A626" s="6">
        <v>46107</v>
      </c>
      <c r="B626" s="3">
        <v>2026</v>
      </c>
      <c r="C626" s="3" t="s">
        <v>2963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32"/>
        <v>24</v>
      </c>
      <c r="R626" s="53" t="str">
        <f t="shared" si="33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3">
        <f t="shared" si="31"/>
        <v>44</v>
      </c>
      <c r="Z626" s="18">
        <v>46151</v>
      </c>
      <c r="AA626" s="15"/>
      <c r="AB626" s="15"/>
    </row>
    <row r="627" spans="1:28" hidden="1">
      <c r="A627" s="6">
        <v>46107</v>
      </c>
      <c r="B627" s="3">
        <v>2026</v>
      </c>
      <c r="C627" s="3" t="s">
        <v>2963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32"/>
        <v>24</v>
      </c>
      <c r="R627" s="53" t="str">
        <f t="shared" si="33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3">
        <f t="shared" si="31"/>
        <v>44</v>
      </c>
      <c r="Z627" s="18">
        <v>46151</v>
      </c>
      <c r="AA627" s="15"/>
      <c r="AB627" s="15"/>
    </row>
    <row r="628" spans="1:28" hidden="1">
      <c r="A628" s="6">
        <v>46107</v>
      </c>
      <c r="B628" s="3">
        <v>2026</v>
      </c>
      <c r="C628" s="3" t="s">
        <v>2963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32"/>
        <v>24</v>
      </c>
      <c r="R628" s="53" t="str">
        <f t="shared" si="33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3">
        <f t="shared" si="31"/>
        <v>44</v>
      </c>
      <c r="Z628" s="18">
        <v>46151</v>
      </c>
      <c r="AA628" s="15"/>
      <c r="AB628" s="15"/>
    </row>
    <row r="629" spans="1:28" hidden="1">
      <c r="A629" s="6">
        <v>46107</v>
      </c>
      <c r="B629" s="3">
        <v>2026</v>
      </c>
      <c r="C629" s="3" t="s">
        <v>2963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32"/>
        <v>24</v>
      </c>
      <c r="R629" s="53" t="str">
        <f t="shared" si="33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3">
        <f t="shared" si="31"/>
        <v>44</v>
      </c>
      <c r="Z629" s="18">
        <v>46151</v>
      </c>
      <c r="AA629" s="15"/>
      <c r="AB629" s="15"/>
    </row>
    <row r="630" spans="1:28" hidden="1">
      <c r="A630" s="6">
        <v>46107</v>
      </c>
      <c r="B630" s="3">
        <v>2026</v>
      </c>
      <c r="C630" s="3" t="s">
        <v>2963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32"/>
        <v>24</v>
      </c>
      <c r="R630" s="53" t="str">
        <f t="shared" si="33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3">
        <f t="shared" si="31"/>
        <v>44</v>
      </c>
      <c r="Z630" s="18">
        <v>46151</v>
      </c>
      <c r="AA630" s="15"/>
      <c r="AB630" s="15"/>
    </row>
    <row r="631" spans="1:28" hidden="1">
      <c r="A631" s="6">
        <v>46107</v>
      </c>
      <c r="B631" s="3">
        <v>2026</v>
      </c>
      <c r="C631" s="3" t="s">
        <v>2963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32"/>
        <v>24</v>
      </c>
      <c r="R631" s="53" t="str">
        <f t="shared" si="33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3">
        <f t="shared" si="31"/>
        <v>44</v>
      </c>
      <c r="Z631" s="18">
        <v>46151</v>
      </c>
      <c r="AA631" s="15"/>
      <c r="AB631" s="15"/>
    </row>
    <row r="632" spans="1:28" hidden="1">
      <c r="A632" s="6">
        <v>46107</v>
      </c>
      <c r="B632" s="3">
        <v>2026</v>
      </c>
      <c r="C632" s="3" t="s">
        <v>2963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32"/>
        <v>24</v>
      </c>
      <c r="R632" s="53" t="str">
        <f t="shared" si="33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3">
        <f t="shared" si="31"/>
        <v>46</v>
      </c>
      <c r="Z632" s="18">
        <v>46153</v>
      </c>
      <c r="AA632" s="15"/>
      <c r="AB632" s="15"/>
    </row>
    <row r="633" spans="1:28" hidden="1">
      <c r="A633" s="6">
        <v>46107</v>
      </c>
      <c r="B633" s="3">
        <v>2026</v>
      </c>
      <c r="C633" s="3" t="s">
        <v>2963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32"/>
        <v>24</v>
      </c>
      <c r="R633" s="53" t="str">
        <f t="shared" si="33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3">
        <f t="shared" si="31"/>
        <v>46</v>
      </c>
      <c r="Z633" s="18">
        <v>46153</v>
      </c>
      <c r="AA633" s="15"/>
      <c r="AB633" s="15"/>
    </row>
    <row r="634" spans="1:28" hidden="1">
      <c r="A634" s="6">
        <v>46107</v>
      </c>
      <c r="B634" s="3">
        <v>2026</v>
      </c>
      <c r="C634" s="3" t="s">
        <v>2963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32"/>
        <v>24</v>
      </c>
      <c r="R634" s="53" t="str">
        <f t="shared" si="33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3">
        <f t="shared" si="31"/>
        <v>46</v>
      </c>
      <c r="Z634" s="18">
        <v>46153</v>
      </c>
      <c r="AA634" s="15"/>
      <c r="AB634" s="15"/>
    </row>
    <row r="635" spans="1:28" hidden="1">
      <c r="A635" s="6">
        <v>46107</v>
      </c>
      <c r="B635" s="3">
        <v>2026</v>
      </c>
      <c r="C635" s="3" t="s">
        <v>2963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32"/>
        <v>24</v>
      </c>
      <c r="R635" s="53" t="str">
        <f t="shared" si="33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3">
        <f t="shared" si="31"/>
        <v>46</v>
      </c>
      <c r="Z635" s="18">
        <v>46153</v>
      </c>
      <c r="AA635" s="15"/>
      <c r="AB635" s="15"/>
    </row>
    <row r="636" spans="1:28" hidden="1">
      <c r="A636" s="6">
        <v>46107</v>
      </c>
      <c r="B636" s="3">
        <v>2026</v>
      </c>
      <c r="C636" s="3" t="s">
        <v>2963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32"/>
        <v>24</v>
      </c>
      <c r="R636" s="53" t="str">
        <f t="shared" si="33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3">
        <f t="shared" si="31"/>
        <v>46</v>
      </c>
      <c r="Z636" s="18">
        <v>46153</v>
      </c>
      <c r="AA636" s="15"/>
      <c r="AB636" s="15"/>
    </row>
    <row r="637" spans="1:28" hidden="1">
      <c r="A637" s="6">
        <v>46107</v>
      </c>
      <c r="B637" s="3">
        <v>2026</v>
      </c>
      <c r="C637" s="3" t="s">
        <v>2963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32"/>
        <v>24</v>
      </c>
      <c r="R637" s="53" t="str">
        <f t="shared" si="33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3">
        <f t="shared" si="31"/>
        <v>46</v>
      </c>
      <c r="Z637" s="18">
        <v>46153</v>
      </c>
      <c r="AA637" s="15"/>
      <c r="AB637" s="15"/>
    </row>
    <row r="638" spans="1:28" hidden="1">
      <c r="A638" s="6">
        <v>46107</v>
      </c>
      <c r="B638" s="3">
        <v>2026</v>
      </c>
      <c r="C638" s="3" t="s">
        <v>2963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32"/>
        <v>24</v>
      </c>
      <c r="R638" s="53" t="str">
        <f t="shared" si="33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3">
        <f t="shared" si="31"/>
        <v>46</v>
      </c>
      <c r="Z638" s="18">
        <v>46153</v>
      </c>
      <c r="AA638" s="15"/>
      <c r="AB638" s="15"/>
    </row>
    <row r="639" spans="1:28" hidden="1">
      <c r="A639" s="6">
        <v>46107</v>
      </c>
      <c r="B639" s="3">
        <v>2026</v>
      </c>
      <c r="C639" s="3" t="s">
        <v>2963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32"/>
        <v>24</v>
      </c>
      <c r="R639" s="53" t="str">
        <f t="shared" si="33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3">
        <f t="shared" si="31"/>
        <v>46</v>
      </c>
      <c r="Z639" s="18">
        <v>46153</v>
      </c>
      <c r="AA639" s="15"/>
      <c r="AB639" s="15"/>
    </row>
    <row r="640" spans="1:28" hidden="1">
      <c r="A640" s="6">
        <v>46107</v>
      </c>
      <c r="B640" s="3">
        <v>2026</v>
      </c>
      <c r="C640" s="3" t="s">
        <v>2963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32"/>
        <v>24</v>
      </c>
      <c r="R640" s="53" t="str">
        <f t="shared" si="33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3">
        <f t="shared" si="31"/>
        <v>46</v>
      </c>
      <c r="Z640" s="18">
        <v>46153</v>
      </c>
      <c r="AA640" s="15"/>
      <c r="AB640" s="15"/>
    </row>
    <row r="641" spans="1:28" hidden="1">
      <c r="A641" s="6">
        <v>46107</v>
      </c>
      <c r="B641" s="3">
        <v>2026</v>
      </c>
      <c r="C641" s="3" t="s">
        <v>2963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32"/>
        <v>24</v>
      </c>
      <c r="R641" s="53" t="str">
        <f t="shared" si="33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3">
        <f t="shared" si="31"/>
        <v>46</v>
      </c>
      <c r="Z641" s="18">
        <v>46153</v>
      </c>
      <c r="AA641" s="15"/>
      <c r="AB641" s="15"/>
    </row>
    <row r="642" spans="1:28" hidden="1">
      <c r="A642" s="6">
        <v>46107</v>
      </c>
      <c r="B642" s="3">
        <v>2026</v>
      </c>
      <c r="C642" s="3" t="s">
        <v>2963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32"/>
        <v>24</v>
      </c>
      <c r="R642" s="53" t="str">
        <f t="shared" si="33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3">
        <f t="shared" ref="Y642:Y705" si="34">X642-A642</f>
        <v>46</v>
      </c>
      <c r="Z642" s="18">
        <v>46153</v>
      </c>
      <c r="AA642" s="15"/>
      <c r="AB642" s="15"/>
    </row>
    <row r="643" spans="1:28" hidden="1">
      <c r="A643" s="6">
        <v>46107</v>
      </c>
      <c r="B643" s="3">
        <v>2026</v>
      </c>
      <c r="C643" s="3" t="s">
        <v>2963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32"/>
        <v>24</v>
      </c>
      <c r="R643" s="53" t="str">
        <f t="shared" si="33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3">
        <f t="shared" si="34"/>
        <v>46</v>
      </c>
      <c r="Z643" s="18">
        <v>46153</v>
      </c>
      <c r="AA643" s="15"/>
      <c r="AB643" s="15"/>
    </row>
    <row r="644" spans="1:28" hidden="1">
      <c r="A644" s="6">
        <v>46107</v>
      </c>
      <c r="B644" s="3">
        <v>2026</v>
      </c>
      <c r="C644" s="3" t="s">
        <v>2963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32"/>
        <v>24</v>
      </c>
      <c r="R644" s="53" t="str">
        <f t="shared" si="33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3">
        <f t="shared" si="34"/>
        <v>46</v>
      </c>
      <c r="Z644" s="18">
        <v>46153</v>
      </c>
      <c r="AA644" s="15"/>
      <c r="AB644" s="15"/>
    </row>
    <row r="645" spans="1:28" hidden="1">
      <c r="A645" s="6">
        <v>46107</v>
      </c>
      <c r="B645" s="3">
        <v>2026</v>
      </c>
      <c r="C645" s="3" t="s">
        <v>2963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32"/>
        <v>24</v>
      </c>
      <c r="R645" s="53" t="str">
        <f t="shared" si="33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3">
        <f t="shared" si="34"/>
        <v>46</v>
      </c>
      <c r="Z645" s="18">
        <v>46153</v>
      </c>
      <c r="AA645" s="15"/>
      <c r="AB645" s="15"/>
    </row>
    <row r="646" spans="1:28" hidden="1">
      <c r="A646" s="6">
        <v>46107</v>
      </c>
      <c r="B646" s="3">
        <v>2026</v>
      </c>
      <c r="C646" s="3" t="s">
        <v>2963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32"/>
        <v>24</v>
      </c>
      <c r="R646" s="53" t="str">
        <f t="shared" si="33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3">
        <f t="shared" si="34"/>
        <v>46</v>
      </c>
      <c r="Z646" s="18">
        <v>46153</v>
      </c>
      <c r="AA646" s="15"/>
      <c r="AB646" s="15"/>
    </row>
    <row r="647" spans="1:28" hidden="1">
      <c r="A647" s="6">
        <v>46107</v>
      </c>
      <c r="B647" s="3">
        <v>2026</v>
      </c>
      <c r="C647" s="3" t="s">
        <v>2963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32"/>
        <v>24</v>
      </c>
      <c r="R647" s="53" t="str">
        <f t="shared" si="33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3">
        <f t="shared" si="34"/>
        <v>46</v>
      </c>
      <c r="Z647" s="18">
        <v>46153</v>
      </c>
      <c r="AA647" s="15"/>
      <c r="AB647" s="15"/>
    </row>
    <row r="648" spans="1:28" hidden="1">
      <c r="A648" s="6">
        <v>46107</v>
      </c>
      <c r="B648" s="3">
        <v>2026</v>
      </c>
      <c r="C648" s="3" t="s">
        <v>2963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32"/>
        <v>24</v>
      </c>
      <c r="R648" s="53" t="str">
        <f t="shared" si="33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3">
        <f t="shared" si="34"/>
        <v>46</v>
      </c>
      <c r="Z648" s="18">
        <v>46153</v>
      </c>
      <c r="AA648" s="15"/>
      <c r="AB648" s="15"/>
    </row>
    <row r="649" spans="1:28" hidden="1">
      <c r="A649" s="6">
        <v>46107</v>
      </c>
      <c r="B649" s="3">
        <v>2026</v>
      </c>
      <c r="C649" s="3" t="s">
        <v>2963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32"/>
        <v>24</v>
      </c>
      <c r="R649" s="53" t="str">
        <f t="shared" si="33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3">
        <f t="shared" si="34"/>
        <v>46</v>
      </c>
      <c r="Z649" s="18">
        <v>46153</v>
      </c>
      <c r="AA649" s="15"/>
      <c r="AB649" s="15"/>
    </row>
    <row r="650" spans="1:28" hidden="1">
      <c r="A650" s="6">
        <v>46107</v>
      </c>
      <c r="B650" s="3">
        <v>2026</v>
      </c>
      <c r="C650" s="3" t="s">
        <v>2963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32"/>
        <v>24</v>
      </c>
      <c r="R650" s="53" t="str">
        <f t="shared" si="33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3">
        <f t="shared" si="34"/>
        <v>46</v>
      </c>
      <c r="Z650" s="18">
        <v>46153</v>
      </c>
      <c r="AA650" s="15"/>
      <c r="AB650" s="15"/>
    </row>
    <row r="651" spans="1:28" hidden="1">
      <c r="A651" s="6">
        <v>46107</v>
      </c>
      <c r="B651" s="3">
        <v>2026</v>
      </c>
      <c r="C651" s="3" t="s">
        <v>2963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32"/>
        <v>24</v>
      </c>
      <c r="R651" s="53" t="str">
        <f t="shared" si="33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3">
        <f t="shared" si="34"/>
        <v>46</v>
      </c>
      <c r="Z651" s="18">
        <v>46153</v>
      </c>
      <c r="AA651" s="15"/>
      <c r="AB651" s="15"/>
    </row>
    <row r="652" spans="1:28" hidden="1">
      <c r="A652" s="6">
        <v>46107</v>
      </c>
      <c r="B652" s="3">
        <v>2026</v>
      </c>
      <c r="C652" s="3" t="s">
        <v>2963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32"/>
        <v>24</v>
      </c>
      <c r="R652" s="53" t="str">
        <f t="shared" si="33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3">
        <f t="shared" si="34"/>
        <v>46</v>
      </c>
      <c r="Z652" s="18">
        <v>46153</v>
      </c>
      <c r="AA652" s="15"/>
      <c r="AB652" s="15"/>
    </row>
    <row r="653" spans="1:28" hidden="1">
      <c r="A653" s="6">
        <v>46107</v>
      </c>
      <c r="B653" s="3">
        <v>2026</v>
      </c>
      <c r="C653" s="3" t="s">
        <v>2963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32"/>
        <v>24</v>
      </c>
      <c r="R653" s="53" t="str">
        <f t="shared" si="33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3">
        <f t="shared" si="34"/>
        <v>46</v>
      </c>
      <c r="Z653" s="18">
        <v>46153</v>
      </c>
      <c r="AA653" s="15"/>
      <c r="AB653" s="15"/>
    </row>
    <row r="654" spans="1:28" hidden="1">
      <c r="A654" s="6">
        <v>46107</v>
      </c>
      <c r="B654" s="3">
        <v>2026</v>
      </c>
      <c r="C654" s="3" t="s">
        <v>2963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32"/>
        <v>24</v>
      </c>
      <c r="R654" s="53" t="str">
        <f t="shared" si="33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3">
        <f t="shared" si="34"/>
        <v>46</v>
      </c>
      <c r="Z654" s="18">
        <v>46153</v>
      </c>
      <c r="AA654" s="15"/>
      <c r="AB654" s="15"/>
    </row>
    <row r="655" spans="1:28" hidden="1">
      <c r="A655" s="6">
        <v>46107</v>
      </c>
      <c r="B655" s="3">
        <v>2026</v>
      </c>
      <c r="C655" s="3" t="s">
        <v>2963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32"/>
        <v>24</v>
      </c>
      <c r="R655" s="53" t="str">
        <f t="shared" si="33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3">
        <f t="shared" si="34"/>
        <v>46</v>
      </c>
      <c r="Z655" s="18">
        <v>46153</v>
      </c>
      <c r="AA655" s="15"/>
      <c r="AB655" s="15"/>
    </row>
    <row r="656" spans="1:28" hidden="1">
      <c r="A656" s="6">
        <v>46107</v>
      </c>
      <c r="B656" s="3">
        <v>2026</v>
      </c>
      <c r="C656" s="3" t="s">
        <v>2963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32"/>
        <v>24</v>
      </c>
      <c r="R656" s="53" t="str">
        <f t="shared" si="33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3">
        <f t="shared" si="34"/>
        <v>46</v>
      </c>
      <c r="Z656" s="18">
        <v>46153</v>
      </c>
      <c r="AA656" s="15"/>
      <c r="AB656" s="15"/>
    </row>
    <row r="657" spans="1:28" hidden="1">
      <c r="A657" s="6">
        <v>46107</v>
      </c>
      <c r="B657" s="3">
        <v>2026</v>
      </c>
      <c r="C657" s="3" t="s">
        <v>2963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32"/>
        <v>24</v>
      </c>
      <c r="R657" s="53" t="str">
        <f t="shared" si="33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3">
        <f t="shared" si="34"/>
        <v>46</v>
      </c>
      <c r="Z657" s="18">
        <v>46153</v>
      </c>
      <c r="AA657" s="15"/>
      <c r="AB657" s="15"/>
    </row>
    <row r="658" spans="1:28" hidden="1">
      <c r="A658" s="6">
        <v>46107</v>
      </c>
      <c r="B658" s="3">
        <v>2026</v>
      </c>
      <c r="C658" s="3" t="s">
        <v>2963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32"/>
        <v>24</v>
      </c>
      <c r="R658" s="53" t="str">
        <f t="shared" si="33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3">
        <f t="shared" si="34"/>
        <v>46</v>
      </c>
      <c r="Z658" s="18">
        <v>46153</v>
      </c>
      <c r="AA658" s="15"/>
      <c r="AB658" s="15"/>
    </row>
    <row r="659" spans="1:28" hidden="1">
      <c r="A659" s="6">
        <v>46107</v>
      </c>
      <c r="B659" s="3">
        <v>2026</v>
      </c>
      <c r="C659" s="3" t="s">
        <v>2963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32"/>
        <v>24</v>
      </c>
      <c r="R659" s="53" t="str">
        <f t="shared" si="33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3">
        <f t="shared" si="34"/>
        <v>46</v>
      </c>
      <c r="Z659" s="18">
        <v>46153</v>
      </c>
      <c r="AA659" s="15"/>
      <c r="AB659" s="15"/>
    </row>
    <row r="660" spans="1:28" hidden="1">
      <c r="A660" s="6">
        <v>46107</v>
      </c>
      <c r="B660" s="3">
        <v>2026</v>
      </c>
      <c r="C660" s="3" t="s">
        <v>2963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32"/>
        <v>24</v>
      </c>
      <c r="R660" s="53" t="str">
        <f t="shared" si="33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3">
        <f t="shared" si="34"/>
        <v>46</v>
      </c>
      <c r="Z660" s="18">
        <v>46153</v>
      </c>
      <c r="AA660" s="15"/>
      <c r="AB660" s="15"/>
    </row>
    <row r="661" spans="1:28" hidden="1">
      <c r="A661" s="6">
        <v>46107</v>
      </c>
      <c r="B661" s="3">
        <v>2026</v>
      </c>
      <c r="C661" s="3" t="s">
        <v>2963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32"/>
        <v>24</v>
      </c>
      <c r="R661" s="53" t="str">
        <f t="shared" si="33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3">
        <f t="shared" si="34"/>
        <v>46</v>
      </c>
      <c r="Z661" s="18">
        <v>46153</v>
      </c>
      <c r="AA661" s="15"/>
      <c r="AB661" s="15"/>
    </row>
    <row r="662" spans="1:28" hidden="1">
      <c r="A662" s="6">
        <v>46107</v>
      </c>
      <c r="B662" s="3">
        <v>2026</v>
      </c>
      <c r="C662" s="3" t="s">
        <v>2963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32"/>
        <v>24</v>
      </c>
      <c r="R662" s="53" t="str">
        <f t="shared" si="33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3">
        <f t="shared" si="34"/>
        <v>46</v>
      </c>
      <c r="Z662" s="18">
        <v>46153</v>
      </c>
      <c r="AA662" s="15"/>
      <c r="AB662" s="15"/>
    </row>
    <row r="663" spans="1:28" hidden="1">
      <c r="A663" s="6">
        <v>46107</v>
      </c>
      <c r="B663" s="3">
        <v>2026</v>
      </c>
      <c r="C663" s="3" t="s">
        <v>2963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32"/>
        <v>24</v>
      </c>
      <c r="R663" s="53" t="str">
        <f t="shared" si="33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3">
        <f t="shared" si="34"/>
        <v>46</v>
      </c>
      <c r="Z663" s="18">
        <v>46153</v>
      </c>
      <c r="AA663" s="15"/>
      <c r="AB663" s="15"/>
    </row>
    <row r="664" spans="1:28" hidden="1">
      <c r="A664" s="6">
        <v>46107</v>
      </c>
      <c r="B664" s="3">
        <v>2026</v>
      </c>
      <c r="C664" s="3" t="s">
        <v>2963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32"/>
        <v>24</v>
      </c>
      <c r="R664" s="53" t="str">
        <f t="shared" si="33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3">
        <f t="shared" si="34"/>
        <v>46</v>
      </c>
      <c r="Z664" s="18">
        <v>46153</v>
      </c>
      <c r="AA664" s="15"/>
      <c r="AB664" s="15"/>
    </row>
    <row r="665" spans="1:28" hidden="1">
      <c r="A665" s="6">
        <v>46107</v>
      </c>
      <c r="B665" s="3">
        <v>2026</v>
      </c>
      <c r="C665" s="3" t="s">
        <v>2963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32"/>
        <v>24</v>
      </c>
      <c r="R665" s="53" t="str">
        <f t="shared" si="33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3">
        <f t="shared" si="34"/>
        <v>46</v>
      </c>
      <c r="Z665" s="18">
        <v>46153</v>
      </c>
      <c r="AA665" s="15"/>
      <c r="AB665" s="15"/>
    </row>
    <row r="666" spans="1:28" hidden="1">
      <c r="A666" s="6">
        <v>46107</v>
      </c>
      <c r="B666" s="3">
        <v>2026</v>
      </c>
      <c r="C666" s="3" t="s">
        <v>2963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32"/>
        <v>24</v>
      </c>
      <c r="R666" s="53" t="str">
        <f t="shared" si="33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3">
        <f t="shared" si="34"/>
        <v>46</v>
      </c>
      <c r="Z666" s="18">
        <v>46153</v>
      </c>
      <c r="AA666" s="15"/>
      <c r="AB666" s="15"/>
    </row>
    <row r="667" spans="1:28" hidden="1">
      <c r="A667" s="6">
        <v>46107</v>
      </c>
      <c r="B667" s="3">
        <v>2026</v>
      </c>
      <c r="C667" s="3" t="s">
        <v>2963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32"/>
        <v>24</v>
      </c>
      <c r="R667" s="53" t="str">
        <f t="shared" si="33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3">
        <f t="shared" si="34"/>
        <v>46</v>
      </c>
      <c r="Z667" s="18">
        <v>46153</v>
      </c>
      <c r="AA667" s="15"/>
      <c r="AB667" s="15"/>
    </row>
    <row r="668" spans="1:28" hidden="1">
      <c r="A668" s="6">
        <v>46107</v>
      </c>
      <c r="B668" s="3">
        <v>2026</v>
      </c>
      <c r="C668" s="3" t="s">
        <v>2963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32"/>
        <v>24</v>
      </c>
      <c r="R668" s="53" t="str">
        <f t="shared" si="33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3">
        <f t="shared" si="34"/>
        <v>46</v>
      </c>
      <c r="Z668" s="18">
        <v>46153</v>
      </c>
      <c r="AA668" s="15"/>
      <c r="AB668" s="15"/>
    </row>
    <row r="669" spans="1:28" hidden="1">
      <c r="A669" s="6">
        <v>46107</v>
      </c>
      <c r="B669" s="3">
        <v>2026</v>
      </c>
      <c r="C669" s="3" t="s">
        <v>2963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32"/>
        <v>24</v>
      </c>
      <c r="R669" s="53" t="str">
        <f t="shared" si="33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3">
        <f t="shared" si="34"/>
        <v>46</v>
      </c>
      <c r="Z669" s="18">
        <v>46153</v>
      </c>
      <c r="AA669" s="15"/>
      <c r="AB669" s="15"/>
    </row>
    <row r="670" spans="1:28" hidden="1">
      <c r="A670" s="6">
        <v>46107</v>
      </c>
      <c r="B670" s="3">
        <v>2026</v>
      </c>
      <c r="C670" s="3" t="s">
        <v>2963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32"/>
        <v>24</v>
      </c>
      <c r="R670" s="53" t="str">
        <f t="shared" si="33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3">
        <f t="shared" si="34"/>
        <v>46</v>
      </c>
      <c r="Z670" s="18">
        <v>46153</v>
      </c>
      <c r="AA670" s="15"/>
      <c r="AB670" s="15"/>
    </row>
    <row r="671" spans="1:28" hidden="1">
      <c r="A671" s="6">
        <v>46107</v>
      </c>
      <c r="B671" s="3">
        <v>2026</v>
      </c>
      <c r="C671" s="3" t="s">
        <v>2963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32"/>
        <v>24</v>
      </c>
      <c r="R671" s="53" t="str">
        <f t="shared" si="33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3">
        <f t="shared" si="34"/>
        <v>46</v>
      </c>
      <c r="Z671" s="18">
        <v>46153</v>
      </c>
      <c r="AA671" s="15"/>
      <c r="AB671" s="15"/>
    </row>
    <row r="672" spans="1:28" hidden="1">
      <c r="A672" s="6">
        <v>46107</v>
      </c>
      <c r="B672" s="3">
        <v>2026</v>
      </c>
      <c r="C672" s="3" t="s">
        <v>2963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32"/>
        <v>24</v>
      </c>
      <c r="R672" s="53" t="str">
        <f t="shared" si="33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3">
        <f t="shared" si="34"/>
        <v>46</v>
      </c>
      <c r="Z672" s="18">
        <v>46153</v>
      </c>
      <c r="AA672" s="15"/>
      <c r="AB672" s="15"/>
    </row>
    <row r="673" spans="1:28" hidden="1">
      <c r="A673" s="6">
        <v>46107</v>
      </c>
      <c r="B673" s="3">
        <v>2026</v>
      </c>
      <c r="C673" s="3" t="s">
        <v>2963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32"/>
        <v>24</v>
      </c>
      <c r="R673" s="53" t="str">
        <f t="shared" si="33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3">
        <f t="shared" si="34"/>
        <v>46</v>
      </c>
      <c r="Z673" s="18">
        <v>46153</v>
      </c>
      <c r="AA673" s="15"/>
      <c r="AB673" s="15"/>
    </row>
    <row r="674" spans="1:28" hidden="1">
      <c r="A674" s="6">
        <v>46107</v>
      </c>
      <c r="B674" s="3">
        <v>2026</v>
      </c>
      <c r="C674" s="3" t="s">
        <v>2963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32"/>
        <v>24</v>
      </c>
      <c r="R674" s="53" t="str">
        <f t="shared" si="33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3">
        <f t="shared" si="34"/>
        <v>46</v>
      </c>
      <c r="Z674" s="18">
        <v>46153</v>
      </c>
      <c r="AA674" s="15"/>
      <c r="AB674" s="15"/>
    </row>
    <row r="675" spans="1:28" hidden="1">
      <c r="A675" s="6">
        <v>46107</v>
      </c>
      <c r="B675" s="3">
        <v>2026</v>
      </c>
      <c r="C675" s="3" t="s">
        <v>2963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32"/>
        <v>24</v>
      </c>
      <c r="R675" s="53" t="str">
        <f t="shared" si="33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3">
        <f t="shared" si="34"/>
        <v>46</v>
      </c>
      <c r="Z675" s="18">
        <v>46153</v>
      </c>
      <c r="AA675" s="15"/>
      <c r="AB675" s="15"/>
    </row>
    <row r="676" spans="1:28" hidden="1">
      <c r="A676" s="6">
        <v>46107</v>
      </c>
      <c r="B676" s="3">
        <v>2026</v>
      </c>
      <c r="C676" s="3" t="s">
        <v>2963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32"/>
        <v>24</v>
      </c>
      <c r="R676" s="53" t="str">
        <f t="shared" si="33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3">
        <f t="shared" si="34"/>
        <v>46</v>
      </c>
      <c r="Z676" s="18">
        <v>46153</v>
      </c>
      <c r="AA676" s="15"/>
      <c r="AB676" s="15"/>
    </row>
    <row r="677" spans="1:28" hidden="1">
      <c r="A677" s="6">
        <v>46107</v>
      </c>
      <c r="B677" s="3">
        <v>2026</v>
      </c>
      <c r="C677" s="3" t="s">
        <v>2963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32"/>
        <v>24</v>
      </c>
      <c r="R677" s="53" t="str">
        <f t="shared" si="33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3">
        <f t="shared" si="34"/>
        <v>46</v>
      </c>
      <c r="Z677" s="18">
        <v>46153</v>
      </c>
      <c r="AA677" s="15"/>
      <c r="AB677" s="15"/>
    </row>
    <row r="678" spans="1:28" hidden="1">
      <c r="A678" s="6">
        <v>46107</v>
      </c>
      <c r="B678" s="3">
        <v>2026</v>
      </c>
      <c r="C678" s="3" t="s">
        <v>2963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32"/>
        <v>24</v>
      </c>
      <c r="R678" s="53" t="str">
        <f t="shared" si="33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3">
        <f t="shared" si="34"/>
        <v>46</v>
      </c>
      <c r="Z678" s="18">
        <v>46153</v>
      </c>
      <c r="AA678" s="15"/>
      <c r="AB678" s="15"/>
    </row>
    <row r="679" spans="1:28" hidden="1">
      <c r="A679" s="6">
        <v>46107</v>
      </c>
      <c r="B679" s="3">
        <v>2026</v>
      </c>
      <c r="C679" s="3" t="s">
        <v>2963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35">MID(P679,5,2)</f>
        <v>24</v>
      </c>
      <c r="R679" s="53" t="str">
        <f t="shared" ref="R679:R742" si="3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3">
        <f t="shared" si="34"/>
        <v>46</v>
      </c>
      <c r="Z679" s="18">
        <v>46153</v>
      </c>
      <c r="AA679" s="15"/>
      <c r="AB679" s="15"/>
    </row>
    <row r="680" spans="1:28" hidden="1">
      <c r="A680" s="6">
        <v>46107</v>
      </c>
      <c r="B680" s="3">
        <v>2026</v>
      </c>
      <c r="C680" s="3" t="s">
        <v>2963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35"/>
        <v>24</v>
      </c>
      <c r="R680" s="53" t="str">
        <f t="shared" si="3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3">
        <f t="shared" si="34"/>
        <v>46</v>
      </c>
      <c r="Z680" s="18">
        <v>46153</v>
      </c>
      <c r="AA680" s="15"/>
      <c r="AB680" s="15"/>
    </row>
    <row r="681" spans="1:28" hidden="1">
      <c r="A681" s="6">
        <v>46107</v>
      </c>
      <c r="B681" s="3">
        <v>2026</v>
      </c>
      <c r="C681" s="3" t="s">
        <v>2963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35"/>
        <v>24</v>
      </c>
      <c r="R681" s="53" t="str">
        <f t="shared" si="3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3">
        <f t="shared" si="34"/>
        <v>46</v>
      </c>
      <c r="Z681" s="18">
        <v>46153</v>
      </c>
      <c r="AA681" s="15"/>
      <c r="AB681" s="15"/>
    </row>
    <row r="682" spans="1:28" hidden="1">
      <c r="A682" s="6">
        <v>46107</v>
      </c>
      <c r="B682" s="3">
        <v>2026</v>
      </c>
      <c r="C682" s="3" t="s">
        <v>2963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35"/>
        <v>24</v>
      </c>
      <c r="R682" s="53" t="str">
        <f t="shared" si="3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3">
        <f t="shared" si="34"/>
        <v>46</v>
      </c>
      <c r="Z682" s="18">
        <v>46153</v>
      </c>
      <c r="AA682" s="15"/>
      <c r="AB682" s="15"/>
    </row>
    <row r="683" spans="1:28" hidden="1">
      <c r="A683" s="6">
        <v>46107</v>
      </c>
      <c r="B683" s="3">
        <v>2026</v>
      </c>
      <c r="C683" s="3" t="s">
        <v>2963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35"/>
        <v>24</v>
      </c>
      <c r="R683" s="53" t="str">
        <f t="shared" si="3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3">
        <f t="shared" si="34"/>
        <v>46</v>
      </c>
      <c r="Z683" s="18">
        <v>46153</v>
      </c>
      <c r="AA683" s="15"/>
      <c r="AB683" s="15"/>
    </row>
    <row r="684" spans="1:28" hidden="1">
      <c r="A684" s="6">
        <v>46107</v>
      </c>
      <c r="B684" s="3">
        <v>2026</v>
      </c>
      <c r="C684" s="3" t="s">
        <v>2963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35"/>
        <v>24</v>
      </c>
      <c r="R684" s="53" t="str">
        <f t="shared" si="3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3">
        <f t="shared" si="34"/>
        <v>46</v>
      </c>
      <c r="Z684" s="18">
        <v>46153</v>
      </c>
      <c r="AA684" s="15"/>
      <c r="AB684" s="15"/>
    </row>
    <row r="685" spans="1:28" hidden="1">
      <c r="A685" s="6">
        <v>46107</v>
      </c>
      <c r="B685" s="3">
        <v>2026</v>
      </c>
      <c r="C685" s="3" t="s">
        <v>2963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35"/>
        <v>24</v>
      </c>
      <c r="R685" s="53" t="str">
        <f t="shared" si="3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3">
        <f t="shared" si="34"/>
        <v>46</v>
      </c>
      <c r="Z685" s="18">
        <v>46153</v>
      </c>
      <c r="AA685" s="15"/>
      <c r="AB685" s="15"/>
    </row>
    <row r="686" spans="1:28" hidden="1">
      <c r="A686" s="6">
        <v>46107</v>
      </c>
      <c r="B686" s="3">
        <v>2026</v>
      </c>
      <c r="C686" s="3" t="s">
        <v>2963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35"/>
        <v>24</v>
      </c>
      <c r="R686" s="53" t="str">
        <f t="shared" si="3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3">
        <f t="shared" si="34"/>
        <v>46</v>
      </c>
      <c r="Z686" s="18">
        <v>46153</v>
      </c>
      <c r="AA686" s="15"/>
      <c r="AB686" s="15"/>
    </row>
    <row r="687" spans="1:28" hidden="1">
      <c r="A687" s="6">
        <v>46107</v>
      </c>
      <c r="B687" s="3">
        <v>2026</v>
      </c>
      <c r="C687" s="3" t="s">
        <v>2963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35"/>
        <v>24</v>
      </c>
      <c r="R687" s="53" t="str">
        <f t="shared" si="3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3">
        <f t="shared" si="34"/>
        <v>46</v>
      </c>
      <c r="Z687" s="18">
        <v>46153</v>
      </c>
      <c r="AA687" s="15"/>
      <c r="AB687" s="15"/>
    </row>
    <row r="688" spans="1:28" hidden="1">
      <c r="A688" s="6">
        <v>46107</v>
      </c>
      <c r="B688" s="3">
        <v>2026</v>
      </c>
      <c r="C688" s="3" t="s">
        <v>2963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35"/>
        <v>24</v>
      </c>
      <c r="R688" s="53" t="str">
        <f t="shared" si="3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3">
        <f t="shared" si="34"/>
        <v>46</v>
      </c>
      <c r="Z688" s="18">
        <v>46153</v>
      </c>
      <c r="AA688" s="15"/>
      <c r="AB688" s="15"/>
    </row>
    <row r="689" spans="1:28" hidden="1">
      <c r="A689" s="6">
        <v>46107</v>
      </c>
      <c r="B689" s="3">
        <v>2026</v>
      </c>
      <c r="C689" s="3" t="s">
        <v>2963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35"/>
        <v>24</v>
      </c>
      <c r="R689" s="53" t="str">
        <f t="shared" si="3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3">
        <f t="shared" si="34"/>
        <v>46</v>
      </c>
      <c r="Z689" s="18">
        <v>46153</v>
      </c>
      <c r="AA689" s="15"/>
      <c r="AB689" s="15"/>
    </row>
    <row r="690" spans="1:28" hidden="1">
      <c r="A690" s="6">
        <v>46107</v>
      </c>
      <c r="B690" s="3">
        <v>2026</v>
      </c>
      <c r="C690" s="3" t="s">
        <v>2963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35"/>
        <v>24</v>
      </c>
      <c r="R690" s="53" t="str">
        <f t="shared" si="3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3">
        <f t="shared" si="34"/>
        <v>46</v>
      </c>
      <c r="Z690" s="18">
        <v>46153</v>
      </c>
      <c r="AA690" s="15"/>
      <c r="AB690" s="15"/>
    </row>
    <row r="691" spans="1:28" hidden="1">
      <c r="A691" s="6">
        <v>46107</v>
      </c>
      <c r="B691" s="3">
        <v>2026</v>
      </c>
      <c r="C691" s="3" t="s">
        <v>2963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35"/>
        <v>24</v>
      </c>
      <c r="R691" s="53" t="str">
        <f t="shared" si="3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3">
        <f t="shared" si="34"/>
        <v>46</v>
      </c>
      <c r="Z691" s="18">
        <v>46153</v>
      </c>
      <c r="AA691" s="15"/>
      <c r="AB691" s="15"/>
    </row>
    <row r="692" spans="1:28" hidden="1">
      <c r="A692" s="6">
        <v>46107</v>
      </c>
      <c r="B692" s="3">
        <v>2026</v>
      </c>
      <c r="C692" s="3" t="s">
        <v>2963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35"/>
        <v>24</v>
      </c>
      <c r="R692" s="53" t="str">
        <f t="shared" si="3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3">
        <f t="shared" si="34"/>
        <v>46</v>
      </c>
      <c r="Z692" s="18">
        <v>46153</v>
      </c>
      <c r="AA692" s="15"/>
      <c r="AB692" s="15"/>
    </row>
    <row r="693" spans="1:28" hidden="1">
      <c r="A693" s="6">
        <v>46107</v>
      </c>
      <c r="B693" s="3">
        <v>2026</v>
      </c>
      <c r="C693" s="3" t="s">
        <v>2963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35"/>
        <v>24</v>
      </c>
      <c r="R693" s="53" t="str">
        <f t="shared" si="3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3">
        <f t="shared" si="34"/>
        <v>46</v>
      </c>
      <c r="Z693" s="18">
        <v>46153</v>
      </c>
      <c r="AA693" s="15"/>
      <c r="AB693" s="15"/>
    </row>
    <row r="694" spans="1:28" hidden="1">
      <c r="A694" s="6">
        <v>46107</v>
      </c>
      <c r="B694" s="3">
        <v>2026</v>
      </c>
      <c r="C694" s="3" t="s">
        <v>2963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35"/>
        <v>24</v>
      </c>
      <c r="R694" s="53" t="str">
        <f t="shared" si="3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3">
        <f t="shared" si="34"/>
        <v>46</v>
      </c>
      <c r="Z694" s="18">
        <v>46153</v>
      </c>
      <c r="AA694" s="15"/>
      <c r="AB694" s="15"/>
    </row>
    <row r="695" spans="1:28" hidden="1">
      <c r="A695" s="6">
        <v>46107</v>
      </c>
      <c r="B695" s="3">
        <v>2026</v>
      </c>
      <c r="C695" s="3" t="s">
        <v>2963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35"/>
        <v>24</v>
      </c>
      <c r="R695" s="53" t="str">
        <f t="shared" si="3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3">
        <f t="shared" si="34"/>
        <v>46</v>
      </c>
      <c r="Z695" s="18">
        <v>46153</v>
      </c>
      <c r="AA695" s="15"/>
      <c r="AB695" s="15"/>
    </row>
    <row r="696" spans="1:28" hidden="1">
      <c r="A696" s="6">
        <v>46107</v>
      </c>
      <c r="B696" s="3">
        <v>2026</v>
      </c>
      <c r="C696" s="3" t="s">
        <v>2963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35"/>
        <v>24</v>
      </c>
      <c r="R696" s="53" t="str">
        <f t="shared" si="3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3">
        <f t="shared" si="34"/>
        <v>46</v>
      </c>
      <c r="Z696" s="18">
        <v>46153</v>
      </c>
      <c r="AA696" s="15"/>
      <c r="AB696" s="15"/>
    </row>
    <row r="697" spans="1:28" hidden="1">
      <c r="A697" s="6">
        <v>46107</v>
      </c>
      <c r="B697" s="3">
        <v>2026</v>
      </c>
      <c r="C697" s="3" t="s">
        <v>2963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35"/>
        <v>24</v>
      </c>
      <c r="R697" s="53" t="str">
        <f t="shared" si="3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3">
        <f t="shared" si="34"/>
        <v>46</v>
      </c>
      <c r="Z697" s="18">
        <v>46153</v>
      </c>
      <c r="AA697" s="15"/>
      <c r="AB697" s="15"/>
    </row>
    <row r="698" spans="1:28" hidden="1">
      <c r="A698" s="6">
        <v>46107</v>
      </c>
      <c r="B698" s="3">
        <v>2026</v>
      </c>
      <c r="C698" s="3" t="s">
        <v>2963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35"/>
        <v>24</v>
      </c>
      <c r="R698" s="53" t="str">
        <f t="shared" si="3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3">
        <f t="shared" si="34"/>
        <v>46</v>
      </c>
      <c r="Z698" s="18">
        <v>46153</v>
      </c>
      <c r="AA698" s="15"/>
      <c r="AB698" s="15"/>
    </row>
    <row r="699" spans="1:28" hidden="1">
      <c r="A699" s="6">
        <v>46107</v>
      </c>
      <c r="B699" s="3">
        <v>2026</v>
      </c>
      <c r="C699" s="3" t="s">
        <v>2963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35"/>
        <v>24</v>
      </c>
      <c r="R699" s="53" t="str">
        <f t="shared" si="3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3">
        <f t="shared" si="34"/>
        <v>46</v>
      </c>
      <c r="Z699" s="18">
        <v>46153</v>
      </c>
      <c r="AA699" s="15"/>
      <c r="AB699" s="15"/>
    </row>
    <row r="700" spans="1:28" hidden="1">
      <c r="A700" s="6">
        <v>46107</v>
      </c>
      <c r="B700" s="3">
        <v>2026</v>
      </c>
      <c r="C700" s="3" t="s">
        <v>2963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35"/>
        <v>24</v>
      </c>
      <c r="R700" s="53" t="str">
        <f t="shared" si="3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3">
        <f t="shared" si="34"/>
        <v>46</v>
      </c>
      <c r="Z700" s="18">
        <v>46153</v>
      </c>
      <c r="AA700" s="15"/>
      <c r="AB700" s="15"/>
    </row>
    <row r="701" spans="1:28" hidden="1">
      <c r="A701" s="6">
        <v>46107</v>
      </c>
      <c r="B701" s="3">
        <v>2026</v>
      </c>
      <c r="C701" s="3" t="s">
        <v>2963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35"/>
        <v>24</v>
      </c>
      <c r="R701" s="53" t="str">
        <f t="shared" si="3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3">
        <f t="shared" si="34"/>
        <v>46</v>
      </c>
      <c r="Z701" s="18">
        <v>46153</v>
      </c>
      <c r="AA701" s="15"/>
      <c r="AB701" s="15"/>
    </row>
    <row r="702" spans="1:28" hidden="1">
      <c r="A702" s="6">
        <v>46107</v>
      </c>
      <c r="B702" s="3">
        <v>2026</v>
      </c>
      <c r="C702" s="3" t="s">
        <v>2963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35"/>
        <v>24</v>
      </c>
      <c r="R702" s="53" t="str">
        <f t="shared" si="3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3">
        <f t="shared" si="34"/>
        <v>46</v>
      </c>
      <c r="Z702" s="18">
        <v>46153</v>
      </c>
      <c r="AA702" s="15"/>
      <c r="AB702" s="15"/>
    </row>
    <row r="703" spans="1:28" hidden="1">
      <c r="A703" s="6">
        <v>46107</v>
      </c>
      <c r="B703" s="3">
        <v>2026</v>
      </c>
      <c r="C703" s="3" t="s">
        <v>2963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35"/>
        <v>24</v>
      </c>
      <c r="R703" s="53" t="str">
        <f t="shared" si="3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3">
        <f t="shared" si="34"/>
        <v>46</v>
      </c>
      <c r="Z703" s="18">
        <v>46153</v>
      </c>
      <c r="AA703" s="15"/>
      <c r="AB703" s="15"/>
    </row>
    <row r="704" spans="1:28" hidden="1">
      <c r="A704" s="6">
        <v>46107</v>
      </c>
      <c r="B704" s="3">
        <v>2026</v>
      </c>
      <c r="C704" s="3" t="s">
        <v>2963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35"/>
        <v>24</v>
      </c>
      <c r="R704" s="53" t="str">
        <f t="shared" si="3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3">
        <f t="shared" si="34"/>
        <v>46</v>
      </c>
      <c r="Z704" s="18">
        <v>46153</v>
      </c>
      <c r="AA704" s="15"/>
      <c r="AB704" s="15"/>
    </row>
    <row r="705" spans="1:28" hidden="1">
      <c r="A705" s="6">
        <v>46107</v>
      </c>
      <c r="B705" s="3">
        <v>2026</v>
      </c>
      <c r="C705" s="3" t="s">
        <v>2963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35"/>
        <v>24</v>
      </c>
      <c r="R705" s="53" t="str">
        <f t="shared" si="3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3">
        <f t="shared" si="34"/>
        <v>46</v>
      </c>
      <c r="Z705" s="18">
        <v>46153</v>
      </c>
      <c r="AA705" s="15"/>
      <c r="AB705" s="15"/>
    </row>
    <row r="706" spans="1:28" hidden="1">
      <c r="A706" s="6">
        <v>46107</v>
      </c>
      <c r="B706" s="3">
        <v>2026</v>
      </c>
      <c r="C706" s="3" t="s">
        <v>2963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35"/>
        <v>24</v>
      </c>
      <c r="R706" s="53" t="str">
        <f t="shared" si="3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3">
        <f t="shared" ref="Y706:Y769" si="37">X706-A706</f>
        <v>46</v>
      </c>
      <c r="Z706" s="18">
        <v>46153</v>
      </c>
      <c r="AA706" s="15"/>
      <c r="AB706" s="15"/>
    </row>
    <row r="707" spans="1:28" hidden="1">
      <c r="A707" s="6">
        <v>46107</v>
      </c>
      <c r="B707" s="3">
        <v>2026</v>
      </c>
      <c r="C707" s="3" t="s">
        <v>2963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35"/>
        <v>24</v>
      </c>
      <c r="R707" s="53" t="str">
        <f t="shared" si="3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3">
        <f t="shared" si="37"/>
        <v>46</v>
      </c>
      <c r="Z707" s="18">
        <v>46153</v>
      </c>
      <c r="AA707" s="15"/>
      <c r="AB707" s="15"/>
    </row>
    <row r="708" spans="1:28" hidden="1">
      <c r="A708" s="6">
        <v>46107</v>
      </c>
      <c r="B708" s="3">
        <v>2026</v>
      </c>
      <c r="C708" s="3" t="s">
        <v>2963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35"/>
        <v>24</v>
      </c>
      <c r="R708" s="53" t="str">
        <f t="shared" si="3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3">
        <f t="shared" si="37"/>
        <v>46</v>
      </c>
      <c r="Z708" s="18">
        <v>46153</v>
      </c>
      <c r="AA708" s="15"/>
      <c r="AB708" s="15"/>
    </row>
    <row r="709" spans="1:28" hidden="1">
      <c r="A709" s="6">
        <v>46107</v>
      </c>
      <c r="B709" s="3">
        <v>2026</v>
      </c>
      <c r="C709" s="3" t="s">
        <v>2963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35"/>
        <v>24</v>
      </c>
      <c r="R709" s="53" t="str">
        <f t="shared" si="3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3">
        <f t="shared" si="37"/>
        <v>46</v>
      </c>
      <c r="Z709" s="18">
        <v>46153</v>
      </c>
      <c r="AA709" s="15"/>
      <c r="AB709" s="15"/>
    </row>
    <row r="710" spans="1:28" hidden="1">
      <c r="A710" s="6">
        <v>46107</v>
      </c>
      <c r="B710" s="3">
        <v>2026</v>
      </c>
      <c r="C710" s="3" t="s">
        <v>2963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35"/>
        <v>24</v>
      </c>
      <c r="R710" s="53" t="str">
        <f t="shared" si="3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3">
        <f t="shared" si="37"/>
        <v>46</v>
      </c>
      <c r="Z710" s="18">
        <v>46153</v>
      </c>
      <c r="AA710" s="15"/>
      <c r="AB710" s="15"/>
    </row>
    <row r="711" spans="1:28" hidden="1">
      <c r="A711" s="6">
        <v>46107</v>
      </c>
      <c r="B711" s="3">
        <v>2026</v>
      </c>
      <c r="C711" s="3" t="s">
        <v>2963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35"/>
        <v>24</v>
      </c>
      <c r="R711" s="53" t="str">
        <f t="shared" si="3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3">
        <f t="shared" si="37"/>
        <v>46</v>
      </c>
      <c r="Z711" s="18">
        <v>46153</v>
      </c>
      <c r="AA711" s="15"/>
      <c r="AB711" s="15"/>
    </row>
    <row r="712" spans="1:28" hidden="1">
      <c r="A712" s="6">
        <v>46107</v>
      </c>
      <c r="B712" s="3">
        <v>2026</v>
      </c>
      <c r="C712" s="3" t="s">
        <v>2963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35"/>
        <v>24</v>
      </c>
      <c r="R712" s="53" t="str">
        <f t="shared" si="3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3">
        <f t="shared" si="37"/>
        <v>46</v>
      </c>
      <c r="Z712" s="18">
        <v>46153</v>
      </c>
      <c r="AA712" s="15"/>
      <c r="AB712" s="15"/>
    </row>
    <row r="713" spans="1:28" hidden="1">
      <c r="A713" s="6">
        <v>46107</v>
      </c>
      <c r="B713" s="3">
        <v>2026</v>
      </c>
      <c r="C713" s="3" t="s">
        <v>2963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35"/>
        <v>24</v>
      </c>
      <c r="R713" s="53" t="str">
        <f t="shared" si="3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3">
        <f t="shared" si="37"/>
        <v>46</v>
      </c>
      <c r="Z713" s="18">
        <v>46153</v>
      </c>
      <c r="AA713" s="15"/>
      <c r="AB713" s="15"/>
    </row>
    <row r="714" spans="1:28" hidden="1">
      <c r="A714" s="6">
        <v>46107</v>
      </c>
      <c r="B714" s="3">
        <v>2026</v>
      </c>
      <c r="C714" s="3" t="s">
        <v>2963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35"/>
        <v>24</v>
      </c>
      <c r="R714" s="53" t="str">
        <f t="shared" si="3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3">
        <f t="shared" si="37"/>
        <v>46</v>
      </c>
      <c r="Z714" s="18">
        <v>46153</v>
      </c>
      <c r="AA714" s="15"/>
      <c r="AB714" s="15"/>
    </row>
    <row r="715" spans="1:28" hidden="1">
      <c r="A715" s="6">
        <v>46107</v>
      </c>
      <c r="B715" s="3">
        <v>2026</v>
      </c>
      <c r="C715" s="3" t="s">
        <v>2963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35"/>
        <v>24</v>
      </c>
      <c r="R715" s="53" t="str">
        <f t="shared" si="3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3">
        <f t="shared" si="37"/>
        <v>46</v>
      </c>
      <c r="Z715" s="18">
        <v>46153</v>
      </c>
      <c r="AA715" s="15"/>
      <c r="AB715" s="15"/>
    </row>
    <row r="716" spans="1:28" hidden="1">
      <c r="A716" s="6">
        <v>46107</v>
      </c>
      <c r="B716" s="3">
        <v>2026</v>
      </c>
      <c r="C716" s="3" t="s">
        <v>2963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35"/>
        <v>24</v>
      </c>
      <c r="R716" s="53" t="str">
        <f t="shared" si="3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3">
        <f t="shared" si="37"/>
        <v>46</v>
      </c>
      <c r="Z716" s="18">
        <v>46153</v>
      </c>
      <c r="AA716" s="15"/>
      <c r="AB716" s="15"/>
    </row>
    <row r="717" spans="1:28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35"/>
        <v>24</v>
      </c>
      <c r="R717" s="53" t="str">
        <f t="shared" si="3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3">
        <f t="shared" si="37"/>
        <v>10</v>
      </c>
      <c r="Z717" s="18">
        <v>46153</v>
      </c>
      <c r="AA717" s="15"/>
      <c r="AB717" s="15"/>
    </row>
    <row r="718" spans="1:28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35"/>
        <v>24</v>
      </c>
      <c r="R718" s="53" t="str">
        <f t="shared" si="3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3">
        <f t="shared" si="37"/>
        <v>10</v>
      </c>
      <c r="Z718" s="18">
        <v>46153</v>
      </c>
      <c r="AA718" s="15"/>
      <c r="AB718" s="15"/>
    </row>
    <row r="719" spans="1:28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35"/>
        <v>24</v>
      </c>
      <c r="R719" s="53" t="str">
        <f t="shared" si="3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3">
        <f t="shared" si="37"/>
        <v>10</v>
      </c>
      <c r="Z719" s="18">
        <v>46153</v>
      </c>
      <c r="AA719" s="15"/>
      <c r="AB719" s="15"/>
    </row>
    <row r="720" spans="1:28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35"/>
        <v>24</v>
      </c>
      <c r="R720" s="53" t="str">
        <f t="shared" si="3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3">
        <f t="shared" si="37"/>
        <v>10</v>
      </c>
      <c r="Z720" s="18">
        <v>46153</v>
      </c>
      <c r="AA720" s="15"/>
      <c r="AB720" s="15"/>
    </row>
    <row r="721" spans="1:28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35"/>
        <v>24</v>
      </c>
      <c r="R721" s="53" t="str">
        <f t="shared" si="3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3">
        <f t="shared" si="37"/>
        <v>10</v>
      </c>
      <c r="Z721" s="18">
        <v>46153</v>
      </c>
      <c r="AA721" s="15"/>
      <c r="AB721" s="15"/>
    </row>
    <row r="722" spans="1:28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35"/>
        <v>24</v>
      </c>
      <c r="R722" s="53" t="str">
        <f t="shared" si="3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3">
        <f t="shared" si="37"/>
        <v>10</v>
      </c>
      <c r="Z722" s="18">
        <v>46153</v>
      </c>
      <c r="AA722" s="15"/>
      <c r="AB722" s="15"/>
    </row>
    <row r="723" spans="1:28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35"/>
        <v>24</v>
      </c>
      <c r="R723" s="53" t="str">
        <f t="shared" si="3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3">
        <f t="shared" si="37"/>
        <v>10</v>
      </c>
      <c r="Z723" s="18">
        <v>46153</v>
      </c>
      <c r="AA723" s="15"/>
      <c r="AB723" s="15"/>
    </row>
    <row r="724" spans="1:28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35"/>
        <v>24</v>
      </c>
      <c r="R724" s="53" t="str">
        <f t="shared" si="3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3">
        <f t="shared" si="37"/>
        <v>10</v>
      </c>
      <c r="Z724" s="18">
        <v>46153</v>
      </c>
      <c r="AA724" s="15"/>
      <c r="AB724" s="15"/>
    </row>
    <row r="725" spans="1:28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35"/>
        <v>24</v>
      </c>
      <c r="R725" s="53" t="str">
        <f t="shared" si="3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3">
        <f t="shared" si="37"/>
        <v>10</v>
      </c>
      <c r="Z725" s="18">
        <v>46153</v>
      </c>
      <c r="AA725" s="15"/>
      <c r="AB725" s="15"/>
    </row>
    <row r="726" spans="1:28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35"/>
        <v>24</v>
      </c>
      <c r="R726" s="53" t="str">
        <f t="shared" si="3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3">
        <f t="shared" si="37"/>
        <v>10</v>
      </c>
      <c r="Z726" s="18">
        <v>46153</v>
      </c>
      <c r="AA726" s="15"/>
      <c r="AB726" s="15"/>
    </row>
    <row r="727" spans="1:28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35"/>
        <v>24</v>
      </c>
      <c r="R727" s="53" t="str">
        <f t="shared" si="3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3">
        <f t="shared" si="37"/>
        <v>10</v>
      </c>
      <c r="Z727" s="18">
        <v>46153</v>
      </c>
      <c r="AA727" s="15"/>
      <c r="AB727" s="15"/>
    </row>
    <row r="728" spans="1:28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35"/>
        <v>24</v>
      </c>
      <c r="R728" s="53" t="str">
        <f t="shared" si="3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3">
        <f t="shared" si="37"/>
        <v>10</v>
      </c>
      <c r="Z728" s="18">
        <v>46153</v>
      </c>
      <c r="AA728" s="15"/>
      <c r="AB728" s="15"/>
    </row>
    <row r="729" spans="1:28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35"/>
        <v>24</v>
      </c>
      <c r="R729" s="53" t="str">
        <f t="shared" si="3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3">
        <f t="shared" si="37"/>
        <v>10</v>
      </c>
      <c r="Z729" s="18">
        <v>46153</v>
      </c>
      <c r="AA729" s="15"/>
      <c r="AB729" s="15"/>
    </row>
    <row r="730" spans="1:28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35"/>
        <v>24</v>
      </c>
      <c r="R730" s="53" t="str">
        <f t="shared" si="3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3">
        <f t="shared" si="37"/>
        <v>10</v>
      </c>
      <c r="Z730" s="18">
        <v>46153</v>
      </c>
      <c r="AA730" s="15"/>
      <c r="AB730" s="15"/>
    </row>
    <row r="731" spans="1:28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35"/>
        <v>24</v>
      </c>
      <c r="R731" s="53" t="str">
        <f t="shared" si="3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3">
        <f t="shared" si="37"/>
        <v>10</v>
      </c>
      <c r="Z731" s="18">
        <v>46153</v>
      </c>
      <c r="AA731" s="15"/>
      <c r="AB731" s="15"/>
    </row>
    <row r="732" spans="1:28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35"/>
        <v>24</v>
      </c>
      <c r="R732" s="53" t="str">
        <f t="shared" si="3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3">
        <f t="shared" si="37"/>
        <v>10</v>
      </c>
      <c r="Z732" s="18">
        <v>46153</v>
      </c>
      <c r="AA732" s="15"/>
      <c r="AB732" s="15"/>
    </row>
    <row r="733" spans="1:28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35"/>
        <v>24</v>
      </c>
      <c r="R733" s="53" t="str">
        <f t="shared" si="3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3">
        <f t="shared" si="37"/>
        <v>10</v>
      </c>
      <c r="Z733" s="18">
        <v>46153</v>
      </c>
      <c r="AA733" s="15"/>
      <c r="AB733" s="15"/>
    </row>
    <row r="734" spans="1:28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35"/>
        <v>24</v>
      </c>
      <c r="R734" s="53" t="str">
        <f t="shared" si="3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3">
        <f t="shared" si="37"/>
        <v>10</v>
      </c>
      <c r="Z734" s="18">
        <v>46153</v>
      </c>
      <c r="AA734" s="15"/>
      <c r="AB734" s="15"/>
    </row>
    <row r="735" spans="1:28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35"/>
        <v>24</v>
      </c>
      <c r="R735" s="53" t="str">
        <f t="shared" si="3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3">
        <f t="shared" si="37"/>
        <v>10</v>
      </c>
      <c r="Z735" s="18">
        <v>46153</v>
      </c>
      <c r="AA735" s="15"/>
      <c r="AB735" s="15"/>
    </row>
    <row r="736" spans="1:28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35"/>
        <v>24</v>
      </c>
      <c r="R736" s="53" t="str">
        <f t="shared" si="3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3">
        <f t="shared" si="37"/>
        <v>10</v>
      </c>
      <c r="Z736" s="18">
        <v>46153</v>
      </c>
      <c r="AA736" s="15"/>
      <c r="AB736" s="15"/>
    </row>
    <row r="737" spans="1:28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35"/>
        <v>24</v>
      </c>
      <c r="R737" s="53" t="str">
        <f t="shared" si="3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3">
        <f t="shared" si="37"/>
        <v>10</v>
      </c>
      <c r="Z737" s="18">
        <v>46153</v>
      </c>
      <c r="AA737" s="15"/>
      <c r="AB737" s="15"/>
    </row>
    <row r="738" spans="1:28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35"/>
        <v>24</v>
      </c>
      <c r="R738" s="53" t="str">
        <f t="shared" si="3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3">
        <f t="shared" si="37"/>
        <v>10</v>
      </c>
      <c r="Z738" s="18">
        <v>46153</v>
      </c>
      <c r="AA738" s="15"/>
      <c r="AB738" s="15"/>
    </row>
    <row r="739" spans="1:28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35"/>
        <v>24</v>
      </c>
      <c r="R739" s="53" t="str">
        <f t="shared" si="3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3">
        <f t="shared" si="37"/>
        <v>10</v>
      </c>
      <c r="Z739" s="18">
        <v>46153</v>
      </c>
      <c r="AA739" s="15"/>
      <c r="AB739" s="15"/>
    </row>
    <row r="740" spans="1:28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35"/>
        <v>24</v>
      </c>
      <c r="R740" s="53" t="str">
        <f t="shared" si="3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3">
        <f t="shared" si="37"/>
        <v>10</v>
      </c>
      <c r="Z740" s="18">
        <v>46153</v>
      </c>
      <c r="AA740" s="15"/>
      <c r="AB740" s="15"/>
    </row>
    <row r="741" spans="1:28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35"/>
        <v>24</v>
      </c>
      <c r="R741" s="53" t="str">
        <f t="shared" si="3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3">
        <f t="shared" si="37"/>
        <v>10</v>
      </c>
      <c r="Z741" s="18">
        <v>46153</v>
      </c>
      <c r="AA741" s="15"/>
      <c r="AB741" s="15"/>
    </row>
    <row r="742" spans="1:28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35"/>
        <v>24</v>
      </c>
      <c r="R742" s="53" t="str">
        <f t="shared" si="3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3">
        <f t="shared" si="37"/>
        <v>10</v>
      </c>
      <c r="Z742" s="18">
        <v>46153</v>
      </c>
      <c r="AA742" s="15"/>
      <c r="AB742" s="15"/>
    </row>
    <row r="743" spans="1:28">
      <c r="A743" s="37">
        <v>46154</v>
      </c>
      <c r="B743" s="3">
        <v>2026</v>
      </c>
      <c r="C743" s="19" t="s">
        <v>2970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38">MID(P743,5,2)</f>
        <v>24</v>
      </c>
      <c r="R743" s="53" t="str">
        <f t="shared" ref="R743:R806" si="39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3">
        <f t="shared" si="37"/>
        <v>1</v>
      </c>
      <c r="Z743" s="19"/>
      <c r="AA743" s="19"/>
      <c r="AB743" s="19"/>
    </row>
    <row r="744" spans="1:28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38"/>
        <v>25</v>
      </c>
      <c r="R744" s="53" t="str">
        <f t="shared" si="39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3">
        <f t="shared" si="37"/>
        <v>1</v>
      </c>
      <c r="Z744" s="19" t="s">
        <v>349</v>
      </c>
      <c r="AA744" s="19"/>
      <c r="AB744" s="19"/>
    </row>
    <row r="745" spans="1:28" hidden="1">
      <c r="A745" s="6">
        <v>46107</v>
      </c>
      <c r="B745" s="3">
        <v>2026</v>
      </c>
      <c r="C745" s="3" t="s">
        <v>2963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38"/>
        <v>24</v>
      </c>
      <c r="R745" s="53" t="str">
        <f t="shared" si="39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3">
        <f t="shared" si="37"/>
        <v>47</v>
      </c>
      <c r="Z745" s="18">
        <v>46154</v>
      </c>
      <c r="AA745" s="15"/>
      <c r="AB745" s="15"/>
    </row>
    <row r="746" spans="1:28" hidden="1">
      <c r="A746" s="6">
        <v>46107</v>
      </c>
      <c r="B746" s="3">
        <v>2026</v>
      </c>
      <c r="C746" s="3" t="s">
        <v>2963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38"/>
        <v>24</v>
      </c>
      <c r="R746" s="53" t="str">
        <f t="shared" si="39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3">
        <f t="shared" si="37"/>
        <v>47</v>
      </c>
      <c r="Z746" s="18">
        <v>46154</v>
      </c>
      <c r="AA746" s="15"/>
      <c r="AB746" s="15"/>
    </row>
    <row r="747" spans="1:28" hidden="1">
      <c r="A747" s="6">
        <v>46107</v>
      </c>
      <c r="B747" s="3">
        <v>2026</v>
      </c>
      <c r="C747" s="3" t="s">
        <v>2963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38"/>
        <v>24</v>
      </c>
      <c r="R747" s="53" t="str">
        <f t="shared" si="39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3">
        <f t="shared" si="37"/>
        <v>47</v>
      </c>
      <c r="Z747" s="18">
        <v>46154</v>
      </c>
      <c r="AA747" s="15"/>
      <c r="AB747" s="15"/>
    </row>
    <row r="748" spans="1:28" hidden="1">
      <c r="A748" s="6">
        <v>46107</v>
      </c>
      <c r="B748" s="3">
        <v>2026</v>
      </c>
      <c r="C748" s="3" t="s">
        <v>2963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38"/>
        <v>24</v>
      </c>
      <c r="R748" s="53" t="str">
        <f t="shared" si="39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3">
        <f t="shared" si="37"/>
        <v>47</v>
      </c>
      <c r="Z748" s="18">
        <v>46154</v>
      </c>
      <c r="AA748" s="15"/>
      <c r="AB748" s="15"/>
    </row>
    <row r="749" spans="1:28" hidden="1">
      <c r="A749" s="6">
        <v>46107</v>
      </c>
      <c r="B749" s="3">
        <v>2026</v>
      </c>
      <c r="C749" s="3" t="s">
        <v>2963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38"/>
        <v>24</v>
      </c>
      <c r="R749" s="53" t="str">
        <f t="shared" si="39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3">
        <f t="shared" si="37"/>
        <v>47</v>
      </c>
      <c r="Z749" s="18">
        <v>46154</v>
      </c>
      <c r="AA749" s="15"/>
      <c r="AB749" s="15"/>
    </row>
    <row r="750" spans="1:28" hidden="1">
      <c r="A750" s="6">
        <v>46107</v>
      </c>
      <c r="B750" s="3">
        <v>2026</v>
      </c>
      <c r="C750" s="3" t="s">
        <v>2963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38"/>
        <v>24</v>
      </c>
      <c r="R750" s="53" t="str">
        <f t="shared" si="39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3">
        <f t="shared" si="37"/>
        <v>47</v>
      </c>
      <c r="Z750" s="18">
        <v>46154</v>
      </c>
      <c r="AA750" s="15"/>
      <c r="AB750" s="15"/>
    </row>
    <row r="751" spans="1:28" hidden="1">
      <c r="A751" s="6">
        <v>46107</v>
      </c>
      <c r="B751" s="3">
        <v>2026</v>
      </c>
      <c r="C751" s="3" t="s">
        <v>2963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38"/>
        <v>24</v>
      </c>
      <c r="R751" s="53" t="str">
        <f t="shared" si="39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3">
        <f t="shared" si="37"/>
        <v>47</v>
      </c>
      <c r="Z751" s="18">
        <v>46154</v>
      </c>
      <c r="AA751" s="15"/>
      <c r="AB751" s="15"/>
    </row>
    <row r="752" spans="1:28" hidden="1">
      <c r="A752" s="6">
        <v>46107</v>
      </c>
      <c r="B752" s="3">
        <v>2026</v>
      </c>
      <c r="C752" s="3" t="s">
        <v>2963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38"/>
        <v>24</v>
      </c>
      <c r="R752" s="53" t="str">
        <f t="shared" si="39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3">
        <f t="shared" si="37"/>
        <v>47</v>
      </c>
      <c r="Z752" s="18">
        <v>46154</v>
      </c>
      <c r="AA752" s="15"/>
      <c r="AB752" s="15"/>
    </row>
    <row r="753" spans="1:28" hidden="1">
      <c r="A753" s="6">
        <v>46107</v>
      </c>
      <c r="B753" s="3">
        <v>2026</v>
      </c>
      <c r="C753" s="3" t="s">
        <v>2963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38"/>
        <v>24</v>
      </c>
      <c r="R753" s="53" t="str">
        <f t="shared" si="39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3">
        <f t="shared" si="37"/>
        <v>47</v>
      </c>
      <c r="Z753" s="18">
        <v>46154</v>
      </c>
      <c r="AA753" s="15"/>
      <c r="AB753" s="15"/>
    </row>
    <row r="754" spans="1:28" hidden="1">
      <c r="A754" s="6">
        <v>46107</v>
      </c>
      <c r="B754" s="3">
        <v>2026</v>
      </c>
      <c r="C754" s="3" t="s">
        <v>2963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38"/>
        <v>24</v>
      </c>
      <c r="R754" s="53" t="str">
        <f t="shared" si="39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3">
        <f t="shared" si="37"/>
        <v>47</v>
      </c>
      <c r="Z754" s="18">
        <v>46154</v>
      </c>
      <c r="AA754" s="15"/>
      <c r="AB754" s="15"/>
    </row>
    <row r="755" spans="1:28" hidden="1">
      <c r="A755" s="6">
        <v>46107</v>
      </c>
      <c r="B755" s="3">
        <v>2026</v>
      </c>
      <c r="C755" s="3" t="s">
        <v>2963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38"/>
        <v>24</v>
      </c>
      <c r="R755" s="53" t="str">
        <f t="shared" si="39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3">
        <f t="shared" si="37"/>
        <v>47</v>
      </c>
      <c r="Z755" s="18">
        <v>46154</v>
      </c>
      <c r="AA755" s="15"/>
      <c r="AB755" s="15"/>
    </row>
    <row r="756" spans="1:28" hidden="1">
      <c r="A756" s="6">
        <v>46107</v>
      </c>
      <c r="B756" s="3">
        <v>2026</v>
      </c>
      <c r="C756" s="3" t="s">
        <v>2963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38"/>
        <v>24</v>
      </c>
      <c r="R756" s="53" t="str">
        <f t="shared" si="39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3">
        <f t="shared" si="37"/>
        <v>47</v>
      </c>
      <c r="Z756" s="18">
        <v>46154</v>
      </c>
      <c r="AA756" s="15"/>
      <c r="AB756" s="15"/>
    </row>
    <row r="757" spans="1:28" hidden="1">
      <c r="A757" s="6">
        <v>46107</v>
      </c>
      <c r="B757" s="3">
        <v>2026</v>
      </c>
      <c r="C757" s="3" t="s">
        <v>2963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38"/>
        <v>24</v>
      </c>
      <c r="R757" s="53" t="str">
        <f t="shared" si="39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3">
        <f t="shared" si="37"/>
        <v>47</v>
      </c>
      <c r="Z757" s="18">
        <v>46154</v>
      </c>
      <c r="AA757" s="15"/>
      <c r="AB757" s="15"/>
    </row>
    <row r="758" spans="1:28" hidden="1">
      <c r="A758" s="6">
        <v>46107</v>
      </c>
      <c r="B758" s="3">
        <v>2026</v>
      </c>
      <c r="C758" s="3" t="s">
        <v>2963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38"/>
        <v>24</v>
      </c>
      <c r="R758" s="53" t="str">
        <f t="shared" si="39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3">
        <f t="shared" si="37"/>
        <v>47</v>
      </c>
      <c r="Z758" s="18">
        <v>46154</v>
      </c>
      <c r="AA758" s="15"/>
      <c r="AB758" s="15"/>
    </row>
    <row r="759" spans="1:28" hidden="1">
      <c r="A759" s="6">
        <v>46107</v>
      </c>
      <c r="B759" s="3">
        <v>2026</v>
      </c>
      <c r="C759" s="3" t="s">
        <v>2963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38"/>
        <v>24</v>
      </c>
      <c r="R759" s="53" t="str">
        <f t="shared" si="39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3">
        <f t="shared" si="37"/>
        <v>47</v>
      </c>
      <c r="Z759" s="18">
        <v>46154</v>
      </c>
      <c r="AA759" s="15"/>
      <c r="AB759" s="15"/>
    </row>
    <row r="760" spans="1:28" hidden="1">
      <c r="A760" s="6">
        <v>46107</v>
      </c>
      <c r="B760" s="3">
        <v>2026</v>
      </c>
      <c r="C760" s="3" t="s">
        <v>2963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38"/>
        <v>24</v>
      </c>
      <c r="R760" s="53" t="str">
        <f t="shared" si="39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3">
        <f t="shared" si="37"/>
        <v>47</v>
      </c>
      <c r="Z760" s="18">
        <v>46154</v>
      </c>
      <c r="AA760" s="15"/>
      <c r="AB760" s="15"/>
    </row>
    <row r="761" spans="1:28" hidden="1">
      <c r="A761" s="6">
        <v>46107</v>
      </c>
      <c r="B761" s="3">
        <v>2026</v>
      </c>
      <c r="C761" s="3" t="s">
        <v>2963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38"/>
        <v>24</v>
      </c>
      <c r="R761" s="53" t="str">
        <f t="shared" si="39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3">
        <f t="shared" si="37"/>
        <v>47</v>
      </c>
      <c r="Z761" s="18">
        <v>46154</v>
      </c>
      <c r="AA761" s="15"/>
      <c r="AB761" s="15"/>
    </row>
    <row r="762" spans="1:28" hidden="1">
      <c r="A762" s="6">
        <v>46107</v>
      </c>
      <c r="B762" s="3">
        <v>2026</v>
      </c>
      <c r="C762" s="3" t="s">
        <v>2963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38"/>
        <v>24</v>
      </c>
      <c r="R762" s="53" t="str">
        <f t="shared" si="39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3">
        <f t="shared" si="37"/>
        <v>47</v>
      </c>
      <c r="Z762" s="18">
        <v>46154</v>
      </c>
      <c r="AA762" s="15"/>
      <c r="AB762" s="15"/>
    </row>
    <row r="763" spans="1:28" hidden="1">
      <c r="A763" s="6">
        <v>46107</v>
      </c>
      <c r="B763" s="3">
        <v>2026</v>
      </c>
      <c r="C763" s="3" t="s">
        <v>2963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38"/>
        <v>24</v>
      </c>
      <c r="R763" s="53" t="str">
        <f t="shared" si="39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3">
        <f t="shared" si="37"/>
        <v>47</v>
      </c>
      <c r="Z763" s="18">
        <v>46154</v>
      </c>
      <c r="AA763" s="15"/>
      <c r="AB763" s="15"/>
    </row>
    <row r="764" spans="1:28" hidden="1">
      <c r="A764" s="6">
        <v>46107</v>
      </c>
      <c r="B764" s="3">
        <v>2026</v>
      </c>
      <c r="C764" s="3" t="s">
        <v>2963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38"/>
        <v>24</v>
      </c>
      <c r="R764" s="53" t="str">
        <f t="shared" si="39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3">
        <f t="shared" si="37"/>
        <v>47</v>
      </c>
      <c r="Z764" s="18">
        <v>46154</v>
      </c>
      <c r="AA764" s="15"/>
      <c r="AB764" s="15"/>
    </row>
    <row r="765" spans="1:28" hidden="1">
      <c r="A765" s="6">
        <v>46107</v>
      </c>
      <c r="B765" s="3">
        <v>2026</v>
      </c>
      <c r="C765" s="3" t="s">
        <v>2963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38"/>
        <v>24</v>
      </c>
      <c r="R765" s="53" t="str">
        <f t="shared" si="39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3">
        <f t="shared" si="37"/>
        <v>47</v>
      </c>
      <c r="Z765" s="18">
        <v>46154</v>
      </c>
      <c r="AA765" s="15"/>
      <c r="AB765" s="15"/>
    </row>
    <row r="766" spans="1:28" hidden="1">
      <c r="A766" s="6">
        <v>46107</v>
      </c>
      <c r="B766" s="3">
        <v>2026</v>
      </c>
      <c r="C766" s="3" t="s">
        <v>2963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38"/>
        <v>24</v>
      </c>
      <c r="R766" s="53" t="str">
        <f t="shared" si="39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3">
        <f t="shared" si="37"/>
        <v>47</v>
      </c>
      <c r="Z766" s="18">
        <v>46154</v>
      </c>
      <c r="AA766" s="15"/>
      <c r="AB766" s="15"/>
    </row>
    <row r="767" spans="1:28" hidden="1">
      <c r="A767" s="6">
        <v>46107</v>
      </c>
      <c r="B767" s="3">
        <v>2026</v>
      </c>
      <c r="C767" s="3" t="s">
        <v>2963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38"/>
        <v>24</v>
      </c>
      <c r="R767" s="53" t="str">
        <f t="shared" si="39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3">
        <f t="shared" si="37"/>
        <v>47</v>
      </c>
      <c r="Z767" s="18">
        <v>46154</v>
      </c>
      <c r="AA767" s="15"/>
      <c r="AB767" s="15"/>
    </row>
    <row r="768" spans="1:28" hidden="1">
      <c r="A768" s="6">
        <v>46107</v>
      </c>
      <c r="B768" s="3">
        <v>2026</v>
      </c>
      <c r="C768" s="3" t="s">
        <v>2963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38"/>
        <v>24</v>
      </c>
      <c r="R768" s="53" t="str">
        <f t="shared" si="39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3">
        <f t="shared" si="37"/>
        <v>47</v>
      </c>
      <c r="Z768" s="18">
        <v>46154</v>
      </c>
      <c r="AA768" s="15"/>
      <c r="AB768" s="15"/>
    </row>
    <row r="769" spans="1:28" hidden="1">
      <c r="A769" s="6">
        <v>46107</v>
      </c>
      <c r="B769" s="3">
        <v>2026</v>
      </c>
      <c r="C769" s="3" t="s">
        <v>2963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38"/>
        <v>24</v>
      </c>
      <c r="R769" s="53" t="str">
        <f t="shared" si="39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3">
        <f t="shared" si="37"/>
        <v>47</v>
      </c>
      <c r="Z769" s="18">
        <v>46154</v>
      </c>
      <c r="AA769" s="15"/>
      <c r="AB769" s="15"/>
    </row>
    <row r="770" spans="1:28" hidden="1">
      <c r="A770" s="6">
        <v>46107</v>
      </c>
      <c r="B770" s="3">
        <v>2026</v>
      </c>
      <c r="C770" s="3" t="s">
        <v>2963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38"/>
        <v>24</v>
      </c>
      <c r="R770" s="53" t="str">
        <f t="shared" si="39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3">
        <f t="shared" ref="Y770:Y833" si="40">X770-A770</f>
        <v>47</v>
      </c>
      <c r="Z770" s="18">
        <v>46154</v>
      </c>
      <c r="AA770" s="15"/>
      <c r="AB770" s="15"/>
    </row>
    <row r="771" spans="1:28" hidden="1">
      <c r="A771" s="6">
        <v>46107</v>
      </c>
      <c r="B771" s="3">
        <v>2026</v>
      </c>
      <c r="C771" s="3" t="s">
        <v>2963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38"/>
        <v>24</v>
      </c>
      <c r="R771" s="53" t="str">
        <f t="shared" si="39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3">
        <f t="shared" si="40"/>
        <v>47</v>
      </c>
      <c r="Z771" s="18">
        <v>46154</v>
      </c>
      <c r="AA771" s="15"/>
      <c r="AB771" s="15"/>
    </row>
    <row r="772" spans="1:28" hidden="1">
      <c r="A772" s="6">
        <v>46107</v>
      </c>
      <c r="B772" s="3">
        <v>2026</v>
      </c>
      <c r="C772" s="3" t="s">
        <v>2963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38"/>
        <v>24</v>
      </c>
      <c r="R772" s="53" t="str">
        <f t="shared" si="39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3">
        <f t="shared" si="40"/>
        <v>47</v>
      </c>
      <c r="Z772" s="18">
        <v>46154</v>
      </c>
      <c r="AA772" s="15"/>
      <c r="AB772" s="15"/>
    </row>
    <row r="773" spans="1:28" hidden="1">
      <c r="A773" s="6">
        <v>46107</v>
      </c>
      <c r="B773" s="3">
        <v>2026</v>
      </c>
      <c r="C773" s="3" t="s">
        <v>2963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38"/>
        <v>24</v>
      </c>
      <c r="R773" s="53" t="str">
        <f t="shared" si="39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3">
        <f t="shared" si="40"/>
        <v>47</v>
      </c>
      <c r="Z773" s="18">
        <v>46154</v>
      </c>
      <c r="AA773" s="15"/>
      <c r="AB773" s="15"/>
    </row>
    <row r="774" spans="1:28" hidden="1">
      <c r="A774" s="6">
        <v>46107</v>
      </c>
      <c r="B774" s="3">
        <v>2026</v>
      </c>
      <c r="C774" s="3" t="s">
        <v>2963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38"/>
        <v>24</v>
      </c>
      <c r="R774" s="53" t="str">
        <f t="shared" si="39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3">
        <f t="shared" si="40"/>
        <v>47</v>
      </c>
      <c r="Z774" s="18">
        <v>46154</v>
      </c>
      <c r="AA774" s="15"/>
      <c r="AB774" s="15"/>
    </row>
    <row r="775" spans="1:28" hidden="1">
      <c r="A775" s="6">
        <v>46107</v>
      </c>
      <c r="B775" s="3">
        <v>2026</v>
      </c>
      <c r="C775" s="3" t="s">
        <v>2963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38"/>
        <v>24</v>
      </c>
      <c r="R775" s="53" t="str">
        <f t="shared" si="39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3">
        <f t="shared" si="40"/>
        <v>47</v>
      </c>
      <c r="Z775" s="18">
        <v>46154</v>
      </c>
      <c r="AA775" s="15"/>
      <c r="AB775" s="15"/>
    </row>
    <row r="776" spans="1:28" hidden="1">
      <c r="A776" s="6">
        <v>46107</v>
      </c>
      <c r="B776" s="3">
        <v>2026</v>
      </c>
      <c r="C776" s="3" t="s">
        <v>2963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38"/>
        <v>24</v>
      </c>
      <c r="R776" s="53" t="str">
        <f t="shared" si="39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3">
        <f t="shared" si="40"/>
        <v>47</v>
      </c>
      <c r="Z776" s="18">
        <v>46154</v>
      </c>
      <c r="AA776" s="15"/>
      <c r="AB776" s="15"/>
    </row>
    <row r="777" spans="1:28" hidden="1">
      <c r="A777" s="6">
        <v>46107</v>
      </c>
      <c r="B777" s="3">
        <v>2026</v>
      </c>
      <c r="C777" s="3" t="s">
        <v>2963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38"/>
        <v>24</v>
      </c>
      <c r="R777" s="53" t="str">
        <f t="shared" si="39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3">
        <f t="shared" si="40"/>
        <v>47</v>
      </c>
      <c r="Z777" s="18">
        <v>46154</v>
      </c>
      <c r="AA777" s="15"/>
      <c r="AB777" s="15"/>
    </row>
    <row r="778" spans="1:28" hidden="1">
      <c r="A778" s="6">
        <v>46107</v>
      </c>
      <c r="B778" s="3">
        <v>2026</v>
      </c>
      <c r="C778" s="3" t="s">
        <v>2963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38"/>
        <v>24</v>
      </c>
      <c r="R778" s="53" t="str">
        <f t="shared" si="39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3">
        <f t="shared" si="40"/>
        <v>47</v>
      </c>
      <c r="Z778" s="18">
        <v>46154</v>
      </c>
      <c r="AA778" s="15"/>
      <c r="AB778" s="15"/>
    </row>
    <row r="779" spans="1:28" hidden="1">
      <c r="A779" s="6">
        <v>46107</v>
      </c>
      <c r="B779" s="3">
        <v>2026</v>
      </c>
      <c r="C779" s="3" t="s">
        <v>2963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38"/>
        <v>24</v>
      </c>
      <c r="R779" s="53" t="str">
        <f t="shared" si="39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3">
        <f t="shared" si="40"/>
        <v>47</v>
      </c>
      <c r="Z779" s="18">
        <v>46154</v>
      </c>
      <c r="AA779" s="15"/>
      <c r="AB779" s="15"/>
    </row>
    <row r="780" spans="1:28" hidden="1">
      <c r="A780" s="6">
        <v>46107</v>
      </c>
      <c r="B780" s="3">
        <v>2026</v>
      </c>
      <c r="C780" s="3" t="s">
        <v>2963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38"/>
        <v>24</v>
      </c>
      <c r="R780" s="53" t="str">
        <f t="shared" si="39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3">
        <f t="shared" si="40"/>
        <v>47</v>
      </c>
      <c r="Z780" s="18">
        <v>46154</v>
      </c>
      <c r="AA780" s="15"/>
      <c r="AB780" s="15"/>
    </row>
    <row r="781" spans="1:28" hidden="1">
      <c r="A781" s="6">
        <v>46107</v>
      </c>
      <c r="B781" s="3">
        <v>2026</v>
      </c>
      <c r="C781" s="3" t="s">
        <v>2963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38"/>
        <v>24</v>
      </c>
      <c r="R781" s="53" t="str">
        <f t="shared" si="39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3">
        <f t="shared" si="40"/>
        <v>47</v>
      </c>
      <c r="Z781" s="18">
        <v>46154</v>
      </c>
      <c r="AA781" s="15"/>
      <c r="AB781" s="15"/>
    </row>
    <row r="782" spans="1:28" hidden="1">
      <c r="A782" s="6">
        <v>46107</v>
      </c>
      <c r="B782" s="3">
        <v>2026</v>
      </c>
      <c r="C782" s="3" t="s">
        <v>2963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38"/>
        <v>24</v>
      </c>
      <c r="R782" s="53" t="str">
        <f t="shared" si="39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3">
        <f t="shared" si="40"/>
        <v>47</v>
      </c>
      <c r="Z782" s="18">
        <v>46154</v>
      </c>
      <c r="AA782" s="15"/>
      <c r="AB782" s="15"/>
    </row>
    <row r="783" spans="1:28" hidden="1">
      <c r="A783" s="6">
        <v>46107</v>
      </c>
      <c r="B783" s="3">
        <v>2026</v>
      </c>
      <c r="C783" s="3" t="s">
        <v>2963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38"/>
        <v>24</v>
      </c>
      <c r="R783" s="53" t="str">
        <f t="shared" si="39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3">
        <f t="shared" si="40"/>
        <v>47</v>
      </c>
      <c r="Z783" s="18">
        <v>46154</v>
      </c>
      <c r="AA783" s="15"/>
      <c r="AB783" s="15"/>
    </row>
    <row r="784" spans="1:28" hidden="1">
      <c r="A784" s="6">
        <v>46107</v>
      </c>
      <c r="B784" s="3">
        <v>2026</v>
      </c>
      <c r="C784" s="3" t="s">
        <v>2963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38"/>
        <v>24</v>
      </c>
      <c r="R784" s="53" t="str">
        <f t="shared" si="39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3">
        <f t="shared" si="40"/>
        <v>47</v>
      </c>
      <c r="Z784" s="18">
        <v>46154</v>
      </c>
      <c r="AA784" s="15"/>
      <c r="AB784" s="15"/>
    </row>
    <row r="785" spans="1:28" hidden="1">
      <c r="A785" s="6">
        <v>46107</v>
      </c>
      <c r="B785" s="3">
        <v>2026</v>
      </c>
      <c r="C785" s="3" t="s">
        <v>2963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38"/>
        <v>24</v>
      </c>
      <c r="R785" s="53" t="str">
        <f t="shared" si="39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3">
        <f t="shared" si="40"/>
        <v>47</v>
      </c>
      <c r="Z785" s="18">
        <v>46154</v>
      </c>
      <c r="AA785" s="15"/>
      <c r="AB785" s="15"/>
    </row>
    <row r="786" spans="1:28" hidden="1">
      <c r="A786" s="6">
        <v>46107</v>
      </c>
      <c r="B786" s="3">
        <v>2026</v>
      </c>
      <c r="C786" s="3" t="s">
        <v>2963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38"/>
        <v>24</v>
      </c>
      <c r="R786" s="53" t="str">
        <f t="shared" si="39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3">
        <f t="shared" si="40"/>
        <v>47</v>
      </c>
      <c r="Z786" s="18">
        <v>46154</v>
      </c>
      <c r="AA786" s="15"/>
      <c r="AB786" s="15"/>
    </row>
    <row r="787" spans="1:28" hidden="1">
      <c r="A787" s="6">
        <v>46107</v>
      </c>
      <c r="B787" s="3">
        <v>2026</v>
      </c>
      <c r="C787" s="3" t="s">
        <v>2963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38"/>
        <v>24</v>
      </c>
      <c r="R787" s="53" t="str">
        <f t="shared" si="39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3">
        <f t="shared" si="40"/>
        <v>47</v>
      </c>
      <c r="Z787" s="18">
        <v>46154</v>
      </c>
      <c r="AA787" s="15"/>
      <c r="AB787" s="15"/>
    </row>
    <row r="788" spans="1:28" hidden="1">
      <c r="A788" s="6">
        <v>46107</v>
      </c>
      <c r="B788" s="3">
        <v>2026</v>
      </c>
      <c r="C788" s="3" t="s">
        <v>2963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38"/>
        <v>24</v>
      </c>
      <c r="R788" s="53" t="str">
        <f t="shared" si="39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3">
        <f t="shared" si="40"/>
        <v>47</v>
      </c>
      <c r="Z788" s="18">
        <v>46154</v>
      </c>
      <c r="AA788" s="15"/>
      <c r="AB788" s="15"/>
    </row>
    <row r="789" spans="1:28" hidden="1">
      <c r="A789" s="6">
        <v>46107</v>
      </c>
      <c r="B789" s="3">
        <v>2026</v>
      </c>
      <c r="C789" s="3" t="s">
        <v>2963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38"/>
        <v>24</v>
      </c>
      <c r="R789" s="53" t="str">
        <f t="shared" si="39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3">
        <f t="shared" si="40"/>
        <v>47</v>
      </c>
      <c r="Z789" s="18">
        <v>46154</v>
      </c>
      <c r="AA789" s="15"/>
      <c r="AB789" s="15"/>
    </row>
    <row r="790" spans="1:28" hidden="1">
      <c r="A790" s="6">
        <v>46107</v>
      </c>
      <c r="B790" s="3">
        <v>2026</v>
      </c>
      <c r="C790" s="3" t="s">
        <v>2963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38"/>
        <v>24</v>
      </c>
      <c r="R790" s="53" t="str">
        <f t="shared" si="39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3">
        <f t="shared" si="40"/>
        <v>47</v>
      </c>
      <c r="Z790" s="18">
        <v>46154</v>
      </c>
      <c r="AA790" s="15"/>
      <c r="AB790" s="15"/>
    </row>
    <row r="791" spans="1:28" hidden="1">
      <c r="A791" s="6">
        <v>46107</v>
      </c>
      <c r="B791" s="3">
        <v>2026</v>
      </c>
      <c r="C791" s="3" t="s">
        <v>2963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38"/>
        <v>24</v>
      </c>
      <c r="R791" s="53" t="str">
        <f t="shared" si="39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3">
        <f t="shared" si="40"/>
        <v>47</v>
      </c>
      <c r="Z791" s="18">
        <v>46154</v>
      </c>
      <c r="AA791" s="15"/>
      <c r="AB791" s="15"/>
    </row>
    <row r="792" spans="1:28" hidden="1">
      <c r="A792" s="6">
        <v>46107</v>
      </c>
      <c r="B792" s="3">
        <v>2026</v>
      </c>
      <c r="C792" s="3" t="s">
        <v>2963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38"/>
        <v>24</v>
      </c>
      <c r="R792" s="53" t="str">
        <f t="shared" si="39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3">
        <f t="shared" si="40"/>
        <v>47</v>
      </c>
      <c r="Z792" s="18">
        <v>46154</v>
      </c>
      <c r="AA792" s="15"/>
      <c r="AB792" s="15"/>
    </row>
    <row r="793" spans="1:28" hidden="1">
      <c r="A793" s="6">
        <v>46107</v>
      </c>
      <c r="B793" s="3">
        <v>2026</v>
      </c>
      <c r="C793" s="3" t="s">
        <v>2963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38"/>
        <v>24</v>
      </c>
      <c r="R793" s="53" t="str">
        <f t="shared" si="39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3">
        <f t="shared" si="40"/>
        <v>47</v>
      </c>
      <c r="Z793" s="18">
        <v>46154</v>
      </c>
      <c r="AA793" s="15"/>
      <c r="AB793" s="15"/>
    </row>
    <row r="794" spans="1:28" hidden="1">
      <c r="A794" s="6">
        <v>46107</v>
      </c>
      <c r="B794" s="3">
        <v>2026</v>
      </c>
      <c r="C794" s="3" t="s">
        <v>2963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38"/>
        <v>24</v>
      </c>
      <c r="R794" s="53" t="str">
        <f t="shared" si="39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3">
        <f t="shared" si="40"/>
        <v>47</v>
      </c>
      <c r="Z794" s="18">
        <v>46154</v>
      </c>
      <c r="AA794" s="15"/>
      <c r="AB794" s="15"/>
    </row>
    <row r="795" spans="1:28" hidden="1">
      <c r="A795" s="6">
        <v>46107</v>
      </c>
      <c r="B795" s="3">
        <v>2026</v>
      </c>
      <c r="C795" s="3" t="s">
        <v>2963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38"/>
        <v>24</v>
      </c>
      <c r="R795" s="53" t="str">
        <f t="shared" si="39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3">
        <f t="shared" si="40"/>
        <v>47</v>
      </c>
      <c r="Z795" s="18">
        <v>46154</v>
      </c>
      <c r="AA795" s="15"/>
      <c r="AB795" s="15"/>
    </row>
    <row r="796" spans="1:28" hidden="1">
      <c r="A796" s="6">
        <v>46107</v>
      </c>
      <c r="B796" s="3">
        <v>2026</v>
      </c>
      <c r="C796" s="3" t="s">
        <v>2963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38"/>
        <v>24</v>
      </c>
      <c r="R796" s="53" t="str">
        <f t="shared" si="39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3">
        <f t="shared" si="40"/>
        <v>47</v>
      </c>
      <c r="Z796" s="18">
        <v>46154</v>
      </c>
      <c r="AA796" s="15"/>
      <c r="AB796" s="15"/>
    </row>
    <row r="797" spans="1:28" hidden="1">
      <c r="A797" s="6">
        <v>46107</v>
      </c>
      <c r="B797" s="3">
        <v>2026</v>
      </c>
      <c r="C797" s="3" t="s">
        <v>2963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38"/>
        <v>24</v>
      </c>
      <c r="R797" s="53" t="str">
        <f t="shared" si="39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3">
        <f t="shared" si="40"/>
        <v>47</v>
      </c>
      <c r="Z797" s="18">
        <v>46154</v>
      </c>
      <c r="AA797" s="15"/>
      <c r="AB797" s="15"/>
    </row>
    <row r="798" spans="1:28" hidden="1">
      <c r="A798" s="6">
        <v>46107</v>
      </c>
      <c r="B798" s="3">
        <v>2026</v>
      </c>
      <c r="C798" s="3" t="s">
        <v>2963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38"/>
        <v>24</v>
      </c>
      <c r="R798" s="53" t="str">
        <f t="shared" si="39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3">
        <f t="shared" si="40"/>
        <v>47</v>
      </c>
      <c r="Z798" s="18">
        <v>46154</v>
      </c>
      <c r="AA798" s="15"/>
      <c r="AB798" s="15"/>
    </row>
    <row r="799" spans="1:28" hidden="1">
      <c r="A799" s="6">
        <v>46107</v>
      </c>
      <c r="B799" s="3">
        <v>2026</v>
      </c>
      <c r="C799" s="3" t="s">
        <v>2963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38"/>
        <v>24</v>
      </c>
      <c r="R799" s="53" t="str">
        <f t="shared" si="39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3">
        <f t="shared" si="40"/>
        <v>47</v>
      </c>
      <c r="Z799" s="18">
        <v>46154</v>
      </c>
      <c r="AA799" s="15"/>
      <c r="AB799" s="15"/>
    </row>
    <row r="800" spans="1:28" hidden="1">
      <c r="A800" s="6">
        <v>46107</v>
      </c>
      <c r="B800" s="3">
        <v>2026</v>
      </c>
      <c r="C800" s="3" t="s">
        <v>2963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38"/>
        <v>24</v>
      </c>
      <c r="R800" s="53" t="str">
        <f t="shared" si="39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3">
        <f t="shared" si="40"/>
        <v>47</v>
      </c>
      <c r="Z800" s="18">
        <v>46154</v>
      </c>
      <c r="AA800" s="15"/>
      <c r="AB800" s="15"/>
    </row>
    <row r="801" spans="1:28" hidden="1">
      <c r="A801" s="6">
        <v>46107</v>
      </c>
      <c r="B801" s="3">
        <v>2026</v>
      </c>
      <c r="C801" s="3" t="s">
        <v>2963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38"/>
        <v>24</v>
      </c>
      <c r="R801" s="53" t="str">
        <f t="shared" si="39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3">
        <f t="shared" si="40"/>
        <v>47</v>
      </c>
      <c r="Z801" s="18">
        <v>46154</v>
      </c>
      <c r="AA801" s="15"/>
      <c r="AB801" s="15"/>
    </row>
    <row r="802" spans="1:28" hidden="1">
      <c r="A802" s="6">
        <v>46107</v>
      </c>
      <c r="B802" s="3">
        <v>2026</v>
      </c>
      <c r="C802" s="3" t="s">
        <v>2963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38"/>
        <v>24</v>
      </c>
      <c r="R802" s="53" t="str">
        <f t="shared" si="39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3">
        <f t="shared" si="40"/>
        <v>47</v>
      </c>
      <c r="Z802" s="18">
        <v>46154</v>
      </c>
      <c r="AA802" s="15"/>
      <c r="AB802" s="15"/>
    </row>
    <row r="803" spans="1:28" hidden="1">
      <c r="A803" s="6">
        <v>46107</v>
      </c>
      <c r="B803" s="3">
        <v>2026</v>
      </c>
      <c r="C803" s="3" t="s">
        <v>2963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38"/>
        <v>24</v>
      </c>
      <c r="R803" s="53" t="str">
        <f t="shared" si="39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3">
        <f t="shared" si="40"/>
        <v>47</v>
      </c>
      <c r="Z803" s="18">
        <v>46154</v>
      </c>
      <c r="AA803" s="15"/>
      <c r="AB803" s="15"/>
    </row>
    <row r="804" spans="1:28" hidden="1">
      <c r="A804" s="6">
        <v>46107</v>
      </c>
      <c r="B804" s="3">
        <v>2026</v>
      </c>
      <c r="C804" s="3" t="s">
        <v>2963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38"/>
        <v>24</v>
      </c>
      <c r="R804" s="53" t="str">
        <f t="shared" si="39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3">
        <f t="shared" si="40"/>
        <v>47</v>
      </c>
      <c r="Z804" s="18">
        <v>46154</v>
      </c>
      <c r="AA804" s="15"/>
      <c r="AB804" s="15"/>
    </row>
    <row r="805" spans="1:28" hidden="1">
      <c r="A805" s="6">
        <v>46107</v>
      </c>
      <c r="B805" s="3">
        <v>2026</v>
      </c>
      <c r="C805" s="3" t="s">
        <v>2963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38"/>
        <v>24</v>
      </c>
      <c r="R805" s="53" t="str">
        <f t="shared" si="39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3">
        <f t="shared" si="40"/>
        <v>47</v>
      </c>
      <c r="Z805" s="18">
        <v>46154</v>
      </c>
      <c r="AA805" s="15"/>
      <c r="AB805" s="15"/>
    </row>
    <row r="806" spans="1:28" hidden="1">
      <c r="A806" s="6">
        <v>46107</v>
      </c>
      <c r="B806" s="3">
        <v>2026</v>
      </c>
      <c r="C806" s="3" t="s">
        <v>2963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38"/>
        <v>24</v>
      </c>
      <c r="R806" s="53" t="str">
        <f t="shared" si="39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3">
        <f t="shared" si="40"/>
        <v>47</v>
      </c>
      <c r="Z806" s="18">
        <v>46154</v>
      </c>
      <c r="AA806" s="15"/>
      <c r="AB806" s="15"/>
    </row>
    <row r="807" spans="1:28" hidden="1">
      <c r="A807" s="6">
        <v>46107</v>
      </c>
      <c r="B807" s="3">
        <v>2026</v>
      </c>
      <c r="C807" s="3" t="s">
        <v>2963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41">MID(P807,5,2)</f>
        <v>24</v>
      </c>
      <c r="R807" s="53" t="str">
        <f t="shared" ref="R807:R870" si="42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3">
        <f t="shared" si="40"/>
        <v>47</v>
      </c>
      <c r="Z807" s="18">
        <v>46154</v>
      </c>
      <c r="AA807" s="15"/>
      <c r="AB807" s="15"/>
    </row>
    <row r="808" spans="1:28" hidden="1">
      <c r="A808" s="6">
        <v>46107</v>
      </c>
      <c r="B808" s="3">
        <v>2026</v>
      </c>
      <c r="C808" s="3" t="s">
        <v>2963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41"/>
        <v>24</v>
      </c>
      <c r="R808" s="53" t="str">
        <f t="shared" si="42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3">
        <f t="shared" si="40"/>
        <v>47</v>
      </c>
      <c r="Z808" s="18">
        <v>46154</v>
      </c>
      <c r="AA808" s="15"/>
      <c r="AB808" s="15"/>
    </row>
    <row r="809" spans="1:28" hidden="1">
      <c r="A809" s="6">
        <v>46107</v>
      </c>
      <c r="B809" s="3">
        <v>2026</v>
      </c>
      <c r="C809" s="3" t="s">
        <v>2963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41"/>
        <v>24</v>
      </c>
      <c r="R809" s="53" t="str">
        <f t="shared" si="42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3">
        <f t="shared" si="40"/>
        <v>47</v>
      </c>
      <c r="Z809" s="18">
        <v>46154</v>
      </c>
      <c r="AA809" s="15"/>
      <c r="AB809" s="15"/>
    </row>
    <row r="810" spans="1:28" hidden="1">
      <c r="A810" s="6">
        <v>46107</v>
      </c>
      <c r="B810" s="3">
        <v>2026</v>
      </c>
      <c r="C810" s="3" t="s">
        <v>2963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41"/>
        <v>24</v>
      </c>
      <c r="R810" s="53" t="str">
        <f t="shared" si="42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3">
        <f t="shared" si="40"/>
        <v>47</v>
      </c>
      <c r="Z810" s="18">
        <v>46154</v>
      </c>
      <c r="AA810" s="15"/>
      <c r="AB810" s="15"/>
    </row>
    <row r="811" spans="1:28" hidden="1">
      <c r="A811" s="6">
        <v>46107</v>
      </c>
      <c r="B811" s="3">
        <v>2026</v>
      </c>
      <c r="C811" s="3" t="s">
        <v>2963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41"/>
        <v>24</v>
      </c>
      <c r="R811" s="53" t="str">
        <f t="shared" si="42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3">
        <f t="shared" si="40"/>
        <v>47</v>
      </c>
      <c r="Z811" s="18">
        <v>46154</v>
      </c>
      <c r="AA811" s="15"/>
      <c r="AB811" s="15"/>
    </row>
    <row r="812" spans="1:28" hidden="1">
      <c r="A812" s="6">
        <v>46107</v>
      </c>
      <c r="B812" s="3">
        <v>2026</v>
      </c>
      <c r="C812" s="3" t="s">
        <v>2963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41"/>
        <v>24</v>
      </c>
      <c r="R812" s="53" t="str">
        <f t="shared" si="42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3">
        <f t="shared" si="40"/>
        <v>47</v>
      </c>
      <c r="Z812" s="18">
        <v>46154</v>
      </c>
      <c r="AA812" s="15"/>
      <c r="AB812" s="15"/>
    </row>
    <row r="813" spans="1:28" hidden="1">
      <c r="A813" s="6">
        <v>46107</v>
      </c>
      <c r="B813" s="3">
        <v>2026</v>
      </c>
      <c r="C813" s="3" t="s">
        <v>2963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41"/>
        <v>24</v>
      </c>
      <c r="R813" s="53" t="str">
        <f t="shared" si="42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3">
        <f t="shared" si="40"/>
        <v>47</v>
      </c>
      <c r="Z813" s="18">
        <v>46154</v>
      </c>
      <c r="AA813" s="15"/>
      <c r="AB813" s="15"/>
    </row>
    <row r="814" spans="1:28" hidden="1">
      <c r="A814" s="6">
        <v>46107</v>
      </c>
      <c r="B814" s="3">
        <v>2026</v>
      </c>
      <c r="C814" s="3" t="s">
        <v>2963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41"/>
        <v>24</v>
      </c>
      <c r="R814" s="53" t="str">
        <f t="shared" si="42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3">
        <f t="shared" si="40"/>
        <v>47</v>
      </c>
      <c r="Z814" s="18">
        <v>46154</v>
      </c>
      <c r="AA814" s="15"/>
      <c r="AB814" s="15"/>
    </row>
    <row r="815" spans="1:28" hidden="1">
      <c r="A815" s="6">
        <v>46107</v>
      </c>
      <c r="B815" s="3">
        <v>2026</v>
      </c>
      <c r="C815" s="3" t="s">
        <v>2963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41"/>
        <v>24</v>
      </c>
      <c r="R815" s="53" t="str">
        <f t="shared" si="42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3">
        <f t="shared" si="40"/>
        <v>47</v>
      </c>
      <c r="Z815" s="18">
        <v>46154</v>
      </c>
      <c r="AA815" s="15"/>
      <c r="AB815" s="15"/>
    </row>
    <row r="816" spans="1:28" hidden="1">
      <c r="A816" s="6">
        <v>46107</v>
      </c>
      <c r="B816" s="3">
        <v>2026</v>
      </c>
      <c r="C816" s="3" t="s">
        <v>2963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41"/>
        <v>24</v>
      </c>
      <c r="R816" s="53" t="str">
        <f t="shared" si="42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3">
        <f t="shared" si="40"/>
        <v>47</v>
      </c>
      <c r="Z816" s="18">
        <v>46154</v>
      </c>
      <c r="AA816" s="15"/>
      <c r="AB816" s="15"/>
    </row>
    <row r="817" spans="1:28" hidden="1">
      <c r="A817" s="6">
        <v>46107</v>
      </c>
      <c r="B817" s="3">
        <v>2026</v>
      </c>
      <c r="C817" s="3" t="s">
        <v>2963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41"/>
        <v>24</v>
      </c>
      <c r="R817" s="53" t="str">
        <f t="shared" si="42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3">
        <f t="shared" si="40"/>
        <v>47</v>
      </c>
      <c r="Z817" s="18">
        <v>46154</v>
      </c>
      <c r="AA817" s="15"/>
      <c r="AB817" s="15"/>
    </row>
    <row r="818" spans="1:28" hidden="1">
      <c r="A818" s="6">
        <v>46107</v>
      </c>
      <c r="B818" s="3">
        <v>2026</v>
      </c>
      <c r="C818" s="3" t="s">
        <v>2963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41"/>
        <v>24</v>
      </c>
      <c r="R818" s="53" t="str">
        <f t="shared" si="42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3">
        <f t="shared" si="40"/>
        <v>47</v>
      </c>
      <c r="Z818" s="18">
        <v>46154</v>
      </c>
      <c r="AA818" s="15"/>
      <c r="AB818" s="15"/>
    </row>
    <row r="819" spans="1:28" hidden="1">
      <c r="A819" s="6">
        <v>46107</v>
      </c>
      <c r="B819" s="3">
        <v>2026</v>
      </c>
      <c r="C819" s="3" t="s">
        <v>2963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41"/>
        <v>24</v>
      </c>
      <c r="R819" s="53" t="str">
        <f t="shared" si="42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3">
        <f t="shared" si="40"/>
        <v>47</v>
      </c>
      <c r="Z819" s="18">
        <v>46154</v>
      </c>
      <c r="AA819" s="15"/>
      <c r="AB819" s="15"/>
    </row>
    <row r="820" spans="1:28" hidden="1">
      <c r="A820" s="6">
        <v>46107</v>
      </c>
      <c r="B820" s="3">
        <v>2026</v>
      </c>
      <c r="C820" s="3" t="s">
        <v>2963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41"/>
        <v>24</v>
      </c>
      <c r="R820" s="53" t="str">
        <f t="shared" si="42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3">
        <f t="shared" si="40"/>
        <v>47</v>
      </c>
      <c r="Z820" s="18">
        <v>46154</v>
      </c>
      <c r="AA820" s="15"/>
      <c r="AB820" s="15"/>
    </row>
    <row r="821" spans="1:28" hidden="1">
      <c r="A821" s="6">
        <v>46107</v>
      </c>
      <c r="B821" s="3">
        <v>2026</v>
      </c>
      <c r="C821" s="3" t="s">
        <v>2963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41"/>
        <v>24</v>
      </c>
      <c r="R821" s="53" t="str">
        <f t="shared" si="42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3">
        <f t="shared" si="40"/>
        <v>47</v>
      </c>
      <c r="Z821" s="18">
        <v>46154</v>
      </c>
      <c r="AA821" s="15"/>
      <c r="AB821" s="15"/>
    </row>
    <row r="822" spans="1:28" hidden="1">
      <c r="A822" s="6">
        <v>46107</v>
      </c>
      <c r="B822" s="3">
        <v>2026</v>
      </c>
      <c r="C822" s="3" t="s">
        <v>2963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41"/>
        <v>24</v>
      </c>
      <c r="R822" s="53" t="str">
        <f t="shared" si="42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3">
        <f t="shared" si="40"/>
        <v>47</v>
      </c>
      <c r="Z822" s="18">
        <v>46154</v>
      </c>
      <c r="AA822" s="15"/>
      <c r="AB822" s="15"/>
    </row>
    <row r="823" spans="1:28" hidden="1">
      <c r="A823" s="6">
        <v>46107</v>
      </c>
      <c r="B823" s="3">
        <v>2026</v>
      </c>
      <c r="C823" s="3" t="s">
        <v>2963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41"/>
        <v>24</v>
      </c>
      <c r="R823" s="53" t="str">
        <f t="shared" si="42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3">
        <f t="shared" si="40"/>
        <v>47</v>
      </c>
      <c r="Z823" s="18">
        <v>46154</v>
      </c>
      <c r="AA823" s="15"/>
      <c r="AB823" s="15"/>
    </row>
    <row r="824" spans="1:28" hidden="1">
      <c r="A824" s="6">
        <v>46107</v>
      </c>
      <c r="B824" s="3">
        <v>2026</v>
      </c>
      <c r="C824" s="3" t="s">
        <v>2963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41"/>
        <v>24</v>
      </c>
      <c r="R824" s="53" t="str">
        <f t="shared" si="42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3">
        <f t="shared" si="40"/>
        <v>47</v>
      </c>
      <c r="Z824" s="18">
        <v>46154</v>
      </c>
      <c r="AA824" s="15"/>
      <c r="AB824" s="15"/>
    </row>
    <row r="825" spans="1:28" hidden="1">
      <c r="A825" s="6">
        <v>46107</v>
      </c>
      <c r="B825" s="3">
        <v>2026</v>
      </c>
      <c r="C825" s="3" t="s">
        <v>2963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41"/>
        <v>24</v>
      </c>
      <c r="R825" s="53" t="str">
        <f t="shared" si="42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3">
        <f t="shared" si="40"/>
        <v>47</v>
      </c>
      <c r="Z825" s="18">
        <v>46154</v>
      </c>
      <c r="AA825" s="15"/>
      <c r="AB825" s="15"/>
    </row>
    <row r="826" spans="1:28" hidden="1">
      <c r="A826" s="6">
        <v>46107</v>
      </c>
      <c r="B826" s="3">
        <v>2026</v>
      </c>
      <c r="C826" s="3" t="s">
        <v>2963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41"/>
        <v>24</v>
      </c>
      <c r="R826" s="53" t="str">
        <f t="shared" si="42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3">
        <f t="shared" si="40"/>
        <v>47</v>
      </c>
      <c r="Z826" s="18">
        <v>46154</v>
      </c>
      <c r="AA826" s="15"/>
      <c r="AB826" s="15"/>
    </row>
    <row r="827" spans="1:28" hidden="1">
      <c r="A827" s="6">
        <v>46107</v>
      </c>
      <c r="B827" s="3">
        <v>2026</v>
      </c>
      <c r="C827" s="3" t="s">
        <v>2963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41"/>
        <v>24</v>
      </c>
      <c r="R827" s="53" t="str">
        <f t="shared" si="42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3">
        <f t="shared" si="40"/>
        <v>47</v>
      </c>
      <c r="Z827" s="18">
        <v>46154</v>
      </c>
      <c r="AA827" s="15"/>
      <c r="AB827" s="15"/>
    </row>
    <row r="828" spans="1:28" hidden="1">
      <c r="A828" s="6">
        <v>46107</v>
      </c>
      <c r="B828" s="3">
        <v>2026</v>
      </c>
      <c r="C828" s="3" t="s">
        <v>2963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41"/>
        <v>24</v>
      </c>
      <c r="R828" s="53" t="str">
        <f t="shared" si="42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3">
        <f t="shared" si="40"/>
        <v>47</v>
      </c>
      <c r="Z828" s="18">
        <v>46154</v>
      </c>
      <c r="AA828" s="15"/>
      <c r="AB828" s="15"/>
    </row>
    <row r="829" spans="1:28" hidden="1">
      <c r="A829" s="6">
        <v>46107</v>
      </c>
      <c r="B829" s="3">
        <v>2026</v>
      </c>
      <c r="C829" s="3" t="s">
        <v>2963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41"/>
        <v>24</v>
      </c>
      <c r="R829" s="53" t="str">
        <f t="shared" si="42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3">
        <f t="shared" si="40"/>
        <v>47</v>
      </c>
      <c r="Z829" s="18">
        <v>46154</v>
      </c>
      <c r="AA829" s="15"/>
      <c r="AB829" s="15"/>
    </row>
    <row r="830" spans="1:28" hidden="1">
      <c r="A830" s="6">
        <v>46107</v>
      </c>
      <c r="B830" s="3">
        <v>2026</v>
      </c>
      <c r="C830" s="3" t="s">
        <v>2963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41"/>
        <v>24</v>
      </c>
      <c r="R830" s="53" t="str">
        <f t="shared" si="42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3">
        <f t="shared" si="40"/>
        <v>47</v>
      </c>
      <c r="Z830" s="18">
        <v>46154</v>
      </c>
      <c r="AA830" s="15"/>
      <c r="AB830" s="15"/>
    </row>
    <row r="831" spans="1:28" hidden="1">
      <c r="A831" s="6">
        <v>46107</v>
      </c>
      <c r="B831" s="3">
        <v>2026</v>
      </c>
      <c r="C831" s="3" t="s">
        <v>2963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41"/>
        <v>24</v>
      </c>
      <c r="R831" s="53" t="str">
        <f t="shared" si="42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3">
        <f t="shared" si="40"/>
        <v>47</v>
      </c>
      <c r="Z831" s="18">
        <v>46154</v>
      </c>
      <c r="AA831" s="15"/>
      <c r="AB831" s="15"/>
    </row>
    <row r="832" spans="1:28" hidden="1">
      <c r="A832" s="6">
        <v>46107</v>
      </c>
      <c r="B832" s="3">
        <v>2026</v>
      </c>
      <c r="C832" s="3" t="s">
        <v>2963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41"/>
        <v>24</v>
      </c>
      <c r="R832" s="53" t="str">
        <f t="shared" si="42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3">
        <f t="shared" si="40"/>
        <v>47</v>
      </c>
      <c r="Z832" s="18">
        <v>46154</v>
      </c>
      <c r="AA832" s="15"/>
      <c r="AB832" s="15"/>
    </row>
    <row r="833" spans="1:28" hidden="1">
      <c r="A833" s="6">
        <v>46107</v>
      </c>
      <c r="B833" s="3">
        <v>2026</v>
      </c>
      <c r="C833" s="3" t="s">
        <v>2963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41"/>
        <v>24</v>
      </c>
      <c r="R833" s="53" t="str">
        <f t="shared" si="42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3">
        <f t="shared" si="40"/>
        <v>48</v>
      </c>
      <c r="Z833" s="18">
        <v>46155</v>
      </c>
      <c r="AA833" s="15"/>
      <c r="AB833" s="15"/>
    </row>
    <row r="834" spans="1:28" hidden="1">
      <c r="A834" s="6">
        <v>46107</v>
      </c>
      <c r="B834" s="3">
        <v>2026</v>
      </c>
      <c r="C834" s="3" t="s">
        <v>2963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41"/>
        <v>24</v>
      </c>
      <c r="R834" s="53" t="str">
        <f t="shared" si="42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3">
        <f t="shared" ref="Y834:Y897" si="43">X834-A834</f>
        <v>48</v>
      </c>
      <c r="Z834" s="18">
        <v>46155</v>
      </c>
      <c r="AA834" s="15"/>
      <c r="AB834" s="15"/>
    </row>
    <row r="835" spans="1:28" hidden="1">
      <c r="A835" s="6">
        <v>46107</v>
      </c>
      <c r="B835" s="3">
        <v>2026</v>
      </c>
      <c r="C835" s="3" t="s">
        <v>2963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41"/>
        <v>24</v>
      </c>
      <c r="R835" s="53" t="str">
        <f t="shared" si="42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3">
        <f t="shared" si="43"/>
        <v>48</v>
      </c>
      <c r="Z835" s="18">
        <v>46155</v>
      </c>
      <c r="AA835" s="15"/>
      <c r="AB835" s="15"/>
    </row>
    <row r="836" spans="1:28" hidden="1">
      <c r="A836" s="6">
        <v>46107</v>
      </c>
      <c r="B836" s="3">
        <v>2026</v>
      </c>
      <c r="C836" s="3" t="s">
        <v>2963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41"/>
        <v>24</v>
      </c>
      <c r="R836" s="53" t="str">
        <f t="shared" si="42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3">
        <f t="shared" si="43"/>
        <v>48</v>
      </c>
      <c r="Z836" s="18">
        <v>46155</v>
      </c>
      <c r="AA836" s="15"/>
      <c r="AB836" s="15"/>
    </row>
    <row r="837" spans="1:28" hidden="1">
      <c r="A837" s="6">
        <v>46107</v>
      </c>
      <c r="B837" s="3">
        <v>2026</v>
      </c>
      <c r="C837" s="3" t="s">
        <v>2963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41"/>
        <v>24</v>
      </c>
      <c r="R837" s="53" t="str">
        <f t="shared" si="42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3">
        <f t="shared" si="43"/>
        <v>48</v>
      </c>
      <c r="Z837" s="18">
        <v>46155</v>
      </c>
      <c r="AA837" s="15"/>
      <c r="AB837" s="15"/>
    </row>
    <row r="838" spans="1:28" hidden="1">
      <c r="A838" s="6">
        <v>46107</v>
      </c>
      <c r="B838" s="3">
        <v>2026</v>
      </c>
      <c r="C838" s="3" t="s">
        <v>2963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41"/>
        <v>24</v>
      </c>
      <c r="R838" s="53" t="str">
        <f t="shared" si="42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3">
        <f t="shared" si="43"/>
        <v>48</v>
      </c>
      <c r="Z838" s="18">
        <v>46155</v>
      </c>
      <c r="AA838" s="15"/>
      <c r="AB838" s="15"/>
    </row>
    <row r="839" spans="1:28" hidden="1">
      <c r="A839" s="6">
        <v>46107</v>
      </c>
      <c r="B839" s="3">
        <v>2026</v>
      </c>
      <c r="C839" s="3" t="s">
        <v>2963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41"/>
        <v>24</v>
      </c>
      <c r="R839" s="53" t="str">
        <f t="shared" si="42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3">
        <f t="shared" si="43"/>
        <v>48</v>
      </c>
      <c r="Z839" s="18">
        <v>46155</v>
      </c>
      <c r="AA839" s="15"/>
      <c r="AB839" s="15"/>
    </row>
    <row r="840" spans="1:28" hidden="1">
      <c r="A840" s="6">
        <v>46107</v>
      </c>
      <c r="B840" s="3">
        <v>2026</v>
      </c>
      <c r="C840" s="3" t="s">
        <v>2963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41"/>
        <v>24</v>
      </c>
      <c r="R840" s="53" t="str">
        <f t="shared" si="42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3">
        <f t="shared" si="43"/>
        <v>48</v>
      </c>
      <c r="Z840" s="18">
        <v>46155</v>
      </c>
      <c r="AA840" s="15"/>
      <c r="AB840" s="15"/>
    </row>
    <row r="841" spans="1:28" hidden="1">
      <c r="A841" s="6">
        <v>46107</v>
      </c>
      <c r="B841" s="3">
        <v>2026</v>
      </c>
      <c r="C841" s="3" t="s">
        <v>2963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41"/>
        <v>24</v>
      </c>
      <c r="R841" s="53" t="str">
        <f t="shared" si="42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3">
        <f t="shared" si="43"/>
        <v>48</v>
      </c>
      <c r="Z841" s="18">
        <v>46155</v>
      </c>
      <c r="AA841" s="15"/>
      <c r="AB841" s="15"/>
    </row>
    <row r="842" spans="1:28" hidden="1">
      <c r="A842" s="6">
        <v>46107</v>
      </c>
      <c r="B842" s="3">
        <v>2026</v>
      </c>
      <c r="C842" s="3" t="s">
        <v>2963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41"/>
        <v>24</v>
      </c>
      <c r="R842" s="53" t="str">
        <f t="shared" si="42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3">
        <f t="shared" si="43"/>
        <v>48</v>
      </c>
      <c r="Z842" s="18">
        <v>46155</v>
      </c>
      <c r="AA842" s="15"/>
      <c r="AB842" s="15"/>
    </row>
    <row r="843" spans="1:28" hidden="1">
      <c r="A843" s="6">
        <v>46107</v>
      </c>
      <c r="B843" s="3">
        <v>2026</v>
      </c>
      <c r="C843" s="3" t="s">
        <v>2963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41"/>
        <v>24</v>
      </c>
      <c r="R843" s="53" t="str">
        <f t="shared" si="42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3">
        <f t="shared" si="43"/>
        <v>48</v>
      </c>
      <c r="Z843" s="18">
        <v>46155</v>
      </c>
      <c r="AA843" s="15"/>
      <c r="AB843" s="15"/>
    </row>
    <row r="844" spans="1:28" hidden="1">
      <c r="A844" s="6">
        <v>46107</v>
      </c>
      <c r="B844" s="3">
        <v>2026</v>
      </c>
      <c r="C844" s="3" t="s">
        <v>2963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41"/>
        <v>24</v>
      </c>
      <c r="R844" s="53" t="str">
        <f t="shared" si="42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3">
        <f t="shared" si="43"/>
        <v>48</v>
      </c>
      <c r="Z844" s="18">
        <v>46155</v>
      </c>
      <c r="AA844" s="15"/>
      <c r="AB844" s="15"/>
    </row>
    <row r="845" spans="1:28" hidden="1">
      <c r="A845" s="6">
        <v>46107</v>
      </c>
      <c r="B845" s="3">
        <v>2026</v>
      </c>
      <c r="C845" s="3" t="s">
        <v>2963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41"/>
        <v>24</v>
      </c>
      <c r="R845" s="53" t="str">
        <f t="shared" si="42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3">
        <f t="shared" si="43"/>
        <v>48</v>
      </c>
      <c r="Z845" s="18">
        <v>46155</v>
      </c>
      <c r="AA845" s="15"/>
      <c r="AB845" s="15"/>
    </row>
    <row r="846" spans="1:28" hidden="1">
      <c r="A846" s="6">
        <v>46107</v>
      </c>
      <c r="B846" s="3">
        <v>2026</v>
      </c>
      <c r="C846" s="3" t="s">
        <v>2963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41"/>
        <v>24</v>
      </c>
      <c r="R846" s="53" t="str">
        <f t="shared" si="42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3">
        <f t="shared" si="43"/>
        <v>48</v>
      </c>
      <c r="Z846" s="18">
        <v>46155</v>
      </c>
      <c r="AA846" s="15"/>
      <c r="AB846" s="15"/>
    </row>
    <row r="847" spans="1:28" hidden="1">
      <c r="A847" s="6">
        <v>46107</v>
      </c>
      <c r="B847" s="3">
        <v>2026</v>
      </c>
      <c r="C847" s="3" t="s">
        <v>2963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41"/>
        <v>24</v>
      </c>
      <c r="R847" s="53" t="str">
        <f t="shared" si="42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3">
        <f t="shared" si="43"/>
        <v>48</v>
      </c>
      <c r="Z847" s="18">
        <v>46155</v>
      </c>
      <c r="AA847" s="15"/>
      <c r="AB847" s="15"/>
    </row>
    <row r="848" spans="1:28" hidden="1">
      <c r="A848" s="6">
        <v>46107</v>
      </c>
      <c r="B848" s="3">
        <v>2026</v>
      </c>
      <c r="C848" s="3" t="s">
        <v>2963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41"/>
        <v>24</v>
      </c>
      <c r="R848" s="53" t="str">
        <f t="shared" si="42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3">
        <f t="shared" si="43"/>
        <v>48</v>
      </c>
      <c r="Z848" s="18">
        <v>46155</v>
      </c>
      <c r="AA848" s="15"/>
      <c r="AB848" s="15"/>
    </row>
    <row r="849" spans="1:28" hidden="1">
      <c r="A849" s="6">
        <v>46107</v>
      </c>
      <c r="B849" s="3">
        <v>2026</v>
      </c>
      <c r="C849" s="3" t="s">
        <v>2963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41"/>
        <v>24</v>
      </c>
      <c r="R849" s="53" t="str">
        <f t="shared" si="42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3">
        <f t="shared" si="43"/>
        <v>48</v>
      </c>
      <c r="Z849" s="18">
        <v>46155</v>
      </c>
      <c r="AA849" s="15"/>
      <c r="AB849" s="15"/>
    </row>
    <row r="850" spans="1:28" hidden="1">
      <c r="A850" s="6">
        <v>46107</v>
      </c>
      <c r="B850" s="3">
        <v>2026</v>
      </c>
      <c r="C850" s="3" t="s">
        <v>2963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41"/>
        <v>24</v>
      </c>
      <c r="R850" s="53" t="str">
        <f t="shared" si="42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3">
        <f t="shared" si="43"/>
        <v>48</v>
      </c>
      <c r="Z850" s="18">
        <v>46155</v>
      </c>
      <c r="AA850" s="15"/>
      <c r="AB850" s="15"/>
    </row>
    <row r="851" spans="1:28" hidden="1">
      <c r="A851" s="6">
        <v>46107</v>
      </c>
      <c r="B851" s="3">
        <v>2026</v>
      </c>
      <c r="C851" s="3" t="s">
        <v>2963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41"/>
        <v>24</v>
      </c>
      <c r="R851" s="53" t="str">
        <f t="shared" si="42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3">
        <f t="shared" si="43"/>
        <v>48</v>
      </c>
      <c r="Z851" s="18">
        <v>46155</v>
      </c>
      <c r="AA851" s="15"/>
      <c r="AB851" s="15"/>
    </row>
    <row r="852" spans="1:28" hidden="1">
      <c r="A852" s="6">
        <v>46107</v>
      </c>
      <c r="B852" s="3">
        <v>2026</v>
      </c>
      <c r="C852" s="3" t="s">
        <v>2963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41"/>
        <v>24</v>
      </c>
      <c r="R852" s="53" t="str">
        <f t="shared" si="42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3">
        <f t="shared" si="43"/>
        <v>48</v>
      </c>
      <c r="Z852" s="18">
        <v>46155</v>
      </c>
      <c r="AA852" s="15"/>
      <c r="AB852" s="15"/>
    </row>
    <row r="853" spans="1:28" hidden="1">
      <c r="A853" s="6">
        <v>46107</v>
      </c>
      <c r="B853" s="3">
        <v>2026</v>
      </c>
      <c r="C853" s="3" t="s">
        <v>2963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41"/>
        <v>24</v>
      </c>
      <c r="R853" s="53" t="str">
        <f t="shared" si="42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3">
        <f t="shared" si="43"/>
        <v>48</v>
      </c>
      <c r="Z853" s="18">
        <v>46155</v>
      </c>
      <c r="AA853" s="15"/>
      <c r="AB853" s="15"/>
    </row>
    <row r="854" spans="1:28" hidden="1">
      <c r="A854" s="6">
        <v>46107</v>
      </c>
      <c r="B854" s="3">
        <v>2026</v>
      </c>
      <c r="C854" s="3" t="s">
        <v>2963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41"/>
        <v>24</v>
      </c>
      <c r="R854" s="53" t="str">
        <f t="shared" si="42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3">
        <f t="shared" si="43"/>
        <v>48</v>
      </c>
      <c r="Z854" s="18">
        <v>46155</v>
      </c>
      <c r="AA854" s="15"/>
      <c r="AB854" s="15"/>
    </row>
    <row r="855" spans="1:28" hidden="1">
      <c r="A855" s="6">
        <v>46107</v>
      </c>
      <c r="B855" s="3">
        <v>2026</v>
      </c>
      <c r="C855" s="3" t="s">
        <v>2963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41"/>
        <v>24</v>
      </c>
      <c r="R855" s="53" t="str">
        <f t="shared" si="42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3">
        <f t="shared" si="43"/>
        <v>48</v>
      </c>
      <c r="Z855" s="18">
        <v>46155</v>
      </c>
      <c r="AA855" s="15"/>
      <c r="AB855" s="15"/>
    </row>
    <row r="856" spans="1:28" hidden="1">
      <c r="A856" s="6">
        <v>46107</v>
      </c>
      <c r="B856" s="3">
        <v>2026</v>
      </c>
      <c r="C856" s="3" t="s">
        <v>2963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41"/>
        <v>24</v>
      </c>
      <c r="R856" s="53" t="str">
        <f t="shared" si="42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3">
        <f t="shared" si="43"/>
        <v>48</v>
      </c>
      <c r="Z856" s="18">
        <v>46155</v>
      </c>
      <c r="AA856" s="15"/>
      <c r="AB856" s="15"/>
    </row>
    <row r="857" spans="1:28" hidden="1">
      <c r="A857" s="6">
        <v>46107</v>
      </c>
      <c r="B857" s="3">
        <v>2026</v>
      </c>
      <c r="C857" s="3" t="s">
        <v>2963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41"/>
        <v>24</v>
      </c>
      <c r="R857" s="53" t="str">
        <f t="shared" si="42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3">
        <f t="shared" si="43"/>
        <v>48</v>
      </c>
      <c r="Z857" s="18">
        <v>46155</v>
      </c>
      <c r="AA857" s="15"/>
      <c r="AB857" s="15"/>
    </row>
    <row r="858" spans="1:28" hidden="1">
      <c r="A858" s="6">
        <v>46107</v>
      </c>
      <c r="B858" s="3">
        <v>2026</v>
      </c>
      <c r="C858" s="3" t="s">
        <v>2963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41"/>
        <v>24</v>
      </c>
      <c r="R858" s="53" t="str">
        <f t="shared" si="42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3">
        <f t="shared" si="43"/>
        <v>48</v>
      </c>
      <c r="Z858" s="18">
        <v>46155</v>
      </c>
      <c r="AA858" s="15"/>
      <c r="AB858" s="15"/>
    </row>
    <row r="859" spans="1:28" hidden="1">
      <c r="A859" s="6">
        <v>46107</v>
      </c>
      <c r="B859" s="3">
        <v>2026</v>
      </c>
      <c r="C859" s="3" t="s">
        <v>2963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41"/>
        <v>24</v>
      </c>
      <c r="R859" s="53" t="str">
        <f t="shared" si="42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3">
        <f t="shared" si="43"/>
        <v>48</v>
      </c>
      <c r="Z859" s="18">
        <v>46155</v>
      </c>
      <c r="AA859" s="15"/>
      <c r="AB859" s="15"/>
    </row>
    <row r="860" spans="1:28" hidden="1">
      <c r="A860" s="6">
        <v>46107</v>
      </c>
      <c r="B860" s="3">
        <v>2026</v>
      </c>
      <c r="C860" s="3" t="s">
        <v>2963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41"/>
        <v>24</v>
      </c>
      <c r="R860" s="53" t="str">
        <f t="shared" si="42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3">
        <f t="shared" si="43"/>
        <v>48</v>
      </c>
      <c r="Z860" s="18">
        <v>46155</v>
      </c>
      <c r="AA860" s="15"/>
      <c r="AB860" s="15"/>
    </row>
    <row r="861" spans="1:28" hidden="1">
      <c r="A861" s="6">
        <v>46107</v>
      </c>
      <c r="B861" s="3">
        <v>2026</v>
      </c>
      <c r="C861" s="3" t="s">
        <v>2963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41"/>
        <v>24</v>
      </c>
      <c r="R861" s="53" t="str">
        <f t="shared" si="42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3">
        <f t="shared" si="43"/>
        <v>48</v>
      </c>
      <c r="Z861" s="18">
        <v>46155</v>
      </c>
      <c r="AA861" s="15"/>
      <c r="AB861" s="15"/>
    </row>
    <row r="862" spans="1:28" hidden="1">
      <c r="A862" s="6">
        <v>46107</v>
      </c>
      <c r="B862" s="3">
        <v>2026</v>
      </c>
      <c r="C862" s="3" t="s">
        <v>2963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41"/>
        <v>24</v>
      </c>
      <c r="R862" s="53" t="str">
        <f t="shared" si="42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3">
        <f t="shared" si="43"/>
        <v>48</v>
      </c>
      <c r="Z862" s="18">
        <v>46155</v>
      </c>
      <c r="AA862" s="15"/>
      <c r="AB862" s="15"/>
    </row>
    <row r="863" spans="1:28" hidden="1">
      <c r="A863" s="6">
        <v>46107</v>
      </c>
      <c r="B863" s="3">
        <v>2026</v>
      </c>
      <c r="C863" s="3" t="s">
        <v>2963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41"/>
        <v>24</v>
      </c>
      <c r="R863" s="53" t="str">
        <f t="shared" si="42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3">
        <f t="shared" si="43"/>
        <v>48</v>
      </c>
      <c r="Z863" s="18">
        <v>46155</v>
      </c>
      <c r="AA863" s="15"/>
      <c r="AB863" s="15"/>
    </row>
    <row r="864" spans="1:28" hidden="1">
      <c r="A864" s="6">
        <v>46107</v>
      </c>
      <c r="B864" s="3">
        <v>2026</v>
      </c>
      <c r="C864" s="3" t="s">
        <v>2963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41"/>
        <v>24</v>
      </c>
      <c r="R864" s="53" t="str">
        <f t="shared" si="42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3">
        <f t="shared" si="43"/>
        <v>48</v>
      </c>
      <c r="Z864" s="18">
        <v>46155</v>
      </c>
      <c r="AA864" s="15"/>
      <c r="AB864" s="15"/>
    </row>
    <row r="865" spans="1:28" hidden="1">
      <c r="A865" s="6">
        <v>46107</v>
      </c>
      <c r="B865" s="3">
        <v>2026</v>
      </c>
      <c r="C865" s="3" t="s">
        <v>2963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41"/>
        <v>24</v>
      </c>
      <c r="R865" s="53" t="str">
        <f t="shared" si="42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3">
        <f t="shared" si="43"/>
        <v>48</v>
      </c>
      <c r="Z865" s="18">
        <v>46155</v>
      </c>
      <c r="AA865" s="15"/>
      <c r="AB865" s="15"/>
    </row>
    <row r="866" spans="1:28" hidden="1">
      <c r="A866" s="6">
        <v>46107</v>
      </c>
      <c r="B866" s="3">
        <v>2026</v>
      </c>
      <c r="C866" s="3" t="s">
        <v>2963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41"/>
        <v>24</v>
      </c>
      <c r="R866" s="53" t="str">
        <f t="shared" si="42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3">
        <f t="shared" si="43"/>
        <v>48</v>
      </c>
      <c r="Z866" s="18">
        <v>46155</v>
      </c>
      <c r="AA866" s="15"/>
      <c r="AB866" s="15"/>
    </row>
    <row r="867" spans="1:28" hidden="1">
      <c r="A867" s="6">
        <v>46107</v>
      </c>
      <c r="B867" s="3">
        <v>2026</v>
      </c>
      <c r="C867" s="3" t="s">
        <v>2963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41"/>
        <v>24</v>
      </c>
      <c r="R867" s="53" t="str">
        <f t="shared" si="42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3">
        <f t="shared" si="43"/>
        <v>48</v>
      </c>
      <c r="Z867" s="18">
        <v>46155</v>
      </c>
      <c r="AA867" s="15"/>
      <c r="AB867" s="15"/>
    </row>
    <row r="868" spans="1:28" hidden="1">
      <c r="A868" s="6">
        <v>46107</v>
      </c>
      <c r="B868" s="3">
        <v>2026</v>
      </c>
      <c r="C868" s="3" t="s">
        <v>2963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41"/>
        <v>24</v>
      </c>
      <c r="R868" s="53" t="str">
        <f t="shared" si="42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3">
        <f t="shared" si="43"/>
        <v>48</v>
      </c>
      <c r="Z868" s="18">
        <v>46155</v>
      </c>
      <c r="AA868" s="15"/>
      <c r="AB868" s="15"/>
    </row>
    <row r="869" spans="1:28" hidden="1">
      <c r="A869" s="6">
        <v>46107</v>
      </c>
      <c r="B869" s="3">
        <v>2026</v>
      </c>
      <c r="C869" s="3" t="s">
        <v>2963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41"/>
        <v>24</v>
      </c>
      <c r="R869" s="53" t="str">
        <f t="shared" si="42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3">
        <f t="shared" si="43"/>
        <v>48</v>
      </c>
      <c r="Z869" s="18">
        <v>46155</v>
      </c>
      <c r="AA869" s="15"/>
      <c r="AB869" s="15"/>
    </row>
    <row r="870" spans="1:28" hidden="1">
      <c r="A870" s="6">
        <v>46107</v>
      </c>
      <c r="B870" s="3">
        <v>2026</v>
      </c>
      <c r="C870" s="3" t="s">
        <v>2963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41"/>
        <v>24</v>
      </c>
      <c r="R870" s="53" t="str">
        <f t="shared" si="42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3">
        <f t="shared" si="43"/>
        <v>48</v>
      </c>
      <c r="Z870" s="18">
        <v>46155</v>
      </c>
      <c r="AA870" s="15"/>
      <c r="AB870" s="15"/>
    </row>
    <row r="871" spans="1:28" hidden="1">
      <c r="A871" s="6">
        <v>46107</v>
      </c>
      <c r="B871" s="3">
        <v>2026</v>
      </c>
      <c r="C871" s="3" t="s">
        <v>2963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44">MID(P871,5,2)</f>
        <v>24</v>
      </c>
      <c r="R871" s="53" t="str">
        <f t="shared" ref="R871:R934" si="45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3">
        <f t="shared" si="43"/>
        <v>48</v>
      </c>
      <c r="Z871" s="18">
        <v>46155</v>
      </c>
      <c r="AA871" s="15"/>
      <c r="AB871" s="15"/>
    </row>
    <row r="872" spans="1:28" hidden="1">
      <c r="A872" s="6">
        <v>46107</v>
      </c>
      <c r="B872" s="3">
        <v>2026</v>
      </c>
      <c r="C872" s="3" t="s">
        <v>2963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44"/>
        <v>24</v>
      </c>
      <c r="R872" s="53" t="str">
        <f t="shared" si="45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3">
        <f t="shared" si="43"/>
        <v>48</v>
      </c>
      <c r="Z872" s="18">
        <v>46155</v>
      </c>
      <c r="AA872" s="15"/>
      <c r="AB872" s="15"/>
    </row>
    <row r="873" spans="1:28" hidden="1">
      <c r="A873" s="6">
        <v>46107</v>
      </c>
      <c r="B873" s="3">
        <v>2026</v>
      </c>
      <c r="C873" s="3" t="s">
        <v>2963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44"/>
        <v>24</v>
      </c>
      <c r="R873" s="53" t="str">
        <f t="shared" si="45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3">
        <f t="shared" si="43"/>
        <v>48</v>
      </c>
      <c r="Z873" s="18">
        <v>46155</v>
      </c>
      <c r="AA873" s="15"/>
      <c r="AB873" s="15"/>
    </row>
    <row r="874" spans="1:28" hidden="1">
      <c r="A874" s="6">
        <v>46107</v>
      </c>
      <c r="B874" s="3">
        <v>2026</v>
      </c>
      <c r="C874" s="3" t="s">
        <v>2963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44"/>
        <v>24</v>
      </c>
      <c r="R874" s="53" t="str">
        <f t="shared" si="45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3">
        <f t="shared" si="43"/>
        <v>48</v>
      </c>
      <c r="Z874" s="18">
        <v>46155</v>
      </c>
      <c r="AA874" s="15"/>
      <c r="AB874" s="15"/>
    </row>
    <row r="875" spans="1:28" hidden="1">
      <c r="A875" s="6">
        <v>46107</v>
      </c>
      <c r="B875" s="3">
        <v>2026</v>
      </c>
      <c r="C875" s="3" t="s">
        <v>2963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44"/>
        <v>24</v>
      </c>
      <c r="R875" s="53" t="str">
        <f t="shared" si="45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3">
        <f t="shared" si="43"/>
        <v>48</v>
      </c>
      <c r="Z875" s="18">
        <v>46155</v>
      </c>
      <c r="AA875" s="15"/>
      <c r="AB875" s="15"/>
    </row>
    <row r="876" spans="1:28" hidden="1">
      <c r="A876" s="6">
        <v>46107</v>
      </c>
      <c r="B876" s="3">
        <v>2026</v>
      </c>
      <c r="C876" s="3" t="s">
        <v>2963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44"/>
        <v>24</v>
      </c>
      <c r="R876" s="53" t="str">
        <f t="shared" si="45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3">
        <f t="shared" si="43"/>
        <v>48</v>
      </c>
      <c r="Z876" s="18">
        <v>46155</v>
      </c>
      <c r="AA876" s="15"/>
      <c r="AB876" s="15"/>
    </row>
    <row r="877" spans="1:28" hidden="1">
      <c r="A877" s="6">
        <v>46107</v>
      </c>
      <c r="B877" s="3">
        <v>2026</v>
      </c>
      <c r="C877" s="3" t="s">
        <v>2963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44"/>
        <v>24</v>
      </c>
      <c r="R877" s="53" t="str">
        <f t="shared" si="45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3">
        <f t="shared" si="43"/>
        <v>48</v>
      </c>
      <c r="Z877" s="18">
        <v>46155</v>
      </c>
      <c r="AA877" s="15"/>
      <c r="AB877" s="15"/>
    </row>
    <row r="878" spans="1:28" hidden="1">
      <c r="A878" s="6">
        <v>46107</v>
      </c>
      <c r="B878" s="3">
        <v>2026</v>
      </c>
      <c r="C878" s="3" t="s">
        <v>2963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44"/>
        <v>24</v>
      </c>
      <c r="R878" s="53" t="str">
        <f t="shared" si="45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3">
        <f t="shared" si="43"/>
        <v>48</v>
      </c>
      <c r="Z878" s="18">
        <v>46155</v>
      </c>
      <c r="AA878" s="15"/>
      <c r="AB878" s="15"/>
    </row>
    <row r="879" spans="1:28" hidden="1">
      <c r="A879" s="6">
        <v>46107</v>
      </c>
      <c r="B879" s="3">
        <v>2026</v>
      </c>
      <c r="C879" s="3" t="s">
        <v>2963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44"/>
        <v>24</v>
      </c>
      <c r="R879" s="53" t="str">
        <f t="shared" si="45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3">
        <f t="shared" si="43"/>
        <v>48</v>
      </c>
      <c r="Z879" s="18">
        <v>46155</v>
      </c>
      <c r="AA879" s="15"/>
      <c r="AB879" s="15"/>
    </row>
    <row r="880" spans="1:28" hidden="1">
      <c r="A880" s="6">
        <v>46107</v>
      </c>
      <c r="B880" s="3">
        <v>2026</v>
      </c>
      <c r="C880" s="3" t="s">
        <v>2963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44"/>
        <v>24</v>
      </c>
      <c r="R880" s="53" t="str">
        <f t="shared" si="45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3">
        <f t="shared" si="43"/>
        <v>48</v>
      </c>
      <c r="Z880" s="18">
        <v>46155</v>
      </c>
      <c r="AA880" s="15"/>
      <c r="AB880" s="15"/>
    </row>
    <row r="881" spans="1:28" hidden="1">
      <c r="A881" s="6">
        <v>46107</v>
      </c>
      <c r="B881" s="3">
        <v>2026</v>
      </c>
      <c r="C881" s="3" t="s">
        <v>2963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44"/>
        <v>24</v>
      </c>
      <c r="R881" s="53" t="str">
        <f t="shared" si="45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3">
        <f t="shared" si="43"/>
        <v>48</v>
      </c>
      <c r="Z881" s="18">
        <v>46155</v>
      </c>
      <c r="AA881" s="15"/>
      <c r="AB881" s="15"/>
    </row>
    <row r="882" spans="1:28" hidden="1">
      <c r="A882" s="6">
        <v>46107</v>
      </c>
      <c r="B882" s="3">
        <v>2026</v>
      </c>
      <c r="C882" s="3" t="s">
        <v>2963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44"/>
        <v>24</v>
      </c>
      <c r="R882" s="53" t="str">
        <f t="shared" si="45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3">
        <f t="shared" si="43"/>
        <v>48</v>
      </c>
      <c r="Z882" s="18">
        <v>46155</v>
      </c>
      <c r="AA882" s="15"/>
      <c r="AB882" s="15"/>
    </row>
    <row r="883" spans="1:28" hidden="1">
      <c r="A883" s="6">
        <v>46107</v>
      </c>
      <c r="B883" s="3">
        <v>2026</v>
      </c>
      <c r="C883" s="3" t="s">
        <v>2963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44"/>
        <v>24</v>
      </c>
      <c r="R883" s="53" t="str">
        <f t="shared" si="45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3">
        <f t="shared" si="43"/>
        <v>48</v>
      </c>
      <c r="Z883" s="18">
        <v>46155</v>
      </c>
      <c r="AA883" s="15"/>
      <c r="AB883" s="15"/>
    </row>
    <row r="884" spans="1:28" hidden="1">
      <c r="A884" s="6">
        <v>46107</v>
      </c>
      <c r="B884" s="3">
        <v>2026</v>
      </c>
      <c r="C884" s="3" t="s">
        <v>2963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44"/>
        <v>24</v>
      </c>
      <c r="R884" s="53" t="str">
        <f t="shared" si="45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3">
        <f t="shared" si="43"/>
        <v>48</v>
      </c>
      <c r="Z884" s="18">
        <v>46155</v>
      </c>
      <c r="AA884" s="15"/>
      <c r="AB884" s="15"/>
    </row>
    <row r="885" spans="1:28" hidden="1">
      <c r="A885" s="6">
        <v>46107</v>
      </c>
      <c r="B885" s="3">
        <v>2026</v>
      </c>
      <c r="C885" s="3" t="s">
        <v>2963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44"/>
        <v>24</v>
      </c>
      <c r="R885" s="53" t="str">
        <f t="shared" si="45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3">
        <f t="shared" si="43"/>
        <v>48</v>
      </c>
      <c r="Z885" s="18">
        <v>46155</v>
      </c>
      <c r="AA885" s="15"/>
      <c r="AB885" s="15"/>
    </row>
    <row r="886" spans="1:28" hidden="1">
      <c r="A886" s="6">
        <v>46107</v>
      </c>
      <c r="B886" s="3">
        <v>2026</v>
      </c>
      <c r="C886" s="3" t="s">
        <v>2963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44"/>
        <v>24</v>
      </c>
      <c r="R886" s="53" t="str">
        <f t="shared" si="45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3">
        <f t="shared" si="43"/>
        <v>48</v>
      </c>
      <c r="Z886" s="18">
        <v>46155</v>
      </c>
      <c r="AA886" s="15"/>
      <c r="AB886" s="15"/>
    </row>
    <row r="887" spans="1:28" hidden="1">
      <c r="A887" s="6">
        <v>46107</v>
      </c>
      <c r="B887" s="3">
        <v>2026</v>
      </c>
      <c r="C887" s="3" t="s">
        <v>2963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44"/>
        <v>24</v>
      </c>
      <c r="R887" s="53" t="str">
        <f t="shared" si="45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3">
        <f t="shared" si="43"/>
        <v>48</v>
      </c>
      <c r="Z887" s="18">
        <v>46155</v>
      </c>
      <c r="AA887" s="15"/>
      <c r="AB887" s="15"/>
    </row>
    <row r="888" spans="1:28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44"/>
        <v>24</v>
      </c>
      <c r="R888" s="53" t="str">
        <f t="shared" si="45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3">
        <f t="shared" si="43"/>
        <v>12</v>
      </c>
      <c r="Z888" s="18">
        <v>46155</v>
      </c>
      <c r="AA888" s="15"/>
      <c r="AB888" s="15"/>
    </row>
    <row r="889" spans="1:28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44"/>
        <v>24</v>
      </c>
      <c r="R889" s="53" t="str">
        <f t="shared" si="45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3">
        <f t="shared" si="43"/>
        <v>12</v>
      </c>
      <c r="Z889" s="18">
        <v>46155</v>
      </c>
      <c r="AA889" s="15"/>
      <c r="AB889" s="15"/>
    </row>
    <row r="890" spans="1:28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44"/>
        <v>24</v>
      </c>
      <c r="R890" s="53" t="str">
        <f t="shared" si="45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3">
        <f t="shared" si="43"/>
        <v>12</v>
      </c>
      <c r="Z890" s="18">
        <v>46155</v>
      </c>
      <c r="AA890" s="15"/>
      <c r="AB890" s="15"/>
    </row>
    <row r="891" spans="1:28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44"/>
        <v>24</v>
      </c>
      <c r="R891" s="53" t="str">
        <f t="shared" si="45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3">
        <f t="shared" si="43"/>
        <v>12</v>
      </c>
      <c r="Z891" s="18">
        <v>46155</v>
      </c>
      <c r="AA891" s="15"/>
      <c r="AB891" s="15"/>
    </row>
    <row r="892" spans="1:28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44"/>
        <v>24</v>
      </c>
      <c r="R892" s="53" t="str">
        <f t="shared" si="45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3">
        <f t="shared" si="43"/>
        <v>12</v>
      </c>
      <c r="Z892" s="18">
        <v>46155</v>
      </c>
      <c r="AA892" s="15"/>
      <c r="AB892" s="15"/>
    </row>
    <row r="893" spans="1:28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44"/>
        <v>24</v>
      </c>
      <c r="R893" s="53" t="str">
        <f t="shared" si="45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3">
        <f t="shared" si="43"/>
        <v>12</v>
      </c>
      <c r="Z893" s="18">
        <v>46155</v>
      </c>
      <c r="AA893" s="15"/>
      <c r="AB893" s="15"/>
    </row>
    <row r="894" spans="1:28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44"/>
        <v>24</v>
      </c>
      <c r="R894" s="53" t="str">
        <f t="shared" si="45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3">
        <f t="shared" si="43"/>
        <v>12</v>
      </c>
      <c r="Z894" s="18">
        <v>46155</v>
      </c>
      <c r="AA894" s="15"/>
      <c r="AB894" s="15"/>
    </row>
    <row r="895" spans="1:28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44"/>
        <v>24</v>
      </c>
      <c r="R895" s="53" t="str">
        <f t="shared" si="45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3">
        <f t="shared" si="43"/>
        <v>12</v>
      </c>
      <c r="Z895" s="18">
        <v>46155</v>
      </c>
      <c r="AA895" s="15"/>
      <c r="AB895" s="15"/>
    </row>
    <row r="896" spans="1:28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44"/>
        <v>24</v>
      </c>
      <c r="R896" s="53" t="str">
        <f t="shared" si="45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3">
        <f t="shared" si="43"/>
        <v>12</v>
      </c>
      <c r="Z896" s="18">
        <v>46155</v>
      </c>
      <c r="AA896" s="15"/>
      <c r="AB896" s="15"/>
    </row>
    <row r="897" spans="1:28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44"/>
        <v>24</v>
      </c>
      <c r="R897" s="53" t="str">
        <f t="shared" si="45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3">
        <f t="shared" si="43"/>
        <v>12</v>
      </c>
      <c r="Z897" s="18">
        <v>46155</v>
      </c>
      <c r="AA897" s="15"/>
      <c r="AB897" s="15"/>
    </row>
    <row r="898" spans="1:28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44"/>
        <v>24</v>
      </c>
      <c r="R898" s="53" t="str">
        <f t="shared" si="45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3">
        <f t="shared" ref="Y898:Y961" si="46">X898-A898</f>
        <v>12</v>
      </c>
      <c r="Z898" s="18">
        <v>46155</v>
      </c>
      <c r="AA898" s="15"/>
      <c r="AB898" s="15"/>
    </row>
    <row r="899" spans="1:28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44"/>
        <v>24</v>
      </c>
      <c r="R899" s="53" t="str">
        <f t="shared" si="45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3">
        <f t="shared" si="46"/>
        <v>12</v>
      </c>
      <c r="Z899" s="18">
        <v>46155</v>
      </c>
      <c r="AA899" s="15"/>
      <c r="AB899" s="15"/>
    </row>
    <row r="900" spans="1:28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44"/>
        <v>24</v>
      </c>
      <c r="R900" s="53" t="str">
        <f t="shared" si="45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3">
        <f t="shared" si="46"/>
        <v>12</v>
      </c>
      <c r="Z900" s="18">
        <v>46155</v>
      </c>
      <c r="AA900" s="15"/>
      <c r="AB900" s="15"/>
    </row>
    <row r="901" spans="1:28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44"/>
        <v>24</v>
      </c>
      <c r="R901" s="53" t="str">
        <f t="shared" si="45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3">
        <f t="shared" si="46"/>
        <v>12</v>
      </c>
      <c r="Z901" s="18">
        <v>46155</v>
      </c>
      <c r="AA901" s="15"/>
      <c r="AB901" s="15"/>
    </row>
    <row r="902" spans="1:28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44"/>
        <v>24</v>
      </c>
      <c r="R902" s="53" t="str">
        <f t="shared" si="45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3">
        <f t="shared" si="46"/>
        <v>12</v>
      </c>
      <c r="Z902" s="18">
        <v>46155</v>
      </c>
      <c r="AA902" s="15"/>
      <c r="AB902" s="15"/>
    </row>
    <row r="903" spans="1:28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44"/>
        <v>24</v>
      </c>
      <c r="R903" s="53" t="str">
        <f t="shared" si="45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3">
        <f t="shared" si="46"/>
        <v>12</v>
      </c>
      <c r="Z903" s="18">
        <v>46155</v>
      </c>
      <c r="AA903" s="15"/>
      <c r="AB903" s="15"/>
    </row>
    <row r="904" spans="1:28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44"/>
        <v>24</v>
      </c>
      <c r="R904" s="53" t="str">
        <f t="shared" si="45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3">
        <f t="shared" si="46"/>
        <v>12</v>
      </c>
      <c r="Z904" s="18">
        <v>46155</v>
      </c>
      <c r="AA904" s="15"/>
      <c r="AB904" s="15"/>
    </row>
    <row r="905" spans="1:28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44"/>
        <v>24</v>
      </c>
      <c r="R905" s="53" t="str">
        <f t="shared" si="45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3">
        <f t="shared" si="46"/>
        <v>12</v>
      </c>
      <c r="Z905" s="18">
        <v>46155</v>
      </c>
      <c r="AA905" s="15"/>
      <c r="AB905" s="15"/>
    </row>
    <row r="906" spans="1:28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44"/>
        <v>24</v>
      </c>
      <c r="R906" s="53" t="str">
        <f t="shared" si="45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3">
        <f t="shared" si="46"/>
        <v>12</v>
      </c>
      <c r="Z906" s="18">
        <v>46155</v>
      </c>
      <c r="AA906" s="15"/>
      <c r="AB906" s="15"/>
    </row>
    <row r="907" spans="1:28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44"/>
        <v>24</v>
      </c>
      <c r="R907" s="53" t="str">
        <f t="shared" si="45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3">
        <f t="shared" si="46"/>
        <v>12</v>
      </c>
      <c r="Z907" s="18">
        <v>46155</v>
      </c>
      <c r="AA907" s="15"/>
      <c r="AB907" s="15"/>
    </row>
    <row r="908" spans="1:28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44"/>
        <v>24</v>
      </c>
      <c r="R908" s="53" t="str">
        <f t="shared" si="45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3">
        <f t="shared" si="46"/>
        <v>12</v>
      </c>
      <c r="Z908" s="18">
        <v>46155</v>
      </c>
      <c r="AA908" s="15"/>
      <c r="AB908" s="15"/>
    </row>
    <row r="909" spans="1:28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44"/>
        <v>24</v>
      </c>
      <c r="R909" s="53" t="str">
        <f t="shared" si="45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3">
        <f t="shared" si="46"/>
        <v>12</v>
      </c>
      <c r="Z909" s="18">
        <v>46155</v>
      </c>
      <c r="AA909" s="15"/>
      <c r="AB909" s="15"/>
    </row>
    <row r="910" spans="1:28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44"/>
        <v>24</v>
      </c>
      <c r="R910" s="53" t="str">
        <f t="shared" si="45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3">
        <f t="shared" si="46"/>
        <v>12</v>
      </c>
      <c r="Z910" s="18">
        <v>46155</v>
      </c>
      <c r="AA910" s="15"/>
      <c r="AB910" s="15"/>
    </row>
    <row r="911" spans="1:28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44"/>
        <v>24</v>
      </c>
      <c r="R911" s="53" t="str">
        <f t="shared" si="45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3">
        <f t="shared" si="46"/>
        <v>12</v>
      </c>
      <c r="Z911" s="18">
        <v>46155</v>
      </c>
      <c r="AA911" s="15"/>
      <c r="AB911" s="15"/>
    </row>
    <row r="912" spans="1:28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44"/>
        <v>24</v>
      </c>
      <c r="R912" s="53" t="str">
        <f t="shared" si="45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3">
        <f t="shared" si="46"/>
        <v>12</v>
      </c>
      <c r="Z912" s="18">
        <v>46155</v>
      </c>
      <c r="AA912" s="15"/>
      <c r="AB912" s="15"/>
    </row>
    <row r="913" spans="1:28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44"/>
        <v>24</v>
      </c>
      <c r="R913" s="53" t="str">
        <f t="shared" si="45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3">
        <f t="shared" si="46"/>
        <v>12</v>
      </c>
      <c r="Z913" s="18">
        <v>46155</v>
      </c>
      <c r="AA913" s="15"/>
      <c r="AB913" s="15"/>
    </row>
    <row r="914" spans="1:28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44"/>
        <v>24</v>
      </c>
      <c r="R914" s="53" t="str">
        <f t="shared" si="45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3">
        <f t="shared" si="46"/>
        <v>12</v>
      </c>
      <c r="Z914" s="18">
        <v>46155</v>
      </c>
      <c r="AA914" s="15"/>
      <c r="AB914" s="15"/>
    </row>
    <row r="915" spans="1:28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44"/>
        <v>24</v>
      </c>
      <c r="R915" s="53" t="str">
        <f t="shared" si="45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3">
        <f t="shared" si="46"/>
        <v>12</v>
      </c>
      <c r="Z915" s="18">
        <v>46155</v>
      </c>
      <c r="AA915" s="15"/>
      <c r="AB915" s="15"/>
    </row>
    <row r="916" spans="1:28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44"/>
        <v>24</v>
      </c>
      <c r="R916" s="53" t="str">
        <f t="shared" si="45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3">
        <f t="shared" si="46"/>
        <v>12</v>
      </c>
      <c r="Z916" s="18">
        <v>46155</v>
      </c>
      <c r="AA916" s="15"/>
      <c r="AB916" s="15"/>
    </row>
    <row r="917" spans="1:28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44"/>
        <v>24</v>
      </c>
      <c r="R917" s="53" t="str">
        <f t="shared" si="45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3">
        <f t="shared" si="46"/>
        <v>12</v>
      </c>
      <c r="Z917" s="18">
        <v>46155</v>
      </c>
      <c r="AA917" s="15"/>
      <c r="AB917" s="15"/>
    </row>
    <row r="918" spans="1:28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44"/>
        <v>24</v>
      </c>
      <c r="R918" s="53" t="str">
        <f t="shared" si="45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3">
        <f t="shared" si="46"/>
        <v>12</v>
      </c>
      <c r="Z918" s="18">
        <v>46155</v>
      </c>
      <c r="AA918" s="15"/>
      <c r="AB918" s="15"/>
    </row>
    <row r="919" spans="1:28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44"/>
        <v>24</v>
      </c>
      <c r="R919" s="53" t="str">
        <f t="shared" si="45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3">
        <f t="shared" si="46"/>
        <v>12</v>
      </c>
      <c r="Z919" s="18">
        <v>46155</v>
      </c>
      <c r="AA919" s="15"/>
      <c r="AB919" s="15"/>
    </row>
    <row r="920" spans="1:28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44"/>
        <v>24</v>
      </c>
      <c r="R920" s="53" t="str">
        <f t="shared" si="45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3">
        <f t="shared" si="46"/>
        <v>12</v>
      </c>
      <c r="Z920" s="18">
        <v>46155</v>
      </c>
      <c r="AA920" s="15"/>
      <c r="AB920" s="15"/>
    </row>
    <row r="921" spans="1:28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44"/>
        <v>24</v>
      </c>
      <c r="R921" s="53" t="str">
        <f t="shared" si="45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3">
        <f t="shared" si="46"/>
        <v>12</v>
      </c>
      <c r="Z921" s="18">
        <v>46155</v>
      </c>
      <c r="AA921" s="15"/>
      <c r="AB921" s="15"/>
    </row>
    <row r="922" spans="1:28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44"/>
        <v>24</v>
      </c>
      <c r="R922" s="53" t="str">
        <f t="shared" si="45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3">
        <f t="shared" si="46"/>
        <v>12</v>
      </c>
      <c r="Z922" s="18">
        <v>46155</v>
      </c>
      <c r="AA922" s="15"/>
      <c r="AB922" s="15"/>
    </row>
    <row r="923" spans="1:28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44"/>
        <v>24</v>
      </c>
      <c r="R923" s="53" t="str">
        <f t="shared" si="45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3">
        <f t="shared" si="46"/>
        <v>12</v>
      </c>
      <c r="Z923" s="18">
        <v>46155</v>
      </c>
      <c r="AA923" s="15"/>
      <c r="AB923" s="15"/>
    </row>
    <row r="924" spans="1:28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44"/>
        <v>24</v>
      </c>
      <c r="R924" s="53" t="str">
        <f t="shared" si="45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3">
        <f t="shared" si="46"/>
        <v>12</v>
      </c>
      <c r="Z924" s="18">
        <v>46155</v>
      </c>
      <c r="AA924" s="15"/>
      <c r="AB924" s="15"/>
    </row>
    <row r="925" spans="1:28" hidden="1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44"/>
        <v>22</v>
      </c>
      <c r="R925" s="53" t="str">
        <f t="shared" si="45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3">
        <f t="shared" si="46"/>
        <v>17</v>
      </c>
      <c r="Z925" s="18">
        <v>46156</v>
      </c>
      <c r="AA925" s="15"/>
      <c r="AB925" s="15"/>
    </row>
    <row r="926" spans="1:28" hidden="1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44"/>
        <v>22</v>
      </c>
      <c r="R926" s="53" t="str">
        <f t="shared" si="45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3">
        <f t="shared" si="46"/>
        <v>17</v>
      </c>
      <c r="Z926" s="18">
        <v>46156</v>
      </c>
      <c r="AA926" s="15"/>
      <c r="AB926" s="15"/>
    </row>
    <row r="927" spans="1:28" hidden="1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44"/>
        <v>22</v>
      </c>
      <c r="R927" s="53" t="str">
        <f t="shared" si="45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3">
        <f t="shared" si="46"/>
        <v>17</v>
      </c>
      <c r="Z927" s="18">
        <v>46156</v>
      </c>
      <c r="AA927" s="15"/>
      <c r="AB927" s="15"/>
    </row>
    <row r="928" spans="1:28" hidden="1">
      <c r="A928" s="6">
        <v>46107</v>
      </c>
      <c r="B928" s="3">
        <v>2026</v>
      </c>
      <c r="C928" s="3" t="s">
        <v>2963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44"/>
        <v>24</v>
      </c>
      <c r="R928" s="53" t="str">
        <f t="shared" si="45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3">
        <f t="shared" si="46"/>
        <v>49</v>
      </c>
      <c r="Z928" s="18">
        <v>46156</v>
      </c>
      <c r="AA928" s="15"/>
      <c r="AB928" s="15"/>
    </row>
    <row r="929" spans="1:28" hidden="1">
      <c r="A929" s="6">
        <v>46107</v>
      </c>
      <c r="B929" s="3">
        <v>2026</v>
      </c>
      <c r="C929" s="3" t="s">
        <v>2963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44"/>
        <v>24</v>
      </c>
      <c r="R929" s="53" t="str">
        <f t="shared" si="45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3">
        <f t="shared" si="46"/>
        <v>49</v>
      </c>
      <c r="Z929" s="18">
        <v>46156</v>
      </c>
      <c r="AA929" s="15"/>
      <c r="AB929" s="15"/>
    </row>
    <row r="930" spans="1:28" hidden="1">
      <c r="A930" s="6">
        <v>46107</v>
      </c>
      <c r="B930" s="3">
        <v>2026</v>
      </c>
      <c r="C930" s="3" t="s">
        <v>2963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44"/>
        <v>24</v>
      </c>
      <c r="R930" s="53" t="str">
        <f t="shared" si="45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3">
        <f t="shared" si="46"/>
        <v>49</v>
      </c>
      <c r="Z930" s="18">
        <v>46156</v>
      </c>
      <c r="AA930" s="15"/>
      <c r="AB930" s="15"/>
    </row>
    <row r="931" spans="1:28" hidden="1">
      <c r="A931" s="6">
        <v>46107</v>
      </c>
      <c r="B931" s="3">
        <v>2026</v>
      </c>
      <c r="C931" s="3" t="s">
        <v>2963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44"/>
        <v>24</v>
      </c>
      <c r="R931" s="53" t="str">
        <f t="shared" si="45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3">
        <f t="shared" si="46"/>
        <v>49</v>
      </c>
      <c r="Z931" s="18">
        <v>46156</v>
      </c>
      <c r="AA931" s="15"/>
      <c r="AB931" s="15"/>
    </row>
    <row r="932" spans="1:28" hidden="1">
      <c r="A932" s="6">
        <v>46107</v>
      </c>
      <c r="B932" s="3">
        <v>2026</v>
      </c>
      <c r="C932" s="3" t="s">
        <v>2963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44"/>
        <v>24</v>
      </c>
      <c r="R932" s="53" t="str">
        <f t="shared" si="45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3">
        <f t="shared" si="46"/>
        <v>49</v>
      </c>
      <c r="Z932" s="18">
        <v>46156</v>
      </c>
      <c r="AA932" s="15"/>
      <c r="AB932" s="15"/>
    </row>
    <row r="933" spans="1:28" hidden="1">
      <c r="A933" s="6">
        <v>46107</v>
      </c>
      <c r="B933" s="3">
        <v>2026</v>
      </c>
      <c r="C933" s="3" t="s">
        <v>2963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44"/>
        <v>24</v>
      </c>
      <c r="R933" s="53" t="str">
        <f t="shared" si="45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3">
        <f t="shared" si="46"/>
        <v>49</v>
      </c>
      <c r="Z933" s="18">
        <v>46156</v>
      </c>
      <c r="AA933" s="15"/>
      <c r="AB933" s="15"/>
    </row>
    <row r="934" spans="1:28" hidden="1">
      <c r="A934" s="6">
        <v>46107</v>
      </c>
      <c r="B934" s="3">
        <v>2026</v>
      </c>
      <c r="C934" s="3" t="s">
        <v>2963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44"/>
        <v>24</v>
      </c>
      <c r="R934" s="53" t="str">
        <f t="shared" si="45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3">
        <f t="shared" si="46"/>
        <v>49</v>
      </c>
      <c r="Z934" s="18">
        <v>46156</v>
      </c>
      <c r="AA934" s="15"/>
      <c r="AB934" s="15"/>
    </row>
    <row r="935" spans="1:28" hidden="1">
      <c r="A935" s="6">
        <v>46107</v>
      </c>
      <c r="B935" s="3">
        <v>2026</v>
      </c>
      <c r="C935" s="3" t="s">
        <v>2963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47">MID(P935,5,2)</f>
        <v>24</v>
      </c>
      <c r="R935" s="53" t="str">
        <f t="shared" ref="R935:R998" si="48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3">
        <f t="shared" si="46"/>
        <v>49</v>
      </c>
      <c r="Z935" s="18">
        <v>46156</v>
      </c>
      <c r="AA935" s="15"/>
      <c r="AB935" s="15"/>
    </row>
    <row r="936" spans="1:28" hidden="1">
      <c r="A936" s="6">
        <v>46107</v>
      </c>
      <c r="B936" s="3">
        <v>2026</v>
      </c>
      <c r="C936" s="3" t="s">
        <v>2963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47"/>
        <v>24</v>
      </c>
      <c r="R936" s="53" t="str">
        <f t="shared" si="48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3">
        <f t="shared" si="46"/>
        <v>49</v>
      </c>
      <c r="Z936" s="18">
        <v>46156</v>
      </c>
      <c r="AA936" s="15"/>
      <c r="AB936" s="15"/>
    </row>
    <row r="937" spans="1:28" hidden="1">
      <c r="A937" s="6">
        <v>46107</v>
      </c>
      <c r="B937" s="3">
        <v>2026</v>
      </c>
      <c r="C937" s="3" t="s">
        <v>2963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47"/>
        <v>24</v>
      </c>
      <c r="R937" s="53" t="str">
        <f t="shared" si="48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3">
        <f t="shared" si="46"/>
        <v>49</v>
      </c>
      <c r="Z937" s="18">
        <v>46156</v>
      </c>
      <c r="AA937" s="15"/>
      <c r="AB937" s="15"/>
    </row>
    <row r="938" spans="1:28" hidden="1">
      <c r="A938" s="6">
        <v>46107</v>
      </c>
      <c r="B938" s="3">
        <v>2026</v>
      </c>
      <c r="C938" s="3" t="s">
        <v>2963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47"/>
        <v>24</v>
      </c>
      <c r="R938" s="53" t="str">
        <f t="shared" si="48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3">
        <f t="shared" si="46"/>
        <v>49</v>
      </c>
      <c r="Z938" s="18">
        <v>46156</v>
      </c>
      <c r="AA938" s="15"/>
      <c r="AB938" s="15"/>
    </row>
    <row r="939" spans="1:28" hidden="1">
      <c r="A939" s="6">
        <v>46107</v>
      </c>
      <c r="B939" s="3">
        <v>2026</v>
      </c>
      <c r="C939" s="3" t="s">
        <v>2963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47"/>
        <v>24</v>
      </c>
      <c r="R939" s="53" t="str">
        <f t="shared" si="48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3">
        <f t="shared" si="46"/>
        <v>49</v>
      </c>
      <c r="Z939" s="18">
        <v>46156</v>
      </c>
      <c r="AA939" s="15"/>
      <c r="AB939" s="15"/>
    </row>
    <row r="940" spans="1:28" hidden="1">
      <c r="A940" s="6">
        <v>46107</v>
      </c>
      <c r="B940" s="3">
        <v>2026</v>
      </c>
      <c r="C940" s="3" t="s">
        <v>2963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47"/>
        <v>24</v>
      </c>
      <c r="R940" s="53" t="str">
        <f t="shared" si="48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3">
        <f t="shared" si="46"/>
        <v>49</v>
      </c>
      <c r="Z940" s="18">
        <v>46156</v>
      </c>
      <c r="AA940" s="15"/>
      <c r="AB940" s="15"/>
    </row>
    <row r="941" spans="1:28" hidden="1">
      <c r="A941" s="6">
        <v>46107</v>
      </c>
      <c r="B941" s="3">
        <v>2026</v>
      </c>
      <c r="C941" s="3" t="s">
        <v>2963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47"/>
        <v>24</v>
      </c>
      <c r="R941" s="53" t="str">
        <f t="shared" si="48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3">
        <f t="shared" si="46"/>
        <v>49</v>
      </c>
      <c r="Z941" s="18">
        <v>46156</v>
      </c>
      <c r="AA941" s="15"/>
      <c r="AB941" s="15"/>
    </row>
    <row r="942" spans="1:28" hidden="1">
      <c r="A942" s="6">
        <v>46107</v>
      </c>
      <c r="B942" s="3">
        <v>2026</v>
      </c>
      <c r="C942" s="3" t="s">
        <v>2963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47"/>
        <v>24</v>
      </c>
      <c r="R942" s="53" t="str">
        <f t="shared" si="48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3">
        <f t="shared" si="46"/>
        <v>49</v>
      </c>
      <c r="Z942" s="18">
        <v>46156</v>
      </c>
      <c r="AA942" s="15"/>
      <c r="AB942" s="15"/>
    </row>
    <row r="943" spans="1:28" hidden="1">
      <c r="A943" s="6">
        <v>46107</v>
      </c>
      <c r="B943" s="3">
        <v>2026</v>
      </c>
      <c r="C943" s="3" t="s">
        <v>2963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47"/>
        <v>24</v>
      </c>
      <c r="R943" s="53" t="str">
        <f t="shared" si="48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3">
        <f t="shared" si="46"/>
        <v>49</v>
      </c>
      <c r="Z943" s="18">
        <v>46156</v>
      </c>
      <c r="AA943" s="15"/>
      <c r="AB943" s="15"/>
    </row>
    <row r="944" spans="1:28" hidden="1">
      <c r="A944" s="6">
        <v>46107</v>
      </c>
      <c r="B944" s="3">
        <v>2026</v>
      </c>
      <c r="C944" s="3" t="s">
        <v>2963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47"/>
        <v>24</v>
      </c>
      <c r="R944" s="53" t="str">
        <f t="shared" si="48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3">
        <f t="shared" si="46"/>
        <v>49</v>
      </c>
      <c r="Z944" s="18">
        <v>46156</v>
      </c>
      <c r="AA944" s="15"/>
      <c r="AB944" s="15"/>
    </row>
    <row r="945" spans="1:28" hidden="1">
      <c r="A945" s="6">
        <v>46107</v>
      </c>
      <c r="B945" s="3">
        <v>2026</v>
      </c>
      <c r="C945" s="3" t="s">
        <v>2963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47"/>
        <v>24</v>
      </c>
      <c r="R945" s="53" t="str">
        <f t="shared" si="48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3">
        <f t="shared" si="46"/>
        <v>49</v>
      </c>
      <c r="Z945" s="18">
        <v>46156</v>
      </c>
      <c r="AA945" s="15"/>
      <c r="AB945" s="15"/>
    </row>
    <row r="946" spans="1:28" hidden="1">
      <c r="A946" s="6">
        <v>46107</v>
      </c>
      <c r="B946" s="3">
        <v>2026</v>
      </c>
      <c r="C946" s="3" t="s">
        <v>2963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47"/>
        <v>24</v>
      </c>
      <c r="R946" s="53" t="str">
        <f t="shared" si="48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3">
        <f t="shared" si="46"/>
        <v>49</v>
      </c>
      <c r="Z946" s="18">
        <v>46156</v>
      </c>
      <c r="AA946" s="15"/>
      <c r="AB946" s="15"/>
    </row>
    <row r="947" spans="1:28" hidden="1">
      <c r="A947" s="6">
        <v>46107</v>
      </c>
      <c r="B947" s="3">
        <v>2026</v>
      </c>
      <c r="C947" s="3" t="s">
        <v>2963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47"/>
        <v>24</v>
      </c>
      <c r="R947" s="53" t="str">
        <f t="shared" si="48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3">
        <f t="shared" si="46"/>
        <v>49</v>
      </c>
      <c r="Z947" s="18">
        <v>46156</v>
      </c>
      <c r="AA947" s="15"/>
      <c r="AB947" s="15"/>
    </row>
    <row r="948" spans="1:28" hidden="1">
      <c r="A948" s="6">
        <v>46107</v>
      </c>
      <c r="B948" s="3">
        <v>2026</v>
      </c>
      <c r="C948" s="3" t="s">
        <v>2963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47"/>
        <v>24</v>
      </c>
      <c r="R948" s="53" t="str">
        <f t="shared" si="48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3">
        <f t="shared" si="46"/>
        <v>49</v>
      </c>
      <c r="Z948" s="18">
        <v>46156</v>
      </c>
      <c r="AA948" s="15"/>
      <c r="AB948" s="15"/>
    </row>
    <row r="949" spans="1:28" hidden="1">
      <c r="A949" s="6">
        <v>46107</v>
      </c>
      <c r="B949" s="3">
        <v>2026</v>
      </c>
      <c r="C949" s="3" t="s">
        <v>2963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47"/>
        <v>24</v>
      </c>
      <c r="R949" s="53" t="str">
        <f t="shared" si="48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3">
        <f t="shared" si="46"/>
        <v>49</v>
      </c>
      <c r="Z949" s="18">
        <v>46156</v>
      </c>
      <c r="AA949" s="15"/>
      <c r="AB949" s="15"/>
    </row>
    <row r="950" spans="1:28" hidden="1">
      <c r="A950" s="6">
        <v>46107</v>
      </c>
      <c r="B950" s="3">
        <v>2026</v>
      </c>
      <c r="C950" s="3" t="s">
        <v>2963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47"/>
        <v>24</v>
      </c>
      <c r="R950" s="53" t="str">
        <f t="shared" si="48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3">
        <f t="shared" si="46"/>
        <v>49</v>
      </c>
      <c r="Z950" s="18">
        <v>46156</v>
      </c>
      <c r="AA950" s="15"/>
      <c r="AB950" s="15"/>
    </row>
    <row r="951" spans="1:28" hidden="1">
      <c r="A951" s="6">
        <v>46107</v>
      </c>
      <c r="B951" s="3">
        <v>2026</v>
      </c>
      <c r="C951" s="3" t="s">
        <v>2963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47"/>
        <v>24</v>
      </c>
      <c r="R951" s="53" t="str">
        <f t="shared" si="48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3">
        <f t="shared" si="46"/>
        <v>49</v>
      </c>
      <c r="Z951" s="18">
        <v>46156</v>
      </c>
      <c r="AA951" s="15"/>
      <c r="AB951" s="15"/>
    </row>
    <row r="952" spans="1:28" hidden="1">
      <c r="A952" s="6">
        <v>46107</v>
      </c>
      <c r="B952" s="3">
        <v>2026</v>
      </c>
      <c r="C952" s="3" t="s">
        <v>2963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47"/>
        <v>24</v>
      </c>
      <c r="R952" s="53" t="str">
        <f t="shared" si="48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3">
        <f t="shared" si="46"/>
        <v>49</v>
      </c>
      <c r="Z952" s="18">
        <v>46156</v>
      </c>
      <c r="AA952" s="15"/>
      <c r="AB952" s="15"/>
    </row>
    <row r="953" spans="1:28" hidden="1">
      <c r="A953" s="6">
        <v>46107</v>
      </c>
      <c r="B953" s="3">
        <v>2026</v>
      </c>
      <c r="C953" s="3" t="s">
        <v>2963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47"/>
        <v>24</v>
      </c>
      <c r="R953" s="53" t="str">
        <f t="shared" si="48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3">
        <f t="shared" si="46"/>
        <v>49</v>
      </c>
      <c r="Z953" s="18">
        <v>46156</v>
      </c>
      <c r="AA953" s="15"/>
      <c r="AB953" s="15"/>
    </row>
    <row r="954" spans="1:28" hidden="1">
      <c r="A954" s="6">
        <v>46107</v>
      </c>
      <c r="B954" s="3">
        <v>2026</v>
      </c>
      <c r="C954" s="3" t="s">
        <v>2963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47"/>
        <v>24</v>
      </c>
      <c r="R954" s="53" t="str">
        <f t="shared" si="48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3">
        <f t="shared" si="46"/>
        <v>49</v>
      </c>
      <c r="Z954" s="18">
        <v>46156</v>
      </c>
      <c r="AA954" s="15"/>
      <c r="AB954" s="15"/>
    </row>
    <row r="955" spans="1:28" hidden="1">
      <c r="A955" s="6">
        <v>46107</v>
      </c>
      <c r="B955" s="3">
        <v>2026</v>
      </c>
      <c r="C955" s="3" t="s">
        <v>2963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47"/>
        <v>24</v>
      </c>
      <c r="R955" s="53" t="str">
        <f t="shared" si="48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3">
        <f t="shared" si="46"/>
        <v>49</v>
      </c>
      <c r="Z955" s="18">
        <v>46156</v>
      </c>
      <c r="AA955" s="15"/>
      <c r="AB955" s="15"/>
    </row>
    <row r="956" spans="1:28" hidden="1">
      <c r="A956" s="6">
        <v>46107</v>
      </c>
      <c r="B956" s="3">
        <v>2026</v>
      </c>
      <c r="C956" s="3" t="s">
        <v>2963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47"/>
        <v>24</v>
      </c>
      <c r="R956" s="53" t="str">
        <f t="shared" si="48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3">
        <f t="shared" si="46"/>
        <v>49</v>
      </c>
      <c r="Z956" s="18">
        <v>46156</v>
      </c>
      <c r="AA956" s="15"/>
      <c r="AB956" s="15"/>
    </row>
    <row r="957" spans="1:28" hidden="1">
      <c r="A957" s="6">
        <v>46107</v>
      </c>
      <c r="B957" s="3">
        <v>2026</v>
      </c>
      <c r="C957" s="3" t="s">
        <v>2963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47"/>
        <v>24</v>
      </c>
      <c r="R957" s="53" t="str">
        <f t="shared" si="48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3">
        <f t="shared" si="46"/>
        <v>49</v>
      </c>
      <c r="Z957" s="18">
        <v>46156</v>
      </c>
      <c r="AA957" s="15"/>
      <c r="AB957" s="15"/>
    </row>
    <row r="958" spans="1:28" hidden="1">
      <c r="A958" s="6">
        <v>46107</v>
      </c>
      <c r="B958" s="3">
        <v>2026</v>
      </c>
      <c r="C958" s="3" t="s">
        <v>2963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47"/>
        <v>24</v>
      </c>
      <c r="R958" s="53" t="str">
        <f t="shared" si="48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3">
        <f t="shared" si="46"/>
        <v>49</v>
      </c>
      <c r="Z958" s="18">
        <v>46156</v>
      </c>
      <c r="AA958" s="15"/>
      <c r="AB958" s="15"/>
    </row>
    <row r="959" spans="1:28" hidden="1">
      <c r="A959" s="6">
        <v>46107</v>
      </c>
      <c r="B959" s="3">
        <v>2026</v>
      </c>
      <c r="C959" s="3" t="s">
        <v>2963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47"/>
        <v>24</v>
      </c>
      <c r="R959" s="53" t="str">
        <f t="shared" si="48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3">
        <f t="shared" si="46"/>
        <v>49</v>
      </c>
      <c r="Z959" s="18">
        <v>46156</v>
      </c>
      <c r="AA959" s="15"/>
      <c r="AB959" s="15"/>
    </row>
    <row r="960" spans="1:28" hidden="1">
      <c r="A960" s="6">
        <v>46107</v>
      </c>
      <c r="B960" s="3">
        <v>2026</v>
      </c>
      <c r="C960" s="3" t="s">
        <v>2963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47"/>
        <v>24</v>
      </c>
      <c r="R960" s="53" t="str">
        <f t="shared" si="48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3">
        <f t="shared" si="46"/>
        <v>49</v>
      </c>
      <c r="Z960" s="18">
        <v>46156</v>
      </c>
      <c r="AA960" s="15"/>
      <c r="AB960" s="15"/>
    </row>
    <row r="961" spans="1:28" hidden="1">
      <c r="A961" s="6">
        <v>46107</v>
      </c>
      <c r="B961" s="3">
        <v>2026</v>
      </c>
      <c r="C961" s="3" t="s">
        <v>2963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47"/>
        <v>24</v>
      </c>
      <c r="R961" s="53" t="str">
        <f t="shared" si="48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3">
        <f t="shared" si="46"/>
        <v>49</v>
      </c>
      <c r="Z961" s="18">
        <v>46156</v>
      </c>
      <c r="AA961" s="15"/>
      <c r="AB961" s="15"/>
    </row>
    <row r="962" spans="1:28" hidden="1">
      <c r="A962" s="6">
        <v>46107</v>
      </c>
      <c r="B962" s="3">
        <v>2026</v>
      </c>
      <c r="C962" s="3" t="s">
        <v>2963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47"/>
        <v>24</v>
      </c>
      <c r="R962" s="53" t="str">
        <f t="shared" si="48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3">
        <f t="shared" ref="Y962:Y1025" si="49">X962-A962</f>
        <v>49</v>
      </c>
      <c r="Z962" s="18">
        <v>46156</v>
      </c>
      <c r="AA962" s="15"/>
      <c r="AB962" s="15"/>
    </row>
    <row r="963" spans="1:28" hidden="1">
      <c r="A963" s="6">
        <v>46107</v>
      </c>
      <c r="B963" s="3">
        <v>2026</v>
      </c>
      <c r="C963" s="3" t="s">
        <v>2963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47"/>
        <v>24</v>
      </c>
      <c r="R963" s="53" t="str">
        <f t="shared" si="48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3">
        <f t="shared" si="49"/>
        <v>49</v>
      </c>
      <c r="Z963" s="18">
        <v>46156</v>
      </c>
      <c r="AA963" s="15"/>
      <c r="AB963" s="15"/>
    </row>
    <row r="964" spans="1:28" hidden="1">
      <c r="A964" s="6">
        <v>46107</v>
      </c>
      <c r="B964" s="3">
        <v>2026</v>
      </c>
      <c r="C964" s="3" t="s">
        <v>2963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47"/>
        <v>24</v>
      </c>
      <c r="R964" s="53" t="str">
        <f t="shared" si="48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3">
        <f t="shared" si="49"/>
        <v>49</v>
      </c>
      <c r="Z964" s="18">
        <v>46156</v>
      </c>
      <c r="AA964" s="15"/>
      <c r="AB964" s="15"/>
    </row>
    <row r="965" spans="1:28" hidden="1">
      <c r="A965" s="6">
        <v>46107</v>
      </c>
      <c r="B965" s="3">
        <v>2026</v>
      </c>
      <c r="C965" s="3" t="s">
        <v>2963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47"/>
        <v>24</v>
      </c>
      <c r="R965" s="53" t="str">
        <f t="shared" si="48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3">
        <f t="shared" si="49"/>
        <v>49</v>
      </c>
      <c r="Z965" s="18">
        <v>46156</v>
      </c>
      <c r="AA965" s="15"/>
      <c r="AB965" s="15"/>
    </row>
    <row r="966" spans="1:28" hidden="1">
      <c r="A966" s="6">
        <v>46107</v>
      </c>
      <c r="B966" s="3">
        <v>2026</v>
      </c>
      <c r="C966" s="3" t="s">
        <v>2963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47"/>
        <v>24</v>
      </c>
      <c r="R966" s="53" t="str">
        <f t="shared" si="48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3">
        <f t="shared" si="49"/>
        <v>49</v>
      </c>
      <c r="Z966" s="18">
        <v>46156</v>
      </c>
      <c r="AA966" s="15"/>
      <c r="AB966" s="15"/>
    </row>
    <row r="967" spans="1:28" hidden="1">
      <c r="A967" s="6">
        <v>46107</v>
      </c>
      <c r="B967" s="3">
        <v>2026</v>
      </c>
      <c r="C967" s="3" t="s">
        <v>2963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47"/>
        <v>24</v>
      </c>
      <c r="R967" s="53" t="str">
        <f t="shared" si="48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3">
        <f t="shared" si="49"/>
        <v>49</v>
      </c>
      <c r="Z967" s="18">
        <v>46156</v>
      </c>
      <c r="AA967" s="15"/>
      <c r="AB967" s="15"/>
    </row>
    <row r="968" spans="1:28" hidden="1">
      <c r="A968" s="6">
        <v>46107</v>
      </c>
      <c r="B968" s="3">
        <v>2026</v>
      </c>
      <c r="C968" s="3" t="s">
        <v>2963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47"/>
        <v>24</v>
      </c>
      <c r="R968" s="53" t="str">
        <f t="shared" si="48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3">
        <f t="shared" si="49"/>
        <v>49</v>
      </c>
      <c r="Z968" s="18">
        <v>46156</v>
      </c>
      <c r="AA968" s="15"/>
      <c r="AB968" s="15"/>
    </row>
    <row r="969" spans="1:28" hidden="1">
      <c r="A969" s="6">
        <v>46107</v>
      </c>
      <c r="B969" s="3">
        <v>2026</v>
      </c>
      <c r="C969" s="3" t="s">
        <v>2963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47"/>
        <v>24</v>
      </c>
      <c r="R969" s="53" t="str">
        <f t="shared" si="48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3">
        <f t="shared" si="49"/>
        <v>49</v>
      </c>
      <c r="Z969" s="18">
        <v>46156</v>
      </c>
      <c r="AA969" s="15"/>
      <c r="AB969" s="15"/>
    </row>
    <row r="970" spans="1:28" hidden="1">
      <c r="A970" s="6">
        <v>46107</v>
      </c>
      <c r="B970" s="3">
        <v>2026</v>
      </c>
      <c r="C970" s="3" t="s">
        <v>2963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47"/>
        <v>24</v>
      </c>
      <c r="R970" s="53" t="str">
        <f t="shared" si="48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3">
        <f t="shared" si="49"/>
        <v>49</v>
      </c>
      <c r="Z970" s="18">
        <v>46156</v>
      </c>
      <c r="AA970" s="15"/>
      <c r="AB970" s="15"/>
    </row>
    <row r="971" spans="1:28" hidden="1">
      <c r="A971" s="6">
        <v>46107</v>
      </c>
      <c r="B971" s="3">
        <v>2026</v>
      </c>
      <c r="C971" s="3" t="s">
        <v>2963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47"/>
        <v>24</v>
      </c>
      <c r="R971" s="53" t="str">
        <f t="shared" si="48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3">
        <f t="shared" si="49"/>
        <v>49</v>
      </c>
      <c r="Z971" s="18">
        <v>46156</v>
      </c>
      <c r="AA971" s="15"/>
      <c r="AB971" s="15"/>
    </row>
    <row r="972" spans="1:28" hidden="1">
      <c r="A972" s="6">
        <v>46107</v>
      </c>
      <c r="B972" s="3">
        <v>2026</v>
      </c>
      <c r="C972" s="3" t="s">
        <v>2963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47"/>
        <v>24</v>
      </c>
      <c r="R972" s="53" t="str">
        <f t="shared" si="48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3">
        <f t="shared" si="49"/>
        <v>49</v>
      </c>
      <c r="Z972" s="18">
        <v>46156</v>
      </c>
      <c r="AA972" s="15"/>
      <c r="AB972" s="15"/>
    </row>
    <row r="973" spans="1:28" hidden="1">
      <c r="A973" s="6">
        <v>46107</v>
      </c>
      <c r="B973" s="3">
        <v>2026</v>
      </c>
      <c r="C973" s="3" t="s">
        <v>2963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47"/>
        <v>24</v>
      </c>
      <c r="R973" s="53" t="str">
        <f t="shared" si="48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3">
        <f t="shared" si="49"/>
        <v>49</v>
      </c>
      <c r="Z973" s="18">
        <v>46156</v>
      </c>
      <c r="AA973" s="15"/>
      <c r="AB973" s="15"/>
    </row>
    <row r="974" spans="1:28" hidden="1">
      <c r="A974" s="6">
        <v>46107</v>
      </c>
      <c r="B974" s="3">
        <v>2026</v>
      </c>
      <c r="C974" s="3" t="s">
        <v>2963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47"/>
        <v>24</v>
      </c>
      <c r="R974" s="53" t="str">
        <f t="shared" si="48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3">
        <f t="shared" si="49"/>
        <v>49</v>
      </c>
      <c r="Z974" s="18">
        <v>46156</v>
      </c>
      <c r="AA974" s="15"/>
      <c r="AB974" s="15"/>
    </row>
    <row r="975" spans="1:28" hidden="1">
      <c r="A975" s="6">
        <v>46107</v>
      </c>
      <c r="B975" s="3">
        <v>2026</v>
      </c>
      <c r="C975" s="3" t="s">
        <v>2963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47"/>
        <v>24</v>
      </c>
      <c r="R975" s="53" t="str">
        <f t="shared" si="48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3">
        <f t="shared" si="49"/>
        <v>49</v>
      </c>
      <c r="Z975" s="18">
        <v>46156</v>
      </c>
      <c r="AA975" s="15"/>
      <c r="AB975" s="15"/>
    </row>
    <row r="976" spans="1:28" hidden="1">
      <c r="A976" s="6">
        <v>46107</v>
      </c>
      <c r="B976" s="3">
        <v>2026</v>
      </c>
      <c r="C976" s="3" t="s">
        <v>2963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47"/>
        <v>24</v>
      </c>
      <c r="R976" s="53" t="str">
        <f t="shared" si="48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3">
        <f t="shared" si="49"/>
        <v>49</v>
      </c>
      <c r="Z976" s="18">
        <v>46156</v>
      </c>
      <c r="AA976" s="15"/>
      <c r="AB976" s="15"/>
    </row>
    <row r="977" spans="1:28" hidden="1">
      <c r="A977" s="6">
        <v>46107</v>
      </c>
      <c r="B977" s="3">
        <v>2026</v>
      </c>
      <c r="C977" s="3" t="s">
        <v>2963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47"/>
        <v>24</v>
      </c>
      <c r="R977" s="53" t="str">
        <f t="shared" si="48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3">
        <f t="shared" si="49"/>
        <v>49</v>
      </c>
      <c r="Z977" s="18">
        <v>46156</v>
      </c>
      <c r="AA977" s="15"/>
      <c r="AB977" s="15"/>
    </row>
    <row r="978" spans="1:28" hidden="1">
      <c r="A978" s="6">
        <v>46107</v>
      </c>
      <c r="B978" s="3">
        <v>2026</v>
      </c>
      <c r="C978" s="3" t="s">
        <v>2963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47"/>
        <v>24</v>
      </c>
      <c r="R978" s="53" t="str">
        <f t="shared" si="48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3">
        <f t="shared" si="49"/>
        <v>49</v>
      </c>
      <c r="Z978" s="18">
        <v>46156</v>
      </c>
      <c r="AA978" s="15"/>
      <c r="AB978" s="15"/>
    </row>
    <row r="979" spans="1:28" hidden="1">
      <c r="A979" s="6">
        <v>46107</v>
      </c>
      <c r="B979" s="3">
        <v>2026</v>
      </c>
      <c r="C979" s="3" t="s">
        <v>2963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47"/>
        <v>24</v>
      </c>
      <c r="R979" s="53" t="str">
        <f t="shared" si="48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3">
        <f t="shared" si="49"/>
        <v>49</v>
      </c>
      <c r="Z979" s="18">
        <v>46156</v>
      </c>
      <c r="AA979" s="15"/>
      <c r="AB979" s="15"/>
    </row>
    <row r="980" spans="1:28" hidden="1">
      <c r="A980" s="6">
        <v>46107</v>
      </c>
      <c r="B980" s="3">
        <v>2026</v>
      </c>
      <c r="C980" s="3" t="s">
        <v>2963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47"/>
        <v>24</v>
      </c>
      <c r="R980" s="53" t="str">
        <f t="shared" si="48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3">
        <f t="shared" si="49"/>
        <v>49</v>
      </c>
      <c r="Z980" s="18">
        <v>46156</v>
      </c>
      <c r="AA980" s="15"/>
      <c r="AB980" s="15"/>
    </row>
    <row r="981" spans="1:28" hidden="1">
      <c r="A981" s="6">
        <v>46107</v>
      </c>
      <c r="B981" s="3">
        <v>2026</v>
      </c>
      <c r="C981" s="3" t="s">
        <v>2963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47"/>
        <v>24</v>
      </c>
      <c r="R981" s="53" t="str">
        <f t="shared" si="48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3">
        <f t="shared" si="49"/>
        <v>49</v>
      </c>
      <c r="Z981" s="18">
        <v>46156</v>
      </c>
      <c r="AA981" s="15"/>
      <c r="AB981" s="15"/>
    </row>
    <row r="982" spans="1:28" hidden="1">
      <c r="A982" s="6">
        <v>46107</v>
      </c>
      <c r="B982" s="3">
        <v>2026</v>
      </c>
      <c r="C982" s="3" t="s">
        <v>2963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47"/>
        <v>24</v>
      </c>
      <c r="R982" s="53" t="str">
        <f t="shared" si="48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3">
        <f t="shared" si="49"/>
        <v>49</v>
      </c>
      <c r="Z982" s="18">
        <v>46156</v>
      </c>
      <c r="AA982" s="15"/>
      <c r="AB982" s="15"/>
    </row>
    <row r="983" spans="1:28" hidden="1">
      <c r="A983" s="6">
        <v>46107</v>
      </c>
      <c r="B983" s="3">
        <v>2026</v>
      </c>
      <c r="C983" s="3" t="s">
        <v>2963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47"/>
        <v>24</v>
      </c>
      <c r="R983" s="53" t="str">
        <f t="shared" si="48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3">
        <f t="shared" si="49"/>
        <v>49</v>
      </c>
      <c r="Z983" s="18">
        <v>46156</v>
      </c>
      <c r="AA983" s="15"/>
      <c r="AB983" s="15"/>
    </row>
    <row r="984" spans="1:28" hidden="1">
      <c r="A984" s="6">
        <v>46107</v>
      </c>
      <c r="B984" s="3">
        <v>2026</v>
      </c>
      <c r="C984" s="3" t="s">
        <v>2963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47"/>
        <v>24</v>
      </c>
      <c r="R984" s="53" t="str">
        <f t="shared" si="48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3">
        <f t="shared" si="49"/>
        <v>49</v>
      </c>
      <c r="Z984" s="18">
        <v>46156</v>
      </c>
      <c r="AA984" s="15"/>
      <c r="AB984" s="15"/>
    </row>
    <row r="985" spans="1:28" hidden="1">
      <c r="A985" s="6">
        <v>46107</v>
      </c>
      <c r="B985" s="3">
        <v>2026</v>
      </c>
      <c r="C985" s="3" t="s">
        <v>2963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47"/>
        <v>24</v>
      </c>
      <c r="R985" s="53" t="str">
        <f t="shared" si="48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3">
        <f t="shared" si="49"/>
        <v>49</v>
      </c>
      <c r="Z985" s="18">
        <v>46156</v>
      </c>
      <c r="AA985" s="15"/>
      <c r="AB985" s="15"/>
    </row>
    <row r="986" spans="1:28" hidden="1">
      <c r="A986" s="6">
        <v>46107</v>
      </c>
      <c r="B986" s="3">
        <v>2026</v>
      </c>
      <c r="C986" s="3" t="s">
        <v>2963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47"/>
        <v>24</v>
      </c>
      <c r="R986" s="53" t="str">
        <f t="shared" si="48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3">
        <f t="shared" si="49"/>
        <v>49</v>
      </c>
      <c r="Z986" s="18">
        <v>46156</v>
      </c>
      <c r="AA986" s="15"/>
      <c r="AB986" s="15"/>
    </row>
    <row r="987" spans="1:28" hidden="1">
      <c r="A987" s="6">
        <v>46107</v>
      </c>
      <c r="B987" s="3">
        <v>2026</v>
      </c>
      <c r="C987" s="3" t="s">
        <v>2963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47"/>
        <v>24</v>
      </c>
      <c r="R987" s="53" t="str">
        <f t="shared" si="48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3">
        <f t="shared" si="49"/>
        <v>49</v>
      </c>
      <c r="Z987" s="18">
        <v>46156</v>
      </c>
      <c r="AA987" s="15"/>
      <c r="AB987" s="15"/>
    </row>
    <row r="988" spans="1:28" hidden="1">
      <c r="A988" s="6">
        <v>46107</v>
      </c>
      <c r="B988" s="3">
        <v>2026</v>
      </c>
      <c r="C988" s="3" t="s">
        <v>2963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47"/>
        <v>24</v>
      </c>
      <c r="R988" s="53" t="str">
        <f t="shared" si="48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3">
        <f t="shared" si="49"/>
        <v>49</v>
      </c>
      <c r="Z988" s="18">
        <v>46156</v>
      </c>
      <c r="AA988" s="15"/>
      <c r="AB988" s="15"/>
    </row>
    <row r="989" spans="1:28" hidden="1">
      <c r="A989" s="6">
        <v>46107</v>
      </c>
      <c r="B989" s="3">
        <v>2026</v>
      </c>
      <c r="C989" s="3" t="s">
        <v>2963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47"/>
        <v>24</v>
      </c>
      <c r="R989" s="53" t="str">
        <f t="shared" si="48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3">
        <f t="shared" si="49"/>
        <v>49</v>
      </c>
      <c r="Z989" s="18">
        <v>46156</v>
      </c>
      <c r="AA989" s="15"/>
      <c r="AB989" s="15"/>
    </row>
    <row r="990" spans="1:28" hidden="1">
      <c r="A990" s="6">
        <v>46107</v>
      </c>
      <c r="B990" s="3">
        <v>2026</v>
      </c>
      <c r="C990" s="3" t="s">
        <v>2963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47"/>
        <v>24</v>
      </c>
      <c r="R990" s="53" t="str">
        <f t="shared" si="48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3">
        <f t="shared" si="49"/>
        <v>49</v>
      </c>
      <c r="Z990" s="18">
        <v>46156</v>
      </c>
      <c r="AA990" s="15"/>
      <c r="AB990" s="15"/>
    </row>
    <row r="991" spans="1:28" hidden="1">
      <c r="A991" s="6">
        <v>46107</v>
      </c>
      <c r="B991" s="3">
        <v>2026</v>
      </c>
      <c r="C991" s="3" t="s">
        <v>2963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47"/>
        <v>24</v>
      </c>
      <c r="R991" s="53" t="str">
        <f t="shared" si="48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3">
        <f t="shared" si="49"/>
        <v>49</v>
      </c>
      <c r="Z991" s="18">
        <v>46156</v>
      </c>
      <c r="AA991" s="15"/>
      <c r="AB991" s="15"/>
    </row>
    <row r="992" spans="1:28" hidden="1">
      <c r="A992" s="6">
        <v>46107</v>
      </c>
      <c r="B992" s="3">
        <v>2026</v>
      </c>
      <c r="C992" s="3" t="s">
        <v>2963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47"/>
        <v>24</v>
      </c>
      <c r="R992" s="53" t="str">
        <f t="shared" si="48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3">
        <f t="shared" si="49"/>
        <v>49</v>
      </c>
      <c r="Z992" s="18">
        <v>46156</v>
      </c>
      <c r="AA992" s="15"/>
      <c r="AB992" s="15"/>
    </row>
    <row r="993" spans="1:28" hidden="1">
      <c r="A993" s="6">
        <v>46107</v>
      </c>
      <c r="B993" s="3">
        <v>2026</v>
      </c>
      <c r="C993" s="3" t="s">
        <v>2963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47"/>
        <v>24</v>
      </c>
      <c r="R993" s="53" t="str">
        <f t="shared" si="48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3">
        <f t="shared" si="49"/>
        <v>49</v>
      </c>
      <c r="Z993" s="18">
        <v>46156</v>
      </c>
      <c r="AA993" s="15"/>
      <c r="AB993" s="15"/>
    </row>
    <row r="994" spans="1:28" hidden="1">
      <c r="A994" s="6">
        <v>46107</v>
      </c>
      <c r="B994" s="3">
        <v>2026</v>
      </c>
      <c r="C994" s="3" t="s">
        <v>2963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47"/>
        <v>24</v>
      </c>
      <c r="R994" s="53" t="str">
        <f t="shared" si="48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3">
        <f t="shared" si="49"/>
        <v>49</v>
      </c>
      <c r="Z994" s="18">
        <v>46156</v>
      </c>
      <c r="AA994" s="15"/>
      <c r="AB994" s="15"/>
    </row>
    <row r="995" spans="1:28" hidden="1">
      <c r="A995" s="6">
        <v>46107</v>
      </c>
      <c r="B995" s="3">
        <v>2026</v>
      </c>
      <c r="C995" s="3" t="s">
        <v>2963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47"/>
        <v>24</v>
      </c>
      <c r="R995" s="53" t="str">
        <f t="shared" si="48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3">
        <f t="shared" si="49"/>
        <v>49</v>
      </c>
      <c r="Z995" s="18">
        <v>46156</v>
      </c>
      <c r="AA995" s="15"/>
      <c r="AB995" s="15"/>
    </row>
    <row r="996" spans="1:28" hidden="1">
      <c r="A996" s="6">
        <v>46107</v>
      </c>
      <c r="B996" s="3">
        <v>2026</v>
      </c>
      <c r="C996" s="3" t="s">
        <v>2963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47"/>
        <v>24</v>
      </c>
      <c r="R996" s="53" t="str">
        <f t="shared" si="48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3">
        <f t="shared" si="49"/>
        <v>49</v>
      </c>
      <c r="Z996" s="18">
        <v>46156</v>
      </c>
      <c r="AA996" s="15"/>
      <c r="AB996" s="15"/>
    </row>
    <row r="997" spans="1:28" hidden="1">
      <c r="A997" s="6">
        <v>46107</v>
      </c>
      <c r="B997" s="3">
        <v>2026</v>
      </c>
      <c r="C997" s="3" t="s">
        <v>2963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47"/>
        <v>24</v>
      </c>
      <c r="R997" s="53" t="str">
        <f t="shared" si="48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3">
        <f t="shared" si="49"/>
        <v>49</v>
      </c>
      <c r="Z997" s="18">
        <v>46156</v>
      </c>
      <c r="AA997" s="15"/>
      <c r="AB997" s="15"/>
    </row>
    <row r="998" spans="1:28" hidden="1">
      <c r="A998" s="6">
        <v>46107</v>
      </c>
      <c r="B998" s="3">
        <v>2026</v>
      </c>
      <c r="C998" s="3" t="s">
        <v>2963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47"/>
        <v>24</v>
      </c>
      <c r="R998" s="53" t="str">
        <f t="shared" si="48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3">
        <f t="shared" si="49"/>
        <v>49</v>
      </c>
      <c r="Z998" s="18">
        <v>46156</v>
      </c>
      <c r="AA998" s="15"/>
      <c r="AB998" s="15"/>
    </row>
    <row r="999" spans="1:28" hidden="1">
      <c r="A999" s="6">
        <v>46107</v>
      </c>
      <c r="B999" s="3">
        <v>2026</v>
      </c>
      <c r="C999" s="3" t="s">
        <v>2963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50">MID(P999,5,2)</f>
        <v>24</v>
      </c>
      <c r="R999" s="53" t="str">
        <f t="shared" ref="R999:R1062" si="51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3">
        <f t="shared" si="49"/>
        <v>49</v>
      </c>
      <c r="Z999" s="18">
        <v>46156</v>
      </c>
      <c r="AA999" s="15"/>
      <c r="AB999" s="15"/>
    </row>
    <row r="1000" spans="1:28" hidden="1">
      <c r="A1000" s="6">
        <v>46107</v>
      </c>
      <c r="B1000" s="3">
        <v>2026</v>
      </c>
      <c r="C1000" s="3" t="s">
        <v>2963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50"/>
        <v>24</v>
      </c>
      <c r="R1000" s="53" t="str">
        <f t="shared" si="51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3">
        <f t="shared" si="49"/>
        <v>49</v>
      </c>
      <c r="Z1000" s="18">
        <v>46156</v>
      </c>
      <c r="AA1000" s="15"/>
      <c r="AB1000" s="15"/>
    </row>
    <row r="1001" spans="1:28" hidden="1">
      <c r="A1001" s="6">
        <v>46107</v>
      </c>
      <c r="B1001" s="3">
        <v>2026</v>
      </c>
      <c r="C1001" s="3" t="s">
        <v>2963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50"/>
        <v>24</v>
      </c>
      <c r="R1001" s="53" t="str">
        <f t="shared" si="51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3">
        <f t="shared" si="49"/>
        <v>49</v>
      </c>
      <c r="Z1001" s="18">
        <v>46156</v>
      </c>
      <c r="AA1001" s="15"/>
      <c r="AB1001" s="15"/>
    </row>
    <row r="1002" spans="1:28" hidden="1">
      <c r="A1002" s="6">
        <v>46107</v>
      </c>
      <c r="B1002" s="3">
        <v>2026</v>
      </c>
      <c r="C1002" s="3" t="s">
        <v>2963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50"/>
        <v>24</v>
      </c>
      <c r="R1002" s="53" t="str">
        <f t="shared" si="51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3">
        <f t="shared" si="49"/>
        <v>49</v>
      </c>
      <c r="Z1002" s="18">
        <v>46156</v>
      </c>
      <c r="AA1002" s="15"/>
      <c r="AB1002" s="15"/>
    </row>
    <row r="1003" spans="1:28" hidden="1">
      <c r="A1003" s="6">
        <v>46107</v>
      </c>
      <c r="B1003" s="3">
        <v>2026</v>
      </c>
      <c r="C1003" s="3" t="s">
        <v>2963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50"/>
        <v>24</v>
      </c>
      <c r="R1003" s="53" t="str">
        <f t="shared" si="51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3">
        <f t="shared" si="49"/>
        <v>49</v>
      </c>
      <c r="Z1003" s="18">
        <v>46156</v>
      </c>
      <c r="AA1003" s="15"/>
      <c r="AB1003" s="15"/>
    </row>
    <row r="1004" spans="1:28" hidden="1">
      <c r="A1004" s="6">
        <v>46107</v>
      </c>
      <c r="B1004" s="3">
        <v>2026</v>
      </c>
      <c r="C1004" s="3" t="s">
        <v>2963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50"/>
        <v>24</v>
      </c>
      <c r="R1004" s="53" t="str">
        <f t="shared" si="51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3">
        <f t="shared" si="49"/>
        <v>49</v>
      </c>
      <c r="Z1004" s="18">
        <v>46156</v>
      </c>
      <c r="AA1004" s="15"/>
      <c r="AB1004" s="15"/>
    </row>
    <row r="1005" spans="1:28" hidden="1">
      <c r="A1005" s="6">
        <v>46107</v>
      </c>
      <c r="B1005" s="3">
        <v>2026</v>
      </c>
      <c r="C1005" s="3" t="s">
        <v>2963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50"/>
        <v>24</v>
      </c>
      <c r="R1005" s="53" t="str">
        <f t="shared" si="51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3">
        <f t="shared" si="49"/>
        <v>49</v>
      </c>
      <c r="Z1005" s="18">
        <v>46156</v>
      </c>
      <c r="AA1005" s="15"/>
      <c r="AB1005" s="15"/>
    </row>
    <row r="1006" spans="1:28" hidden="1">
      <c r="A1006" s="6">
        <v>46107</v>
      </c>
      <c r="B1006" s="3">
        <v>2026</v>
      </c>
      <c r="C1006" s="3" t="s">
        <v>2963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50"/>
        <v>24</v>
      </c>
      <c r="R1006" s="53" t="str">
        <f t="shared" si="51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3">
        <f t="shared" si="49"/>
        <v>49</v>
      </c>
      <c r="Z1006" s="18">
        <v>46156</v>
      </c>
      <c r="AA1006" s="15"/>
      <c r="AB1006" s="15"/>
    </row>
    <row r="1007" spans="1:28" hidden="1">
      <c r="A1007" s="6">
        <v>46107</v>
      </c>
      <c r="B1007" s="3">
        <v>2026</v>
      </c>
      <c r="C1007" s="3" t="s">
        <v>2963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50"/>
        <v>24</v>
      </c>
      <c r="R1007" s="53" t="str">
        <f t="shared" si="51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3">
        <f t="shared" si="49"/>
        <v>49</v>
      </c>
      <c r="Z1007" s="18">
        <v>46156</v>
      </c>
      <c r="AA1007" s="15"/>
      <c r="AB1007" s="15"/>
    </row>
    <row r="1008" spans="1:28" hidden="1">
      <c r="A1008" s="6">
        <v>46107</v>
      </c>
      <c r="B1008" s="3">
        <v>2026</v>
      </c>
      <c r="C1008" s="3" t="s">
        <v>2963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50"/>
        <v>24</v>
      </c>
      <c r="R1008" s="53" t="str">
        <f t="shared" si="51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3">
        <f t="shared" si="49"/>
        <v>49</v>
      </c>
      <c r="Z1008" s="18">
        <v>46156</v>
      </c>
      <c r="AA1008" s="15"/>
      <c r="AB1008" s="15"/>
    </row>
    <row r="1009" spans="1:28" hidden="1">
      <c r="A1009" s="6">
        <v>46107</v>
      </c>
      <c r="B1009" s="3">
        <v>2026</v>
      </c>
      <c r="C1009" s="3" t="s">
        <v>2963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50"/>
        <v>24</v>
      </c>
      <c r="R1009" s="53" t="str">
        <f t="shared" si="51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3">
        <f t="shared" si="49"/>
        <v>49</v>
      </c>
      <c r="Z1009" s="18">
        <v>46156</v>
      </c>
      <c r="AA1009" s="15"/>
      <c r="AB1009" s="15"/>
    </row>
    <row r="1010" spans="1:28" hidden="1">
      <c r="A1010" s="6">
        <v>46107</v>
      </c>
      <c r="B1010" s="3">
        <v>2026</v>
      </c>
      <c r="C1010" s="3" t="s">
        <v>2963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50"/>
        <v>24</v>
      </c>
      <c r="R1010" s="53" t="str">
        <f t="shared" si="51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3">
        <f t="shared" si="49"/>
        <v>49</v>
      </c>
      <c r="Z1010" s="18">
        <v>46156</v>
      </c>
      <c r="AA1010" s="15"/>
      <c r="AB1010" s="15"/>
    </row>
    <row r="1011" spans="1:28" hidden="1">
      <c r="A1011" s="6">
        <v>46107</v>
      </c>
      <c r="B1011" s="3">
        <v>2026</v>
      </c>
      <c r="C1011" s="3" t="s">
        <v>2963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50"/>
        <v>24</v>
      </c>
      <c r="R1011" s="53" t="str">
        <f t="shared" si="51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3">
        <f t="shared" si="49"/>
        <v>49</v>
      </c>
      <c r="Z1011" s="18">
        <v>46156</v>
      </c>
      <c r="AA1011" s="15"/>
      <c r="AB1011" s="15"/>
    </row>
    <row r="1012" spans="1:28" hidden="1">
      <c r="A1012" s="6">
        <v>46107</v>
      </c>
      <c r="B1012" s="3">
        <v>2026</v>
      </c>
      <c r="C1012" s="3" t="s">
        <v>2963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50"/>
        <v>24</v>
      </c>
      <c r="R1012" s="53" t="str">
        <f t="shared" si="51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3">
        <f t="shared" si="49"/>
        <v>49</v>
      </c>
      <c r="Z1012" s="18">
        <v>46156</v>
      </c>
      <c r="AA1012" s="15"/>
      <c r="AB1012" s="15"/>
    </row>
    <row r="1013" spans="1:28" hidden="1">
      <c r="A1013" s="6">
        <v>46107</v>
      </c>
      <c r="B1013" s="3">
        <v>2026</v>
      </c>
      <c r="C1013" s="3" t="s">
        <v>2963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50"/>
        <v>24</v>
      </c>
      <c r="R1013" s="53" t="str">
        <f t="shared" si="51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3">
        <f t="shared" si="49"/>
        <v>49</v>
      </c>
      <c r="Z1013" s="18">
        <v>46156</v>
      </c>
      <c r="AA1013" s="15"/>
      <c r="AB1013" s="15"/>
    </row>
    <row r="1014" spans="1:28" hidden="1">
      <c r="A1014" s="6">
        <v>46107</v>
      </c>
      <c r="B1014" s="3">
        <v>2026</v>
      </c>
      <c r="C1014" s="3" t="s">
        <v>2963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50"/>
        <v>24</v>
      </c>
      <c r="R1014" s="53" t="str">
        <f t="shared" si="51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3">
        <f t="shared" si="49"/>
        <v>49</v>
      </c>
      <c r="Z1014" s="18">
        <v>46156</v>
      </c>
      <c r="AA1014" s="15"/>
      <c r="AB1014" s="15"/>
    </row>
    <row r="1015" spans="1:28" hidden="1">
      <c r="A1015" s="6">
        <v>46107</v>
      </c>
      <c r="B1015" s="3">
        <v>2026</v>
      </c>
      <c r="C1015" s="3" t="s">
        <v>2963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50"/>
        <v>24</v>
      </c>
      <c r="R1015" s="53" t="str">
        <f t="shared" si="51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3">
        <f t="shared" si="49"/>
        <v>49</v>
      </c>
      <c r="Z1015" s="18">
        <v>46156</v>
      </c>
      <c r="AA1015" s="15"/>
      <c r="AB1015" s="15"/>
    </row>
    <row r="1016" spans="1:28" hidden="1">
      <c r="A1016" s="6">
        <v>46107</v>
      </c>
      <c r="B1016" s="3">
        <v>2026</v>
      </c>
      <c r="C1016" s="3" t="s">
        <v>2963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50"/>
        <v>24</v>
      </c>
      <c r="R1016" s="53" t="str">
        <f t="shared" si="51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3">
        <f t="shared" si="49"/>
        <v>49</v>
      </c>
      <c r="Z1016" s="18">
        <v>46156</v>
      </c>
      <c r="AA1016" s="15"/>
      <c r="AB1016" s="15"/>
    </row>
    <row r="1017" spans="1:28" hidden="1">
      <c r="A1017" s="6">
        <v>46107</v>
      </c>
      <c r="B1017" s="3">
        <v>2026</v>
      </c>
      <c r="C1017" s="3" t="s">
        <v>2963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50"/>
        <v>24</v>
      </c>
      <c r="R1017" s="53" t="str">
        <f t="shared" si="51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3">
        <f t="shared" si="49"/>
        <v>49</v>
      </c>
      <c r="Z1017" s="18">
        <v>46156</v>
      </c>
      <c r="AA1017" s="15"/>
      <c r="AB1017" s="15"/>
    </row>
    <row r="1018" spans="1:28" hidden="1">
      <c r="A1018" s="6">
        <v>46107</v>
      </c>
      <c r="B1018" s="3">
        <v>2026</v>
      </c>
      <c r="C1018" s="3" t="s">
        <v>2963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50"/>
        <v>24</v>
      </c>
      <c r="R1018" s="53" t="str">
        <f t="shared" si="51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3">
        <f t="shared" si="49"/>
        <v>49</v>
      </c>
      <c r="Z1018" s="18">
        <v>46156</v>
      </c>
      <c r="AA1018" s="15"/>
      <c r="AB1018" s="15"/>
    </row>
    <row r="1019" spans="1:28" hidden="1">
      <c r="A1019" s="6">
        <v>46107</v>
      </c>
      <c r="B1019" s="3">
        <v>2026</v>
      </c>
      <c r="C1019" s="3" t="s">
        <v>2963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50"/>
        <v>24</v>
      </c>
      <c r="R1019" s="53" t="str">
        <f t="shared" si="51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3">
        <f t="shared" si="49"/>
        <v>49</v>
      </c>
      <c r="Z1019" s="18">
        <v>46156</v>
      </c>
      <c r="AA1019" s="15"/>
      <c r="AB1019" s="15"/>
    </row>
    <row r="1020" spans="1:28" hidden="1">
      <c r="A1020" s="6">
        <v>46107</v>
      </c>
      <c r="B1020" s="3">
        <v>2026</v>
      </c>
      <c r="C1020" s="3" t="s">
        <v>2963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50"/>
        <v>24</v>
      </c>
      <c r="R1020" s="53" t="str">
        <f t="shared" si="51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3">
        <f t="shared" si="49"/>
        <v>49</v>
      </c>
      <c r="Z1020" s="18">
        <v>46156</v>
      </c>
      <c r="AA1020" s="15"/>
      <c r="AB1020" s="15"/>
    </row>
    <row r="1021" spans="1:28" hidden="1">
      <c r="A1021" s="6">
        <v>46107</v>
      </c>
      <c r="B1021" s="3">
        <v>2026</v>
      </c>
      <c r="C1021" s="3" t="s">
        <v>2963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50"/>
        <v>24</v>
      </c>
      <c r="R1021" s="53" t="str">
        <f t="shared" si="51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3">
        <f t="shared" si="49"/>
        <v>49</v>
      </c>
      <c r="Z1021" s="18">
        <v>46156</v>
      </c>
      <c r="AA1021" s="15"/>
      <c r="AB1021" s="15"/>
    </row>
    <row r="1022" spans="1:28" hidden="1">
      <c r="A1022" s="6">
        <v>46107</v>
      </c>
      <c r="B1022" s="3">
        <v>2026</v>
      </c>
      <c r="C1022" s="3" t="s">
        <v>2963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50"/>
        <v>24</v>
      </c>
      <c r="R1022" s="53" t="str">
        <f t="shared" si="51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3">
        <f t="shared" si="49"/>
        <v>49</v>
      </c>
      <c r="Z1022" s="18">
        <v>46156</v>
      </c>
      <c r="AA1022" s="15"/>
      <c r="AB1022" s="15"/>
    </row>
    <row r="1023" spans="1:28" hidden="1">
      <c r="A1023" s="6">
        <v>46107</v>
      </c>
      <c r="B1023" s="3">
        <v>2026</v>
      </c>
      <c r="C1023" s="3" t="s">
        <v>2963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50"/>
        <v>24</v>
      </c>
      <c r="R1023" s="53" t="str">
        <f t="shared" si="51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3">
        <f t="shared" si="49"/>
        <v>49</v>
      </c>
      <c r="Z1023" s="18">
        <v>46156</v>
      </c>
      <c r="AA1023" s="15"/>
      <c r="AB1023" s="15"/>
    </row>
    <row r="1024" spans="1:28" hidden="1">
      <c r="A1024" s="6">
        <v>46107</v>
      </c>
      <c r="B1024" s="3">
        <v>2026</v>
      </c>
      <c r="C1024" s="3" t="s">
        <v>2963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50"/>
        <v>24</v>
      </c>
      <c r="R1024" s="53" t="str">
        <f t="shared" si="51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3">
        <f t="shared" si="49"/>
        <v>49</v>
      </c>
      <c r="Z1024" s="18">
        <v>46156</v>
      </c>
      <c r="AA1024" s="15"/>
      <c r="AB1024" s="15"/>
    </row>
    <row r="1025" spans="1:28" hidden="1">
      <c r="A1025" s="6">
        <v>46107</v>
      </c>
      <c r="B1025" s="3">
        <v>2026</v>
      </c>
      <c r="C1025" s="3" t="s">
        <v>2963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50"/>
        <v>24</v>
      </c>
      <c r="R1025" s="53" t="str">
        <f t="shared" si="51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3">
        <f t="shared" si="49"/>
        <v>49</v>
      </c>
      <c r="Z1025" s="18">
        <v>46156</v>
      </c>
      <c r="AA1025" s="15"/>
      <c r="AB1025" s="15"/>
    </row>
    <row r="1026" spans="1:28" hidden="1">
      <c r="A1026" s="6">
        <v>46107</v>
      </c>
      <c r="B1026" s="3">
        <v>2026</v>
      </c>
      <c r="C1026" s="3" t="s">
        <v>2963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50"/>
        <v>24</v>
      </c>
      <c r="R1026" s="53" t="str">
        <f t="shared" si="51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3">
        <f t="shared" ref="Y1026:Y1089" si="52">X1026-A1026</f>
        <v>49</v>
      </c>
      <c r="Z1026" s="18">
        <v>46156</v>
      </c>
      <c r="AA1026" s="15"/>
      <c r="AB1026" s="15"/>
    </row>
    <row r="1027" spans="1:28" hidden="1">
      <c r="A1027" s="6">
        <v>46107</v>
      </c>
      <c r="B1027" s="3">
        <v>2026</v>
      </c>
      <c r="C1027" s="3" t="s">
        <v>2963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50"/>
        <v>24</v>
      </c>
      <c r="R1027" s="53" t="str">
        <f t="shared" si="51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3">
        <f t="shared" si="52"/>
        <v>49</v>
      </c>
      <c r="Z1027" s="18">
        <v>46156</v>
      </c>
      <c r="AA1027" s="15"/>
      <c r="AB1027" s="15"/>
    </row>
    <row r="1028" spans="1:28" hidden="1">
      <c r="A1028" s="6">
        <v>46107</v>
      </c>
      <c r="B1028" s="3">
        <v>2026</v>
      </c>
      <c r="C1028" s="3" t="s">
        <v>2963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50"/>
        <v>24</v>
      </c>
      <c r="R1028" s="53" t="str">
        <f t="shared" si="51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3">
        <f t="shared" si="52"/>
        <v>49</v>
      </c>
      <c r="Z1028" s="18">
        <v>46156</v>
      </c>
      <c r="AA1028" s="15"/>
      <c r="AB1028" s="15"/>
    </row>
    <row r="1029" spans="1:28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50"/>
        <v>24</v>
      </c>
      <c r="R1029" s="53" t="str">
        <f t="shared" si="51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3">
        <f t="shared" si="52"/>
        <v>13</v>
      </c>
      <c r="Z1029" s="18">
        <v>46156</v>
      </c>
      <c r="AA1029" s="15"/>
      <c r="AB1029" s="15"/>
    </row>
    <row r="1030" spans="1:28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50"/>
        <v>24</v>
      </c>
      <c r="R1030" s="53" t="str">
        <f t="shared" si="51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3">
        <f t="shared" si="52"/>
        <v>13</v>
      </c>
      <c r="Z1030" s="18">
        <v>46156</v>
      </c>
      <c r="AA1030" s="15"/>
      <c r="AB1030" s="15"/>
    </row>
    <row r="1031" spans="1:28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50"/>
        <v>24</v>
      </c>
      <c r="R1031" s="53" t="str">
        <f t="shared" si="51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3">
        <f t="shared" si="52"/>
        <v>13</v>
      </c>
      <c r="Z1031" s="18">
        <v>46156</v>
      </c>
      <c r="AA1031" s="15"/>
      <c r="AB1031" s="15"/>
    </row>
    <row r="1032" spans="1:28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50"/>
        <v>24</v>
      </c>
      <c r="R1032" s="53" t="str">
        <f t="shared" si="51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3">
        <f t="shared" si="52"/>
        <v>13</v>
      </c>
      <c r="Z1032" s="18">
        <v>46156</v>
      </c>
      <c r="AA1032" s="15"/>
      <c r="AB1032" s="15"/>
    </row>
    <row r="1033" spans="1:28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50"/>
        <v>24</v>
      </c>
      <c r="R1033" s="53" t="str">
        <f t="shared" si="51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3">
        <f t="shared" si="52"/>
        <v>13</v>
      </c>
      <c r="Z1033" s="18">
        <v>46156</v>
      </c>
      <c r="AA1033" s="15"/>
      <c r="AB1033" s="15"/>
    </row>
    <row r="1034" spans="1:28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50"/>
        <v>24</v>
      </c>
      <c r="R1034" s="53" t="str">
        <f t="shared" si="51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3">
        <f t="shared" si="52"/>
        <v>13</v>
      </c>
      <c r="Z1034" s="18">
        <v>46156</v>
      </c>
      <c r="AA1034" s="15"/>
      <c r="AB1034" s="15"/>
    </row>
    <row r="1035" spans="1:28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50"/>
        <v>24</v>
      </c>
      <c r="R1035" s="53" t="str">
        <f t="shared" si="51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3">
        <f t="shared" si="52"/>
        <v>13</v>
      </c>
      <c r="Z1035" s="18">
        <v>46156</v>
      </c>
      <c r="AA1035" s="15"/>
      <c r="AB1035" s="15"/>
    </row>
    <row r="1036" spans="1:28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50"/>
        <v>24</v>
      </c>
      <c r="R1036" s="53" t="str">
        <f t="shared" si="51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3">
        <f t="shared" si="52"/>
        <v>13</v>
      </c>
      <c r="Z1036" s="18">
        <v>46156</v>
      </c>
      <c r="AA1036" s="15"/>
      <c r="AB1036" s="15"/>
    </row>
    <row r="1037" spans="1:28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50"/>
        <v>24</v>
      </c>
      <c r="R1037" s="53" t="str">
        <f t="shared" si="51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3">
        <f t="shared" si="52"/>
        <v>13</v>
      </c>
      <c r="Z1037" s="18">
        <v>46156</v>
      </c>
      <c r="AA1037" s="15"/>
      <c r="AB1037" s="15"/>
    </row>
    <row r="1038" spans="1:28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50"/>
        <v>24</v>
      </c>
      <c r="R1038" s="53" t="str">
        <f t="shared" si="51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3">
        <f t="shared" si="52"/>
        <v>13</v>
      </c>
      <c r="Z1038" s="18">
        <v>46156</v>
      </c>
      <c r="AA1038" s="15"/>
      <c r="AB1038" s="15"/>
    </row>
    <row r="1039" spans="1:28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50"/>
        <v>24</v>
      </c>
      <c r="R1039" s="53" t="str">
        <f t="shared" si="51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3">
        <f t="shared" si="52"/>
        <v>13</v>
      </c>
      <c r="Z1039" s="18">
        <v>46156</v>
      </c>
      <c r="AA1039" s="15"/>
      <c r="AB1039" s="15"/>
    </row>
    <row r="1040" spans="1:28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50"/>
        <v>24</v>
      </c>
      <c r="R1040" s="53" t="str">
        <f t="shared" si="51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3">
        <f t="shared" si="52"/>
        <v>13</v>
      </c>
      <c r="Z1040" s="18">
        <v>46156</v>
      </c>
      <c r="AA1040" s="15"/>
      <c r="AB1040" s="15"/>
    </row>
    <row r="1041" spans="1:28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50"/>
        <v>24</v>
      </c>
      <c r="R1041" s="53" t="str">
        <f t="shared" si="51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3">
        <f t="shared" si="52"/>
        <v>13</v>
      </c>
      <c r="Z1041" s="18">
        <v>46156</v>
      </c>
      <c r="AA1041" s="15"/>
      <c r="AB1041" s="15"/>
    </row>
    <row r="1042" spans="1:28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50"/>
        <v>24</v>
      </c>
      <c r="R1042" s="53" t="str">
        <f t="shared" si="51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3">
        <f t="shared" si="52"/>
        <v>13</v>
      </c>
      <c r="Z1042" s="18">
        <v>46156</v>
      </c>
      <c r="AA1042" s="15"/>
      <c r="AB1042" s="15"/>
    </row>
    <row r="1043" spans="1:28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50"/>
        <v>24</v>
      </c>
      <c r="R1043" s="53" t="str">
        <f t="shared" si="51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3">
        <f t="shared" si="52"/>
        <v>13</v>
      </c>
      <c r="Z1043" s="18">
        <v>46156</v>
      </c>
      <c r="AA1043" s="15"/>
      <c r="AB1043" s="15"/>
    </row>
    <row r="1044" spans="1:28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50"/>
        <v>24</v>
      </c>
      <c r="R1044" s="53" t="str">
        <f t="shared" si="51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3">
        <f t="shared" si="52"/>
        <v>13</v>
      </c>
      <c r="Z1044" s="18">
        <v>46156</v>
      </c>
      <c r="AA1044" s="15"/>
      <c r="AB1044" s="15"/>
    </row>
    <row r="1045" spans="1:28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50"/>
        <v>24</v>
      </c>
      <c r="R1045" s="53" t="str">
        <f t="shared" si="51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3">
        <f t="shared" si="52"/>
        <v>13</v>
      </c>
      <c r="Z1045" s="18">
        <v>46156</v>
      </c>
      <c r="AA1045" s="15"/>
      <c r="AB1045" s="15"/>
    </row>
    <row r="1046" spans="1:28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50"/>
        <v>24</v>
      </c>
      <c r="R1046" s="53" t="str">
        <f t="shared" si="51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3">
        <f t="shared" si="52"/>
        <v>13</v>
      </c>
      <c r="Z1046" s="18">
        <v>46156</v>
      </c>
      <c r="AA1046" s="15"/>
      <c r="AB1046" s="15"/>
    </row>
    <row r="1047" spans="1:28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50"/>
        <v>24</v>
      </c>
      <c r="R1047" s="53" t="str">
        <f t="shared" si="51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3">
        <f t="shared" si="52"/>
        <v>13</v>
      </c>
      <c r="Z1047" s="18">
        <v>46156</v>
      </c>
      <c r="AA1047" s="15"/>
      <c r="AB1047" s="15"/>
    </row>
    <row r="1048" spans="1:28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50"/>
        <v>24</v>
      </c>
      <c r="R1048" s="53" t="str">
        <f t="shared" si="51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3">
        <f t="shared" si="52"/>
        <v>13</v>
      </c>
      <c r="Z1048" s="18">
        <v>46156</v>
      </c>
      <c r="AA1048" s="15"/>
      <c r="AB1048" s="15"/>
    </row>
    <row r="1049" spans="1:28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50"/>
        <v>24</v>
      </c>
      <c r="R1049" s="53" t="str">
        <f t="shared" si="51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3">
        <f t="shared" si="52"/>
        <v>13</v>
      </c>
      <c r="Z1049" s="18">
        <v>46156</v>
      </c>
      <c r="AA1049" s="15"/>
      <c r="AB1049" s="15"/>
    </row>
    <row r="1050" spans="1:28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50"/>
        <v>24</v>
      </c>
      <c r="R1050" s="53" t="str">
        <f t="shared" si="51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3">
        <f t="shared" si="52"/>
        <v>13</v>
      </c>
      <c r="Z1050" s="18">
        <v>46156</v>
      </c>
      <c r="AA1050" s="15"/>
      <c r="AB1050" s="15"/>
    </row>
    <row r="1051" spans="1:28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50"/>
        <v>24</v>
      </c>
      <c r="R1051" s="53" t="str">
        <f t="shared" si="51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3">
        <f t="shared" si="52"/>
        <v>13</v>
      </c>
      <c r="Z1051" s="18">
        <v>46156</v>
      </c>
      <c r="AA1051" s="15"/>
      <c r="AB1051" s="15"/>
    </row>
    <row r="1052" spans="1:28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50"/>
        <v>24</v>
      </c>
      <c r="R1052" s="53" t="str">
        <f t="shared" si="51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3">
        <f t="shared" si="52"/>
        <v>13</v>
      </c>
      <c r="Z1052" s="18">
        <v>46156</v>
      </c>
      <c r="AA1052" s="15"/>
      <c r="AB1052" s="15"/>
    </row>
    <row r="1053" spans="1:28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50"/>
        <v>24</v>
      </c>
      <c r="R1053" s="53" t="str">
        <f t="shared" si="51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3">
        <f t="shared" si="52"/>
        <v>13</v>
      </c>
      <c r="Z1053" s="18">
        <v>46156</v>
      </c>
      <c r="AA1053" s="15"/>
      <c r="AB1053" s="15"/>
    </row>
    <row r="1054" spans="1:28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50"/>
        <v>24</v>
      </c>
      <c r="R1054" s="53" t="str">
        <f t="shared" si="51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3">
        <f t="shared" si="52"/>
        <v>13</v>
      </c>
      <c r="Z1054" s="18">
        <v>46156</v>
      </c>
      <c r="AA1054" s="15"/>
      <c r="AB1054" s="15"/>
    </row>
    <row r="1055" spans="1:28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50"/>
        <v>24</v>
      </c>
      <c r="R1055" s="53" t="str">
        <f t="shared" si="51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3">
        <f t="shared" si="52"/>
        <v>13</v>
      </c>
      <c r="Z1055" s="18">
        <v>46156</v>
      </c>
      <c r="AA1055" s="15"/>
      <c r="AB1055" s="15"/>
    </row>
    <row r="1056" spans="1:28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50"/>
        <v>24</v>
      </c>
      <c r="R1056" s="53" t="str">
        <f t="shared" si="51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3">
        <f t="shared" si="52"/>
        <v>13</v>
      </c>
      <c r="Z1056" s="18">
        <v>46156</v>
      </c>
      <c r="AA1056" s="15"/>
      <c r="AB1056" s="15"/>
    </row>
    <row r="1057" spans="1:28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50"/>
        <v>24</v>
      </c>
      <c r="R1057" s="53" t="str">
        <f t="shared" si="51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3">
        <f t="shared" si="52"/>
        <v>13</v>
      </c>
      <c r="Z1057" s="18">
        <v>46156</v>
      </c>
      <c r="AA1057" s="15"/>
      <c r="AB1057" s="15"/>
    </row>
    <row r="1058" spans="1:28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50"/>
        <v>24</v>
      </c>
      <c r="R1058" s="53" t="str">
        <f t="shared" si="51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3">
        <f t="shared" si="52"/>
        <v>13</v>
      </c>
      <c r="Z1058" s="18">
        <v>46156</v>
      </c>
      <c r="AA1058" s="15"/>
      <c r="AB1058" s="15"/>
    </row>
    <row r="1059" spans="1:28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50"/>
        <v>24</v>
      </c>
      <c r="R1059" s="53" t="str">
        <f t="shared" si="51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3">
        <f t="shared" si="52"/>
        <v>13</v>
      </c>
      <c r="Z1059" s="18">
        <v>46156</v>
      </c>
      <c r="AA1059" s="15"/>
      <c r="AB1059" s="15"/>
    </row>
    <row r="1060" spans="1:28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50"/>
        <v>24</v>
      </c>
      <c r="R1060" s="53" t="str">
        <f t="shared" si="51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3">
        <f t="shared" si="52"/>
        <v>13</v>
      </c>
      <c r="Z1060" s="18">
        <v>46156</v>
      </c>
      <c r="AA1060" s="15"/>
      <c r="AB1060" s="15"/>
    </row>
    <row r="1061" spans="1:28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50"/>
        <v>24</v>
      </c>
      <c r="R1061" s="53" t="str">
        <f t="shared" si="51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3">
        <f t="shared" si="52"/>
        <v>13</v>
      </c>
      <c r="Z1061" s="18">
        <v>46156</v>
      </c>
      <c r="AA1061" s="15"/>
      <c r="AB1061" s="15"/>
    </row>
    <row r="1062" spans="1:28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50"/>
        <v>24</v>
      </c>
      <c r="R1062" s="53" t="str">
        <f t="shared" si="51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3">
        <f t="shared" si="52"/>
        <v>13</v>
      </c>
      <c r="Z1062" s="18">
        <v>46156</v>
      </c>
      <c r="AA1062" s="15"/>
      <c r="AB1062" s="15"/>
    </row>
    <row r="1063" spans="1:28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53">MID(P1063,5,2)</f>
        <v>24</v>
      </c>
      <c r="R1063" s="53" t="str">
        <f t="shared" ref="R1063:R1126" si="54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3">
        <f t="shared" si="52"/>
        <v>13</v>
      </c>
      <c r="Z1063" s="18">
        <v>46156</v>
      </c>
      <c r="AA1063" s="15"/>
      <c r="AB1063" s="15"/>
    </row>
    <row r="1064" spans="1:28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53"/>
        <v>24</v>
      </c>
      <c r="R1064" s="53" t="str">
        <f t="shared" si="54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3">
        <f t="shared" si="52"/>
        <v>13</v>
      </c>
      <c r="Z1064" s="18">
        <v>46156</v>
      </c>
      <c r="AA1064" s="15"/>
      <c r="AB1064" s="15"/>
    </row>
    <row r="1065" spans="1:28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53"/>
        <v>24</v>
      </c>
      <c r="R1065" s="53" t="str">
        <f t="shared" si="54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3">
        <f t="shared" si="52"/>
        <v>13</v>
      </c>
      <c r="Z1065" s="18">
        <v>46156</v>
      </c>
      <c r="AA1065" s="15"/>
      <c r="AB1065" s="15"/>
    </row>
    <row r="1066" spans="1:28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53"/>
        <v>24</v>
      </c>
      <c r="R1066" s="53" t="str">
        <f t="shared" si="54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3">
        <f t="shared" si="52"/>
        <v>13</v>
      </c>
      <c r="Z1066" s="18">
        <v>46156</v>
      </c>
      <c r="AA1066" s="15"/>
      <c r="AB1066" s="15"/>
    </row>
    <row r="1067" spans="1:28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53"/>
        <v>24</v>
      </c>
      <c r="R1067" s="53" t="str">
        <f t="shared" si="54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3">
        <f t="shared" si="52"/>
        <v>13</v>
      </c>
      <c r="Z1067" s="18">
        <v>46156</v>
      </c>
      <c r="AA1067" s="15"/>
      <c r="AB1067" s="15"/>
    </row>
    <row r="1068" spans="1:28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53"/>
        <v>24</v>
      </c>
      <c r="R1068" s="53" t="str">
        <f t="shared" si="54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3">
        <f t="shared" si="52"/>
        <v>13</v>
      </c>
      <c r="Z1068" s="18">
        <v>46156</v>
      </c>
      <c r="AA1068" s="15"/>
      <c r="AB1068" s="15"/>
    </row>
    <row r="1069" spans="1:28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53"/>
        <v>24</v>
      </c>
      <c r="R1069" s="53" t="str">
        <f t="shared" si="54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3">
        <f t="shared" si="52"/>
        <v>13</v>
      </c>
      <c r="Z1069" s="18">
        <v>46156</v>
      </c>
      <c r="AA1069" s="15"/>
      <c r="AB1069" s="15"/>
    </row>
    <row r="1070" spans="1:28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53"/>
        <v>24</v>
      </c>
      <c r="R1070" s="53" t="str">
        <f t="shared" si="54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3">
        <f t="shared" si="52"/>
        <v>13</v>
      </c>
      <c r="Z1070" s="18">
        <v>46156</v>
      </c>
      <c r="AA1070" s="15"/>
      <c r="AB1070" s="15"/>
    </row>
    <row r="1071" spans="1:28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53"/>
        <v>24</v>
      </c>
      <c r="R1071" s="53" t="str">
        <f t="shared" si="54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3">
        <f t="shared" si="52"/>
        <v>13</v>
      </c>
      <c r="Z1071" s="18">
        <v>46156</v>
      </c>
      <c r="AA1071" s="15"/>
      <c r="AB1071" s="15"/>
    </row>
    <row r="1072" spans="1:28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53"/>
        <v>24</v>
      </c>
      <c r="R1072" s="53" t="str">
        <f t="shared" si="54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3">
        <f t="shared" si="52"/>
        <v>13</v>
      </c>
      <c r="Z1072" s="18">
        <v>46156</v>
      </c>
      <c r="AA1072" s="15"/>
      <c r="AB1072" s="15"/>
    </row>
    <row r="1073" spans="1:28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53"/>
        <v>24</v>
      </c>
      <c r="R1073" s="53" t="str">
        <f t="shared" si="54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3">
        <f t="shared" si="52"/>
        <v>13</v>
      </c>
      <c r="Z1073" s="18">
        <v>46156</v>
      </c>
      <c r="AA1073" s="15"/>
      <c r="AB1073" s="15"/>
    </row>
    <row r="1074" spans="1:28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53"/>
        <v>24</v>
      </c>
      <c r="R1074" s="53" t="str">
        <f t="shared" si="54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3">
        <f t="shared" si="52"/>
        <v>13</v>
      </c>
      <c r="Z1074" s="18">
        <v>46156</v>
      </c>
      <c r="AA1074" s="15"/>
      <c r="AB1074" s="15"/>
    </row>
    <row r="1075" spans="1:28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53"/>
        <v>24</v>
      </c>
      <c r="R1075" s="53" t="str">
        <f t="shared" si="54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3">
        <f t="shared" si="52"/>
        <v>13</v>
      </c>
      <c r="Z1075" s="18">
        <v>46156</v>
      </c>
      <c r="AA1075" s="15"/>
      <c r="AB1075" s="15"/>
    </row>
    <row r="1076" spans="1:28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53"/>
        <v>24</v>
      </c>
      <c r="R1076" s="53" t="str">
        <f t="shared" si="54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3">
        <f t="shared" si="52"/>
        <v>13</v>
      </c>
      <c r="Z1076" s="18">
        <v>46156</v>
      </c>
      <c r="AA1076" s="15"/>
      <c r="AB1076" s="15"/>
    </row>
    <row r="1077" spans="1:28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53"/>
        <v>24</v>
      </c>
      <c r="R1077" s="53" t="str">
        <f t="shared" si="54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3">
        <f t="shared" si="52"/>
        <v>13</v>
      </c>
      <c r="Z1077" s="18">
        <v>46156</v>
      </c>
      <c r="AA1077" s="15"/>
      <c r="AB1077" s="15"/>
    </row>
    <row r="1078" spans="1:28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53"/>
        <v>24</v>
      </c>
      <c r="R1078" s="53" t="str">
        <f t="shared" si="54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3">
        <f t="shared" si="52"/>
        <v>13</v>
      </c>
      <c r="Z1078" s="18">
        <v>46156</v>
      </c>
      <c r="AA1078" s="15"/>
      <c r="AB1078" s="15"/>
    </row>
    <row r="1079" spans="1:28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53"/>
        <v>24</v>
      </c>
      <c r="R1079" s="53" t="str">
        <f t="shared" si="54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3">
        <f t="shared" si="52"/>
        <v>13</v>
      </c>
      <c r="Z1079" s="18">
        <v>46156</v>
      </c>
      <c r="AA1079" s="15"/>
      <c r="AB1079" s="15"/>
    </row>
    <row r="1080" spans="1:28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53"/>
        <v>24</v>
      </c>
      <c r="R1080" s="53" t="str">
        <f t="shared" si="54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3">
        <f t="shared" si="52"/>
        <v>13</v>
      </c>
      <c r="Z1080" s="18">
        <v>46156</v>
      </c>
      <c r="AA1080" s="15"/>
      <c r="AB1080" s="15"/>
    </row>
    <row r="1081" spans="1:28" hidden="1">
      <c r="A1081" s="6">
        <v>46107</v>
      </c>
      <c r="B1081" s="3">
        <v>2026</v>
      </c>
      <c r="C1081" s="3" t="s">
        <v>2963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53"/>
        <v>24</v>
      </c>
      <c r="R1081" s="53" t="str">
        <f t="shared" si="54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3">
        <f t="shared" si="52"/>
        <v>50</v>
      </c>
      <c r="Z1081" s="18">
        <v>46157</v>
      </c>
      <c r="AA1081" s="15"/>
      <c r="AB1081" s="15"/>
    </row>
    <row r="1082" spans="1:28" hidden="1">
      <c r="A1082" s="6">
        <v>46107</v>
      </c>
      <c r="B1082" s="3">
        <v>2026</v>
      </c>
      <c r="C1082" s="3" t="s">
        <v>2963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53"/>
        <v>24</v>
      </c>
      <c r="R1082" s="53" t="str">
        <f t="shared" si="54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3">
        <f t="shared" si="52"/>
        <v>50</v>
      </c>
      <c r="Z1082" s="18">
        <v>46157</v>
      </c>
      <c r="AA1082" s="15"/>
      <c r="AB1082" s="15"/>
    </row>
    <row r="1083" spans="1:28" hidden="1">
      <c r="A1083" s="6">
        <v>46107</v>
      </c>
      <c r="B1083" s="3">
        <v>2026</v>
      </c>
      <c r="C1083" s="3" t="s">
        <v>2963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53"/>
        <v>24</v>
      </c>
      <c r="R1083" s="53" t="str">
        <f t="shared" si="54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3">
        <f t="shared" si="52"/>
        <v>50</v>
      </c>
      <c r="Z1083" s="18">
        <v>46157</v>
      </c>
      <c r="AA1083" s="15"/>
      <c r="AB1083" s="15"/>
    </row>
    <row r="1084" spans="1:28" hidden="1">
      <c r="A1084" s="6">
        <v>46107</v>
      </c>
      <c r="B1084" s="3">
        <v>2026</v>
      </c>
      <c r="C1084" s="3" t="s">
        <v>2963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53"/>
        <v>24</v>
      </c>
      <c r="R1084" s="53" t="str">
        <f t="shared" si="54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3">
        <f t="shared" si="52"/>
        <v>50</v>
      </c>
      <c r="Z1084" s="18">
        <v>46157</v>
      </c>
      <c r="AA1084" s="15"/>
      <c r="AB1084" s="15"/>
    </row>
    <row r="1085" spans="1:28" hidden="1">
      <c r="A1085" s="6">
        <v>46107</v>
      </c>
      <c r="B1085" s="3">
        <v>2026</v>
      </c>
      <c r="C1085" s="3" t="s">
        <v>2963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53"/>
        <v>24</v>
      </c>
      <c r="R1085" s="53" t="str">
        <f t="shared" si="54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3">
        <f t="shared" si="52"/>
        <v>50</v>
      </c>
      <c r="Z1085" s="18">
        <v>46157</v>
      </c>
      <c r="AA1085" s="15"/>
      <c r="AB1085" s="15"/>
    </row>
    <row r="1086" spans="1:28" hidden="1">
      <c r="A1086" s="6">
        <v>46107</v>
      </c>
      <c r="B1086" s="3">
        <v>2026</v>
      </c>
      <c r="C1086" s="3" t="s">
        <v>2963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53"/>
        <v>24</v>
      </c>
      <c r="R1086" s="53" t="str">
        <f t="shared" si="54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3">
        <f t="shared" si="52"/>
        <v>50</v>
      </c>
      <c r="Z1086" s="18">
        <v>46157</v>
      </c>
      <c r="AA1086" s="15"/>
      <c r="AB1086" s="15"/>
    </row>
    <row r="1087" spans="1:28" hidden="1">
      <c r="A1087" s="6">
        <v>46107</v>
      </c>
      <c r="B1087" s="3">
        <v>2026</v>
      </c>
      <c r="C1087" s="3" t="s">
        <v>2963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53"/>
        <v>24</v>
      </c>
      <c r="R1087" s="53" t="str">
        <f t="shared" si="54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3">
        <f t="shared" si="52"/>
        <v>50</v>
      </c>
      <c r="Z1087" s="18">
        <v>46157</v>
      </c>
      <c r="AA1087" s="15"/>
      <c r="AB1087" s="15"/>
    </row>
    <row r="1088" spans="1:28" hidden="1">
      <c r="A1088" s="6">
        <v>46107</v>
      </c>
      <c r="B1088" s="3">
        <v>2026</v>
      </c>
      <c r="C1088" s="3" t="s">
        <v>2963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53"/>
        <v>24</v>
      </c>
      <c r="R1088" s="53" t="str">
        <f t="shared" si="54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3">
        <f t="shared" si="52"/>
        <v>50</v>
      </c>
      <c r="Z1088" s="18">
        <v>46157</v>
      </c>
      <c r="AA1088" s="15"/>
      <c r="AB1088" s="15"/>
    </row>
    <row r="1089" spans="1:28" hidden="1">
      <c r="A1089" s="6">
        <v>46107</v>
      </c>
      <c r="B1089" s="3">
        <v>2026</v>
      </c>
      <c r="C1089" s="3" t="s">
        <v>2963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53"/>
        <v>24</v>
      </c>
      <c r="R1089" s="53" t="str">
        <f t="shared" si="54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3">
        <f t="shared" si="52"/>
        <v>50</v>
      </c>
      <c r="Z1089" s="18">
        <v>46157</v>
      </c>
      <c r="AA1089" s="15"/>
      <c r="AB1089" s="15"/>
    </row>
    <row r="1090" spans="1:28" hidden="1">
      <c r="A1090" s="6">
        <v>46107</v>
      </c>
      <c r="B1090" s="3">
        <v>2026</v>
      </c>
      <c r="C1090" s="3" t="s">
        <v>2963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53"/>
        <v>24</v>
      </c>
      <c r="R1090" s="53" t="str">
        <f t="shared" si="54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3">
        <f t="shared" ref="Y1090:Y1153" si="55">X1090-A1090</f>
        <v>50</v>
      </c>
      <c r="Z1090" s="18">
        <v>46157</v>
      </c>
      <c r="AA1090" s="15"/>
      <c r="AB1090" s="15"/>
    </row>
    <row r="1091" spans="1:28" hidden="1">
      <c r="A1091" s="6">
        <v>46107</v>
      </c>
      <c r="B1091" s="3">
        <v>2026</v>
      </c>
      <c r="C1091" s="3" t="s">
        <v>2963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53"/>
        <v>24</v>
      </c>
      <c r="R1091" s="53" t="str">
        <f t="shared" si="54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3">
        <f t="shared" si="55"/>
        <v>50</v>
      </c>
      <c r="Z1091" s="18">
        <v>46157</v>
      </c>
      <c r="AA1091" s="15"/>
      <c r="AB1091" s="15"/>
    </row>
    <row r="1092" spans="1:28" hidden="1">
      <c r="A1092" s="6">
        <v>46107</v>
      </c>
      <c r="B1092" s="3">
        <v>2026</v>
      </c>
      <c r="C1092" s="3" t="s">
        <v>2963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53"/>
        <v>24</v>
      </c>
      <c r="R1092" s="53" t="str">
        <f t="shared" si="54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3">
        <f t="shared" si="55"/>
        <v>50</v>
      </c>
      <c r="Z1092" s="18">
        <v>46157</v>
      </c>
      <c r="AA1092" s="15"/>
      <c r="AB1092" s="15"/>
    </row>
    <row r="1093" spans="1:28" hidden="1">
      <c r="A1093" s="6">
        <v>46107</v>
      </c>
      <c r="B1093" s="3">
        <v>2026</v>
      </c>
      <c r="C1093" s="3" t="s">
        <v>2963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53"/>
        <v>24</v>
      </c>
      <c r="R1093" s="53" t="str">
        <f t="shared" si="54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3">
        <f t="shared" si="55"/>
        <v>50</v>
      </c>
      <c r="Z1093" s="18">
        <v>46157</v>
      </c>
      <c r="AA1093" s="15"/>
      <c r="AB1093" s="15"/>
    </row>
    <row r="1094" spans="1:28" hidden="1">
      <c r="A1094" s="6">
        <v>46107</v>
      </c>
      <c r="B1094" s="3">
        <v>2026</v>
      </c>
      <c r="C1094" s="3" t="s">
        <v>2963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53"/>
        <v>24</v>
      </c>
      <c r="R1094" s="53" t="str">
        <f t="shared" si="54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3">
        <f t="shared" si="55"/>
        <v>50</v>
      </c>
      <c r="Z1094" s="18">
        <v>46157</v>
      </c>
      <c r="AA1094" s="15"/>
      <c r="AB1094" s="15"/>
    </row>
    <row r="1095" spans="1:28" hidden="1">
      <c r="A1095" s="6">
        <v>46107</v>
      </c>
      <c r="B1095" s="3">
        <v>2026</v>
      </c>
      <c r="C1095" s="3" t="s">
        <v>2963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53"/>
        <v>24</v>
      </c>
      <c r="R1095" s="53" t="str">
        <f t="shared" si="54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3">
        <f t="shared" si="55"/>
        <v>50</v>
      </c>
      <c r="Z1095" s="18">
        <v>46157</v>
      </c>
      <c r="AA1095" s="15"/>
      <c r="AB1095" s="15"/>
    </row>
    <row r="1096" spans="1:28" hidden="1">
      <c r="A1096" s="6">
        <v>46107</v>
      </c>
      <c r="B1096" s="3">
        <v>2026</v>
      </c>
      <c r="C1096" s="3" t="s">
        <v>2963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53"/>
        <v>24</v>
      </c>
      <c r="R1096" s="53" t="str">
        <f t="shared" si="54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3">
        <f t="shared" si="55"/>
        <v>50</v>
      </c>
      <c r="Z1096" s="18">
        <v>46157</v>
      </c>
      <c r="AA1096" s="15"/>
      <c r="AB1096" s="15"/>
    </row>
    <row r="1097" spans="1:28" hidden="1">
      <c r="A1097" s="6">
        <v>46107</v>
      </c>
      <c r="B1097" s="3">
        <v>2026</v>
      </c>
      <c r="C1097" s="3" t="s">
        <v>2963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53"/>
        <v>24</v>
      </c>
      <c r="R1097" s="53" t="str">
        <f t="shared" si="54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3">
        <f t="shared" si="55"/>
        <v>50</v>
      </c>
      <c r="Z1097" s="18">
        <v>46157</v>
      </c>
      <c r="AA1097" s="15"/>
      <c r="AB1097" s="15"/>
    </row>
    <row r="1098" spans="1:28" hidden="1">
      <c r="A1098" s="6">
        <v>46107</v>
      </c>
      <c r="B1098" s="3">
        <v>2026</v>
      </c>
      <c r="C1098" s="3" t="s">
        <v>2963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53"/>
        <v>24</v>
      </c>
      <c r="R1098" s="53" t="str">
        <f t="shared" si="54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3">
        <f t="shared" si="55"/>
        <v>50</v>
      </c>
      <c r="Z1098" s="18">
        <v>46157</v>
      </c>
      <c r="AA1098" s="15"/>
      <c r="AB1098" s="15"/>
    </row>
    <row r="1099" spans="1:28" hidden="1">
      <c r="A1099" s="6">
        <v>46107</v>
      </c>
      <c r="B1099" s="3">
        <v>2026</v>
      </c>
      <c r="C1099" s="3" t="s">
        <v>2963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53"/>
        <v>24</v>
      </c>
      <c r="R1099" s="53" t="str">
        <f t="shared" si="54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3">
        <f t="shared" si="55"/>
        <v>50</v>
      </c>
      <c r="Z1099" s="18">
        <v>46157</v>
      </c>
      <c r="AA1099" s="15"/>
      <c r="AB1099" s="15"/>
    </row>
    <row r="1100" spans="1:28" hidden="1">
      <c r="A1100" s="6">
        <v>46107</v>
      </c>
      <c r="B1100" s="3">
        <v>2026</v>
      </c>
      <c r="C1100" s="3" t="s">
        <v>2963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53"/>
        <v>24</v>
      </c>
      <c r="R1100" s="53" t="str">
        <f t="shared" si="54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3">
        <f t="shared" si="55"/>
        <v>50</v>
      </c>
      <c r="Z1100" s="18">
        <v>46157</v>
      </c>
      <c r="AA1100" s="15"/>
      <c r="AB1100" s="15"/>
    </row>
    <row r="1101" spans="1:28" hidden="1">
      <c r="A1101" s="6">
        <v>46107</v>
      </c>
      <c r="B1101" s="3">
        <v>2026</v>
      </c>
      <c r="C1101" s="3" t="s">
        <v>2963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53"/>
        <v>24</v>
      </c>
      <c r="R1101" s="53" t="str">
        <f t="shared" si="54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3">
        <f t="shared" si="55"/>
        <v>50</v>
      </c>
      <c r="Z1101" s="18">
        <v>46157</v>
      </c>
      <c r="AA1101" s="15"/>
      <c r="AB1101" s="15"/>
    </row>
    <row r="1102" spans="1:28" hidden="1">
      <c r="A1102" s="6">
        <v>46107</v>
      </c>
      <c r="B1102" s="3">
        <v>2026</v>
      </c>
      <c r="C1102" s="3" t="s">
        <v>2963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53"/>
        <v>24</v>
      </c>
      <c r="R1102" s="53" t="str">
        <f t="shared" si="54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3">
        <f t="shared" si="55"/>
        <v>50</v>
      </c>
      <c r="Z1102" s="18">
        <v>46157</v>
      </c>
      <c r="AA1102" s="15"/>
      <c r="AB1102" s="15"/>
    </row>
    <row r="1103" spans="1:28" hidden="1">
      <c r="A1103" s="6">
        <v>46107</v>
      </c>
      <c r="B1103" s="3">
        <v>2026</v>
      </c>
      <c r="C1103" s="3" t="s">
        <v>2963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53"/>
        <v>24</v>
      </c>
      <c r="R1103" s="53" t="str">
        <f t="shared" si="54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3">
        <f t="shared" si="55"/>
        <v>50</v>
      </c>
      <c r="Z1103" s="18">
        <v>46157</v>
      </c>
      <c r="AA1103" s="15"/>
      <c r="AB1103" s="15"/>
    </row>
    <row r="1104" spans="1:28" hidden="1">
      <c r="A1104" s="6">
        <v>46107</v>
      </c>
      <c r="B1104" s="3">
        <v>2026</v>
      </c>
      <c r="C1104" s="3" t="s">
        <v>2963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53"/>
        <v>24</v>
      </c>
      <c r="R1104" s="53" t="str">
        <f t="shared" si="54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3">
        <f t="shared" si="55"/>
        <v>50</v>
      </c>
      <c r="Z1104" s="18">
        <v>46157</v>
      </c>
      <c r="AA1104" s="15"/>
      <c r="AB1104" s="15"/>
    </row>
    <row r="1105" spans="1:28" hidden="1">
      <c r="A1105" s="6">
        <v>46107</v>
      </c>
      <c r="B1105" s="3">
        <v>2026</v>
      </c>
      <c r="C1105" s="3" t="s">
        <v>2963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53"/>
        <v>24</v>
      </c>
      <c r="R1105" s="53" t="str">
        <f t="shared" si="54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3">
        <f t="shared" si="55"/>
        <v>50</v>
      </c>
      <c r="Z1105" s="18">
        <v>46157</v>
      </c>
      <c r="AA1105" s="15"/>
      <c r="AB1105" s="15"/>
    </row>
    <row r="1106" spans="1:28" hidden="1">
      <c r="A1106" s="6">
        <v>46107</v>
      </c>
      <c r="B1106" s="3">
        <v>2026</v>
      </c>
      <c r="C1106" s="3" t="s">
        <v>2963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53"/>
        <v>24</v>
      </c>
      <c r="R1106" s="53" t="str">
        <f t="shared" si="54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3">
        <f t="shared" si="55"/>
        <v>50</v>
      </c>
      <c r="Z1106" s="18">
        <v>46157</v>
      </c>
      <c r="AA1106" s="15"/>
      <c r="AB1106" s="15"/>
    </row>
    <row r="1107" spans="1:28" hidden="1">
      <c r="A1107" s="6">
        <v>46107</v>
      </c>
      <c r="B1107" s="3">
        <v>2026</v>
      </c>
      <c r="C1107" s="3" t="s">
        <v>2963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53"/>
        <v>24</v>
      </c>
      <c r="R1107" s="53" t="str">
        <f t="shared" si="54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3">
        <f t="shared" si="55"/>
        <v>50</v>
      </c>
      <c r="Z1107" s="18">
        <v>46157</v>
      </c>
      <c r="AA1107" s="15"/>
      <c r="AB1107" s="15"/>
    </row>
    <row r="1108" spans="1:28" hidden="1">
      <c r="A1108" s="6">
        <v>46107</v>
      </c>
      <c r="B1108" s="3">
        <v>2026</v>
      </c>
      <c r="C1108" s="3" t="s">
        <v>2963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53"/>
        <v>24</v>
      </c>
      <c r="R1108" s="53" t="str">
        <f t="shared" si="54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3">
        <f t="shared" si="55"/>
        <v>50</v>
      </c>
      <c r="Z1108" s="18">
        <v>46157</v>
      </c>
      <c r="AA1108" s="15"/>
      <c r="AB1108" s="15"/>
    </row>
    <row r="1109" spans="1:28" hidden="1">
      <c r="A1109" s="6">
        <v>46107</v>
      </c>
      <c r="B1109" s="3">
        <v>2026</v>
      </c>
      <c r="C1109" s="3" t="s">
        <v>2963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53"/>
        <v>24</v>
      </c>
      <c r="R1109" s="53" t="str">
        <f t="shared" si="54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3">
        <f t="shared" si="55"/>
        <v>50</v>
      </c>
      <c r="Z1109" s="18">
        <v>46157</v>
      </c>
      <c r="AA1109" s="15"/>
      <c r="AB1109" s="15"/>
    </row>
    <row r="1110" spans="1:28" hidden="1">
      <c r="A1110" s="6">
        <v>46107</v>
      </c>
      <c r="B1110" s="3">
        <v>2026</v>
      </c>
      <c r="C1110" s="3" t="s">
        <v>2963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53"/>
        <v>24</v>
      </c>
      <c r="R1110" s="53" t="str">
        <f t="shared" si="54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3">
        <f t="shared" si="55"/>
        <v>50</v>
      </c>
      <c r="Z1110" s="18">
        <v>46157</v>
      </c>
      <c r="AA1110" s="15"/>
      <c r="AB1110" s="15"/>
    </row>
    <row r="1111" spans="1:28" hidden="1">
      <c r="A1111" s="6">
        <v>46107</v>
      </c>
      <c r="B1111" s="3">
        <v>2026</v>
      </c>
      <c r="C1111" s="3" t="s">
        <v>2963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53"/>
        <v>24</v>
      </c>
      <c r="R1111" s="53" t="str">
        <f t="shared" si="54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3">
        <f t="shared" si="55"/>
        <v>50</v>
      </c>
      <c r="Z1111" s="18">
        <v>46157</v>
      </c>
      <c r="AA1111" s="15"/>
      <c r="AB1111" s="15"/>
    </row>
    <row r="1112" spans="1:28" hidden="1">
      <c r="A1112" s="6">
        <v>46107</v>
      </c>
      <c r="B1112" s="3">
        <v>2026</v>
      </c>
      <c r="C1112" s="3" t="s">
        <v>2963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53"/>
        <v>24</v>
      </c>
      <c r="R1112" s="53" t="str">
        <f t="shared" si="54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3">
        <f t="shared" si="55"/>
        <v>50</v>
      </c>
      <c r="Z1112" s="18">
        <v>46157</v>
      </c>
      <c r="AA1112" s="15"/>
      <c r="AB1112" s="15"/>
    </row>
    <row r="1113" spans="1:28" hidden="1">
      <c r="A1113" s="6">
        <v>46107</v>
      </c>
      <c r="B1113" s="3">
        <v>2026</v>
      </c>
      <c r="C1113" s="3" t="s">
        <v>2963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53"/>
        <v>24</v>
      </c>
      <c r="R1113" s="53" t="str">
        <f t="shared" si="54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3">
        <f t="shared" si="55"/>
        <v>50</v>
      </c>
      <c r="Z1113" s="18">
        <v>46157</v>
      </c>
      <c r="AA1113" s="15"/>
      <c r="AB1113" s="15"/>
    </row>
    <row r="1114" spans="1:28" hidden="1">
      <c r="A1114" s="6">
        <v>46107</v>
      </c>
      <c r="B1114" s="3">
        <v>2026</v>
      </c>
      <c r="C1114" s="3" t="s">
        <v>2963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53"/>
        <v>24</v>
      </c>
      <c r="R1114" s="53" t="str">
        <f t="shared" si="54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3">
        <f t="shared" si="55"/>
        <v>50</v>
      </c>
      <c r="Z1114" s="18">
        <v>46157</v>
      </c>
      <c r="AA1114" s="15"/>
      <c r="AB1114" s="15"/>
    </row>
    <row r="1115" spans="1:28" hidden="1">
      <c r="A1115" s="6">
        <v>46107</v>
      </c>
      <c r="B1115" s="3">
        <v>2026</v>
      </c>
      <c r="C1115" s="3" t="s">
        <v>2963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53"/>
        <v>24</v>
      </c>
      <c r="R1115" s="53" t="str">
        <f t="shared" si="54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3">
        <f t="shared" si="55"/>
        <v>50</v>
      </c>
      <c r="Z1115" s="18">
        <v>46157</v>
      </c>
      <c r="AA1115" s="15"/>
      <c r="AB1115" s="15"/>
    </row>
    <row r="1116" spans="1:28" hidden="1">
      <c r="A1116" s="6">
        <v>46107</v>
      </c>
      <c r="B1116" s="3">
        <v>2026</v>
      </c>
      <c r="C1116" s="3" t="s">
        <v>2963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53"/>
        <v>24</v>
      </c>
      <c r="R1116" s="53" t="str">
        <f t="shared" si="54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3">
        <f t="shared" si="55"/>
        <v>50</v>
      </c>
      <c r="Z1116" s="18">
        <v>46157</v>
      </c>
      <c r="AA1116" s="15"/>
      <c r="AB1116" s="15"/>
    </row>
    <row r="1117" spans="1:28" hidden="1">
      <c r="A1117" s="6">
        <v>46107</v>
      </c>
      <c r="B1117" s="3">
        <v>2026</v>
      </c>
      <c r="C1117" s="3" t="s">
        <v>2963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53"/>
        <v>24</v>
      </c>
      <c r="R1117" s="53" t="str">
        <f t="shared" si="54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3">
        <f t="shared" si="55"/>
        <v>50</v>
      </c>
      <c r="Z1117" s="18">
        <v>46157</v>
      </c>
      <c r="AA1117" s="15"/>
      <c r="AB1117" s="15"/>
    </row>
    <row r="1118" spans="1:28" hidden="1">
      <c r="A1118" s="6">
        <v>46107</v>
      </c>
      <c r="B1118" s="3">
        <v>2026</v>
      </c>
      <c r="C1118" s="3" t="s">
        <v>2963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53"/>
        <v>24</v>
      </c>
      <c r="R1118" s="53" t="str">
        <f t="shared" si="54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3">
        <f t="shared" si="55"/>
        <v>50</v>
      </c>
      <c r="Z1118" s="18">
        <v>46157</v>
      </c>
      <c r="AA1118" s="15"/>
      <c r="AB1118" s="15"/>
    </row>
    <row r="1119" spans="1:28" hidden="1">
      <c r="A1119" s="6">
        <v>46107</v>
      </c>
      <c r="B1119" s="3">
        <v>2026</v>
      </c>
      <c r="C1119" s="3" t="s">
        <v>2963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53"/>
        <v>24</v>
      </c>
      <c r="R1119" s="53" t="str">
        <f t="shared" si="54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3">
        <f t="shared" si="55"/>
        <v>50</v>
      </c>
      <c r="Z1119" s="18">
        <v>46157</v>
      </c>
      <c r="AA1119" s="15"/>
      <c r="AB1119" s="15"/>
    </row>
    <row r="1120" spans="1:28" hidden="1">
      <c r="A1120" s="6">
        <v>46107</v>
      </c>
      <c r="B1120" s="3">
        <v>2026</v>
      </c>
      <c r="C1120" s="3" t="s">
        <v>2963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53"/>
        <v>24</v>
      </c>
      <c r="R1120" s="53" t="str">
        <f t="shared" si="54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3">
        <f t="shared" si="55"/>
        <v>50</v>
      </c>
      <c r="Z1120" s="18">
        <v>46157</v>
      </c>
      <c r="AA1120" s="15"/>
      <c r="AB1120" s="15"/>
    </row>
    <row r="1121" spans="1:28" hidden="1">
      <c r="A1121" s="6">
        <v>46107</v>
      </c>
      <c r="B1121" s="3">
        <v>2026</v>
      </c>
      <c r="C1121" s="3" t="s">
        <v>2963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53"/>
        <v>24</v>
      </c>
      <c r="R1121" s="53" t="str">
        <f t="shared" si="54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3">
        <f t="shared" si="55"/>
        <v>50</v>
      </c>
      <c r="Z1121" s="18">
        <v>46157</v>
      </c>
      <c r="AA1121" s="15"/>
      <c r="AB1121" s="15"/>
    </row>
    <row r="1122" spans="1:28" hidden="1">
      <c r="A1122" s="6">
        <v>46107</v>
      </c>
      <c r="B1122" s="3">
        <v>2026</v>
      </c>
      <c r="C1122" s="3" t="s">
        <v>2963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53"/>
        <v>24</v>
      </c>
      <c r="R1122" s="53" t="str">
        <f t="shared" si="54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3">
        <f t="shared" si="55"/>
        <v>50</v>
      </c>
      <c r="Z1122" s="18">
        <v>46157</v>
      </c>
      <c r="AA1122" s="15"/>
      <c r="AB1122" s="15"/>
    </row>
    <row r="1123" spans="1:28" hidden="1">
      <c r="A1123" s="6">
        <v>46107</v>
      </c>
      <c r="B1123" s="3">
        <v>2026</v>
      </c>
      <c r="C1123" s="3" t="s">
        <v>2963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53"/>
        <v>24</v>
      </c>
      <c r="R1123" s="53" t="str">
        <f t="shared" si="54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3">
        <f t="shared" si="55"/>
        <v>50</v>
      </c>
      <c r="Z1123" s="18">
        <v>46157</v>
      </c>
      <c r="AA1123" s="15"/>
      <c r="AB1123" s="15"/>
    </row>
    <row r="1124" spans="1:28" hidden="1">
      <c r="A1124" s="6">
        <v>46107</v>
      </c>
      <c r="B1124" s="3">
        <v>2026</v>
      </c>
      <c r="C1124" s="3" t="s">
        <v>2963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53"/>
        <v>24</v>
      </c>
      <c r="R1124" s="53" t="str">
        <f t="shared" si="54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3">
        <f t="shared" si="55"/>
        <v>50</v>
      </c>
      <c r="Z1124" s="18">
        <v>46157</v>
      </c>
      <c r="AA1124" s="15"/>
      <c r="AB1124" s="15"/>
    </row>
    <row r="1125" spans="1:28" hidden="1">
      <c r="A1125" s="6">
        <v>46107</v>
      </c>
      <c r="B1125" s="3">
        <v>2026</v>
      </c>
      <c r="C1125" s="3" t="s">
        <v>2963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53"/>
        <v>24</v>
      </c>
      <c r="R1125" s="53" t="str">
        <f t="shared" si="54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3">
        <f t="shared" si="55"/>
        <v>50</v>
      </c>
      <c r="Z1125" s="18">
        <v>46157</v>
      </c>
      <c r="AA1125" s="15"/>
      <c r="AB1125" s="15"/>
    </row>
    <row r="1126" spans="1:28" hidden="1">
      <c r="A1126" s="6">
        <v>46107</v>
      </c>
      <c r="B1126" s="3">
        <v>2026</v>
      </c>
      <c r="C1126" s="3" t="s">
        <v>2963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53"/>
        <v>24</v>
      </c>
      <c r="R1126" s="53" t="str">
        <f t="shared" si="54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3">
        <f t="shared" si="55"/>
        <v>50</v>
      </c>
      <c r="Z1126" s="18">
        <v>46157</v>
      </c>
      <c r="AA1126" s="15"/>
      <c r="AB1126" s="15"/>
    </row>
    <row r="1127" spans="1:28" hidden="1">
      <c r="A1127" s="6">
        <v>46107</v>
      </c>
      <c r="B1127" s="3">
        <v>2026</v>
      </c>
      <c r="C1127" s="3" t="s">
        <v>2963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56">MID(P1127,5,2)</f>
        <v>24</v>
      </c>
      <c r="R1127" s="53" t="str">
        <f t="shared" ref="R1127:R1190" si="57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3">
        <f t="shared" si="55"/>
        <v>50</v>
      </c>
      <c r="Z1127" s="18">
        <v>46157</v>
      </c>
      <c r="AA1127" s="15"/>
      <c r="AB1127" s="15"/>
    </row>
    <row r="1128" spans="1:28" hidden="1">
      <c r="A1128" s="6">
        <v>46107</v>
      </c>
      <c r="B1128" s="3">
        <v>2026</v>
      </c>
      <c r="C1128" s="3" t="s">
        <v>2963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56"/>
        <v>24</v>
      </c>
      <c r="R1128" s="53" t="str">
        <f t="shared" si="57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3">
        <f t="shared" si="55"/>
        <v>50</v>
      </c>
      <c r="Z1128" s="18">
        <v>46157</v>
      </c>
      <c r="AA1128" s="15"/>
      <c r="AB1128" s="15"/>
    </row>
    <row r="1129" spans="1:28" hidden="1">
      <c r="A1129" s="6">
        <v>46107</v>
      </c>
      <c r="B1129" s="3">
        <v>2026</v>
      </c>
      <c r="C1129" s="3" t="s">
        <v>2963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56"/>
        <v>24</v>
      </c>
      <c r="R1129" s="53" t="str">
        <f t="shared" si="57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3">
        <f t="shared" si="55"/>
        <v>50</v>
      </c>
      <c r="Z1129" s="18">
        <v>46157</v>
      </c>
      <c r="AA1129" s="15"/>
      <c r="AB1129" s="15"/>
    </row>
    <row r="1130" spans="1:28" hidden="1">
      <c r="A1130" s="6">
        <v>46107</v>
      </c>
      <c r="B1130" s="3">
        <v>2026</v>
      </c>
      <c r="C1130" s="3" t="s">
        <v>2963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56"/>
        <v>24</v>
      </c>
      <c r="R1130" s="53" t="str">
        <f t="shared" si="57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3">
        <f t="shared" si="55"/>
        <v>50</v>
      </c>
      <c r="Z1130" s="18">
        <v>46157</v>
      </c>
      <c r="AA1130" s="15"/>
      <c r="AB1130" s="15"/>
    </row>
    <row r="1131" spans="1:28" hidden="1">
      <c r="A1131" s="6">
        <v>46107</v>
      </c>
      <c r="B1131" s="3">
        <v>2026</v>
      </c>
      <c r="C1131" s="3" t="s">
        <v>2963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56"/>
        <v>24</v>
      </c>
      <c r="R1131" s="53" t="str">
        <f t="shared" si="57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3">
        <f t="shared" si="55"/>
        <v>50</v>
      </c>
      <c r="Z1131" s="18">
        <v>46157</v>
      </c>
      <c r="AA1131" s="15"/>
      <c r="AB1131" s="15"/>
    </row>
    <row r="1132" spans="1:28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56"/>
        <v>24</v>
      </c>
      <c r="R1132" s="53" t="str">
        <f t="shared" si="57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3">
        <f t="shared" si="55"/>
        <v>14</v>
      </c>
      <c r="Z1132" s="18">
        <v>46157</v>
      </c>
      <c r="AA1132" s="15"/>
      <c r="AB1132" s="15"/>
    </row>
    <row r="1133" spans="1:28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56"/>
        <v>24</v>
      </c>
      <c r="R1133" s="53" t="str">
        <f t="shared" si="57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3">
        <f t="shared" si="55"/>
        <v>14</v>
      </c>
      <c r="Z1133" s="18">
        <v>46157</v>
      </c>
      <c r="AA1133" s="15"/>
      <c r="AB1133" s="15"/>
    </row>
    <row r="1134" spans="1:28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56"/>
        <v>24</v>
      </c>
      <c r="R1134" s="53" t="str">
        <f t="shared" si="57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3">
        <f t="shared" si="55"/>
        <v>14</v>
      </c>
      <c r="Z1134" s="18">
        <v>46157</v>
      </c>
      <c r="AA1134" s="15"/>
      <c r="AB1134" s="15"/>
    </row>
    <row r="1135" spans="1:28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56"/>
        <v>24</v>
      </c>
      <c r="R1135" s="53" t="str">
        <f t="shared" si="57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3">
        <f t="shared" si="55"/>
        <v>14</v>
      </c>
      <c r="Z1135" s="18">
        <v>46157</v>
      </c>
      <c r="AA1135" s="15"/>
      <c r="AB1135" s="15"/>
    </row>
    <row r="1136" spans="1:28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56"/>
        <v>24</v>
      </c>
      <c r="R1136" s="53" t="str">
        <f t="shared" si="57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3">
        <f t="shared" si="55"/>
        <v>14</v>
      </c>
      <c r="Z1136" s="18">
        <v>46157</v>
      </c>
      <c r="AA1136" s="15"/>
      <c r="AB1136" s="15"/>
    </row>
    <row r="1137" spans="1:28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56"/>
        <v>24</v>
      </c>
      <c r="R1137" s="53" t="str">
        <f t="shared" si="57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3">
        <f t="shared" si="55"/>
        <v>14</v>
      </c>
      <c r="Z1137" s="18">
        <v>46157</v>
      </c>
      <c r="AA1137" s="15"/>
      <c r="AB1137" s="15"/>
    </row>
    <row r="1138" spans="1:28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56"/>
        <v>24</v>
      </c>
      <c r="R1138" s="53" t="str">
        <f t="shared" si="57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3">
        <f t="shared" si="55"/>
        <v>14</v>
      </c>
      <c r="Z1138" s="18">
        <v>46157</v>
      </c>
      <c r="AA1138" s="15"/>
      <c r="AB1138" s="15"/>
    </row>
    <row r="1139" spans="1:28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56"/>
        <v>24</v>
      </c>
      <c r="R1139" s="53" t="str">
        <f t="shared" si="57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3">
        <f t="shared" si="55"/>
        <v>14</v>
      </c>
      <c r="Z1139" s="18">
        <v>46157</v>
      </c>
      <c r="AA1139" s="15"/>
      <c r="AB1139" s="15"/>
    </row>
    <row r="1140" spans="1:28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56"/>
        <v>24</v>
      </c>
      <c r="R1140" s="53" t="str">
        <f t="shared" si="57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3">
        <f t="shared" si="55"/>
        <v>14</v>
      </c>
      <c r="Z1140" s="18">
        <v>46157</v>
      </c>
      <c r="AA1140" s="15"/>
      <c r="AB1140" s="15"/>
    </row>
    <row r="1141" spans="1:28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56"/>
        <v>24</v>
      </c>
      <c r="R1141" s="53" t="str">
        <f t="shared" si="57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3">
        <f t="shared" si="55"/>
        <v>14</v>
      </c>
      <c r="Z1141" s="18">
        <v>46157</v>
      </c>
      <c r="AA1141" s="15"/>
      <c r="AB1141" s="15"/>
    </row>
    <row r="1142" spans="1:28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56"/>
        <v>24</v>
      </c>
      <c r="R1142" s="53" t="str">
        <f t="shared" si="57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3">
        <f t="shared" si="55"/>
        <v>14</v>
      </c>
      <c r="Z1142" s="18">
        <v>46157</v>
      </c>
      <c r="AA1142" s="15"/>
      <c r="AB1142" s="15"/>
    </row>
    <row r="1143" spans="1:28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56"/>
        <v>24</v>
      </c>
      <c r="R1143" s="53" t="str">
        <f t="shared" si="57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3">
        <f t="shared" si="55"/>
        <v>14</v>
      </c>
      <c r="Z1143" s="18">
        <v>46157</v>
      </c>
      <c r="AA1143" s="15"/>
      <c r="AB1143" s="15"/>
    </row>
    <row r="1144" spans="1:28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56"/>
        <v>24</v>
      </c>
      <c r="R1144" s="53" t="str">
        <f t="shared" si="57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3">
        <f t="shared" si="55"/>
        <v>14</v>
      </c>
      <c r="Z1144" s="18">
        <v>46157</v>
      </c>
      <c r="AA1144" s="15"/>
      <c r="AB1144" s="15"/>
    </row>
    <row r="1145" spans="1:28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56"/>
        <v>24</v>
      </c>
      <c r="R1145" s="53" t="str">
        <f t="shared" si="57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3">
        <f t="shared" si="55"/>
        <v>14</v>
      </c>
      <c r="Z1145" s="18">
        <v>46157</v>
      </c>
      <c r="AA1145" s="15"/>
      <c r="AB1145" s="15"/>
    </row>
    <row r="1146" spans="1:28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56"/>
        <v>24</v>
      </c>
      <c r="R1146" s="53" t="str">
        <f t="shared" si="57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3">
        <f t="shared" si="55"/>
        <v>14</v>
      </c>
      <c r="Z1146" s="18">
        <v>46157</v>
      </c>
      <c r="AA1146" s="15"/>
      <c r="AB1146" s="15"/>
    </row>
    <row r="1147" spans="1:28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56"/>
        <v>24</v>
      </c>
      <c r="R1147" s="53" t="str">
        <f t="shared" si="57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3">
        <f t="shared" si="55"/>
        <v>14</v>
      </c>
      <c r="Z1147" s="18">
        <v>46157</v>
      </c>
      <c r="AA1147" s="15"/>
      <c r="AB1147" s="15"/>
    </row>
    <row r="1148" spans="1:28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56"/>
        <v>24</v>
      </c>
      <c r="R1148" s="53" t="str">
        <f t="shared" si="57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3">
        <f t="shared" si="55"/>
        <v>14</v>
      </c>
      <c r="Z1148" s="18">
        <v>46157</v>
      </c>
      <c r="AA1148" s="15"/>
      <c r="AB1148" s="15"/>
    </row>
    <row r="1149" spans="1:28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56"/>
        <v>24</v>
      </c>
      <c r="R1149" s="53" t="str">
        <f t="shared" si="57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3">
        <f t="shared" si="55"/>
        <v>14</v>
      </c>
      <c r="Z1149" s="18">
        <v>46157</v>
      </c>
      <c r="AA1149" s="15"/>
      <c r="AB1149" s="15"/>
    </row>
    <row r="1150" spans="1:28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56"/>
        <v>24</v>
      </c>
      <c r="R1150" s="53" t="str">
        <f t="shared" si="57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3">
        <f t="shared" si="55"/>
        <v>14</v>
      </c>
      <c r="Z1150" s="18">
        <v>46157</v>
      </c>
      <c r="AA1150" s="15"/>
      <c r="AB1150" s="15"/>
    </row>
    <row r="1151" spans="1:28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56"/>
        <v>24</v>
      </c>
      <c r="R1151" s="53" t="str">
        <f t="shared" si="57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3">
        <f t="shared" si="55"/>
        <v>14</v>
      </c>
      <c r="Z1151" s="18">
        <v>46157</v>
      </c>
      <c r="AA1151" s="15"/>
      <c r="AB1151" s="15"/>
    </row>
    <row r="1152" spans="1:28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56"/>
        <v>24</v>
      </c>
      <c r="R1152" s="53" t="str">
        <f t="shared" si="57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3">
        <f t="shared" si="55"/>
        <v>14</v>
      </c>
      <c r="Z1152" s="18">
        <v>46157</v>
      </c>
      <c r="AA1152" s="15"/>
      <c r="AB1152" s="15"/>
    </row>
    <row r="1153" spans="1:28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56"/>
        <v>24</v>
      </c>
      <c r="R1153" s="53" t="str">
        <f t="shared" si="57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3">
        <f t="shared" si="55"/>
        <v>14</v>
      </c>
      <c r="Z1153" s="18">
        <v>46157</v>
      </c>
      <c r="AA1153" s="15"/>
      <c r="AB1153" s="15"/>
    </row>
    <row r="1154" spans="1:28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56"/>
        <v>24</v>
      </c>
      <c r="R1154" s="53" t="str">
        <f t="shared" si="57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3">
        <f t="shared" ref="Y1154:Y1217" si="58">X1154-A1154</f>
        <v>14</v>
      </c>
      <c r="Z1154" s="18">
        <v>46157</v>
      </c>
      <c r="AA1154" s="15"/>
      <c r="AB1154" s="15"/>
    </row>
    <row r="1155" spans="1:28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56"/>
        <v>24</v>
      </c>
      <c r="R1155" s="53" t="str">
        <f t="shared" si="57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3">
        <f t="shared" si="58"/>
        <v>14</v>
      </c>
      <c r="Z1155" s="18">
        <v>46157</v>
      </c>
      <c r="AA1155" s="15"/>
      <c r="AB1155" s="15"/>
    </row>
    <row r="1156" spans="1:28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56"/>
        <v>24</v>
      </c>
      <c r="R1156" s="53" t="str">
        <f t="shared" si="57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3">
        <f t="shared" si="58"/>
        <v>14</v>
      </c>
      <c r="Z1156" s="18">
        <v>46157</v>
      </c>
      <c r="AA1156" s="15"/>
      <c r="AB1156" s="15"/>
    </row>
    <row r="1157" spans="1:28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56"/>
        <v>24</v>
      </c>
      <c r="R1157" s="53" t="str">
        <f t="shared" si="57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3">
        <f t="shared" si="58"/>
        <v>14</v>
      </c>
      <c r="Z1157" s="18">
        <v>46157</v>
      </c>
      <c r="AA1157" s="15"/>
      <c r="AB1157" s="15"/>
    </row>
    <row r="1158" spans="1:28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56"/>
        <v>24</v>
      </c>
      <c r="R1158" s="53" t="str">
        <f t="shared" si="57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3">
        <f t="shared" si="58"/>
        <v>14</v>
      </c>
      <c r="Z1158" s="18">
        <v>46157</v>
      </c>
      <c r="AA1158" s="15"/>
      <c r="AB1158" s="15"/>
    </row>
    <row r="1159" spans="1:28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56"/>
        <v>24</v>
      </c>
      <c r="R1159" s="53" t="str">
        <f t="shared" si="57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3">
        <f t="shared" si="58"/>
        <v>14</v>
      </c>
      <c r="Z1159" s="18">
        <v>46157</v>
      </c>
      <c r="AA1159" s="15"/>
      <c r="AB1159" s="15"/>
    </row>
    <row r="1160" spans="1:28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56"/>
        <v>24</v>
      </c>
      <c r="R1160" s="53" t="str">
        <f t="shared" si="57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3">
        <f t="shared" si="58"/>
        <v>14</v>
      </c>
      <c r="Z1160" s="18">
        <v>46157</v>
      </c>
      <c r="AA1160" s="15"/>
      <c r="AB1160" s="15"/>
    </row>
    <row r="1161" spans="1:28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56"/>
        <v>24</v>
      </c>
      <c r="R1161" s="53" t="str">
        <f t="shared" si="57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3">
        <f t="shared" si="58"/>
        <v>14</v>
      </c>
      <c r="Z1161" s="18">
        <v>46157</v>
      </c>
      <c r="AA1161" s="15"/>
      <c r="AB1161" s="15"/>
    </row>
    <row r="1162" spans="1:28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56"/>
        <v>24</v>
      </c>
      <c r="R1162" s="53" t="str">
        <f t="shared" si="57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3">
        <f t="shared" si="58"/>
        <v>14</v>
      </c>
      <c r="Z1162" s="18">
        <v>46157</v>
      </c>
      <c r="AA1162" s="15"/>
      <c r="AB1162" s="15"/>
    </row>
    <row r="1163" spans="1:28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56"/>
        <v>24</v>
      </c>
      <c r="R1163" s="53" t="str">
        <f t="shared" si="57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3">
        <f t="shared" si="58"/>
        <v>14</v>
      </c>
      <c r="Z1163" s="18">
        <v>46157</v>
      </c>
      <c r="AA1163" s="15"/>
      <c r="AB1163" s="15"/>
    </row>
    <row r="1164" spans="1:28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56"/>
        <v>24</v>
      </c>
      <c r="R1164" s="53" t="str">
        <f t="shared" si="57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3">
        <f t="shared" si="58"/>
        <v>14</v>
      </c>
      <c r="Z1164" s="18">
        <v>46157</v>
      </c>
      <c r="AA1164" s="15"/>
      <c r="AB1164" s="15"/>
    </row>
    <row r="1165" spans="1:28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56"/>
        <v>24</v>
      </c>
      <c r="R1165" s="53" t="str">
        <f t="shared" si="57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3">
        <f t="shared" si="58"/>
        <v>14</v>
      </c>
      <c r="Z1165" s="18">
        <v>46157</v>
      </c>
      <c r="AA1165" s="15"/>
      <c r="AB1165" s="15"/>
    </row>
    <row r="1166" spans="1:28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56"/>
        <v>24</v>
      </c>
      <c r="R1166" s="53" t="str">
        <f t="shared" si="57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3">
        <f t="shared" si="58"/>
        <v>14</v>
      </c>
      <c r="Z1166" s="18">
        <v>46157</v>
      </c>
      <c r="AA1166" s="15"/>
      <c r="AB1166" s="15"/>
    </row>
    <row r="1167" spans="1:28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56"/>
        <v>24</v>
      </c>
      <c r="R1167" s="53" t="str">
        <f t="shared" si="57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3">
        <f t="shared" si="58"/>
        <v>14</v>
      </c>
      <c r="Z1167" s="18">
        <v>46157</v>
      </c>
      <c r="AA1167" s="15"/>
      <c r="AB1167" s="15"/>
    </row>
    <row r="1168" spans="1:28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56"/>
        <v>24</v>
      </c>
      <c r="R1168" s="53" t="str">
        <f t="shared" si="57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3">
        <f t="shared" si="58"/>
        <v>14</v>
      </c>
      <c r="Z1168" s="18">
        <v>46157</v>
      </c>
      <c r="AA1168" s="15"/>
      <c r="AB1168" s="15"/>
    </row>
    <row r="1169" spans="1:28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56"/>
        <v>24</v>
      </c>
      <c r="R1169" s="53" t="str">
        <f t="shared" si="57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3">
        <f t="shared" si="58"/>
        <v>14</v>
      </c>
      <c r="Z1169" s="18">
        <v>46157</v>
      </c>
      <c r="AA1169" s="15"/>
      <c r="AB1169" s="15"/>
    </row>
    <row r="1170" spans="1:28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56"/>
        <v>24</v>
      </c>
      <c r="R1170" s="53" t="str">
        <f t="shared" si="57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3">
        <f t="shared" si="58"/>
        <v>14</v>
      </c>
      <c r="Z1170" s="18">
        <v>46157</v>
      </c>
      <c r="AA1170" s="15"/>
      <c r="AB1170" s="15"/>
    </row>
    <row r="1171" spans="1:28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56"/>
        <v>24</v>
      </c>
      <c r="R1171" s="53" t="str">
        <f t="shared" si="57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3">
        <f t="shared" si="58"/>
        <v>14</v>
      </c>
      <c r="Z1171" s="18">
        <v>46157</v>
      </c>
      <c r="AA1171" s="15"/>
      <c r="AB1171" s="15"/>
    </row>
    <row r="1172" spans="1:28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56"/>
        <v>24</v>
      </c>
      <c r="R1172" s="53" t="str">
        <f t="shared" si="57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3">
        <f t="shared" si="58"/>
        <v>14</v>
      </c>
      <c r="Z1172" s="18">
        <v>46157</v>
      </c>
      <c r="AA1172" s="15"/>
      <c r="AB1172" s="15"/>
    </row>
    <row r="1173" spans="1:28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56"/>
        <v>24</v>
      </c>
      <c r="R1173" s="53" t="str">
        <f t="shared" si="57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3">
        <f t="shared" si="58"/>
        <v>14</v>
      </c>
      <c r="Z1173" s="18">
        <v>46157</v>
      </c>
      <c r="AA1173" s="15"/>
      <c r="AB1173" s="15"/>
    </row>
    <row r="1174" spans="1:28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56"/>
        <v>24</v>
      </c>
      <c r="R1174" s="53" t="str">
        <f t="shared" si="57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3">
        <f t="shared" si="58"/>
        <v>14</v>
      </c>
      <c r="Z1174" s="18">
        <v>46157</v>
      </c>
      <c r="AA1174" s="15"/>
      <c r="AB1174" s="15"/>
    </row>
    <row r="1175" spans="1:28" hidden="1">
      <c r="A1175" s="6">
        <v>46107</v>
      </c>
      <c r="B1175" s="3">
        <v>2026</v>
      </c>
      <c r="C1175" s="3" t="s">
        <v>2963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56"/>
        <v>24</v>
      </c>
      <c r="R1175" s="53" t="str">
        <f t="shared" si="57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3">
        <f t="shared" si="58"/>
        <v>51</v>
      </c>
      <c r="Z1175" s="18">
        <v>46158</v>
      </c>
      <c r="AA1175" s="15"/>
      <c r="AB1175" s="15"/>
    </row>
    <row r="1176" spans="1:28" hidden="1">
      <c r="A1176" s="6">
        <v>46107</v>
      </c>
      <c r="B1176" s="3">
        <v>2026</v>
      </c>
      <c r="C1176" s="3" t="s">
        <v>2963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56"/>
        <v>24</v>
      </c>
      <c r="R1176" s="53" t="str">
        <f t="shared" si="57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3">
        <f t="shared" si="58"/>
        <v>51</v>
      </c>
      <c r="Z1176" s="18">
        <v>46158</v>
      </c>
      <c r="AA1176" s="15"/>
      <c r="AB1176" s="15"/>
    </row>
    <row r="1177" spans="1:28" hidden="1">
      <c r="A1177" s="6">
        <v>46107</v>
      </c>
      <c r="B1177" s="3">
        <v>2026</v>
      </c>
      <c r="C1177" s="3" t="s">
        <v>2963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56"/>
        <v>24</v>
      </c>
      <c r="R1177" s="53" t="str">
        <f t="shared" si="57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3">
        <f t="shared" si="58"/>
        <v>51</v>
      </c>
      <c r="Z1177" s="18">
        <v>46158</v>
      </c>
      <c r="AA1177" s="15"/>
      <c r="AB1177" s="15"/>
    </row>
    <row r="1178" spans="1:28" hidden="1">
      <c r="A1178" s="6">
        <v>46107</v>
      </c>
      <c r="B1178" s="3">
        <v>2026</v>
      </c>
      <c r="C1178" s="3" t="s">
        <v>2963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56"/>
        <v>24</v>
      </c>
      <c r="R1178" s="53" t="str">
        <f t="shared" si="57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3">
        <f t="shared" si="58"/>
        <v>51</v>
      </c>
      <c r="Z1178" s="18">
        <v>46158</v>
      </c>
      <c r="AA1178" s="15"/>
      <c r="AB1178" s="15"/>
    </row>
    <row r="1179" spans="1:28" hidden="1">
      <c r="A1179" s="6">
        <v>46107</v>
      </c>
      <c r="B1179" s="3">
        <v>2026</v>
      </c>
      <c r="C1179" s="3" t="s">
        <v>2963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56"/>
        <v>24</v>
      </c>
      <c r="R1179" s="53" t="str">
        <f t="shared" si="57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3">
        <f t="shared" si="58"/>
        <v>51</v>
      </c>
      <c r="Z1179" s="18">
        <v>46158</v>
      </c>
      <c r="AA1179" s="15"/>
      <c r="AB1179" s="15"/>
    </row>
    <row r="1180" spans="1:28" hidden="1">
      <c r="A1180" s="6">
        <v>46107</v>
      </c>
      <c r="B1180" s="3">
        <v>2026</v>
      </c>
      <c r="C1180" s="3" t="s">
        <v>2963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56"/>
        <v>24</v>
      </c>
      <c r="R1180" s="53" t="str">
        <f t="shared" si="57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3">
        <f t="shared" si="58"/>
        <v>51</v>
      </c>
      <c r="Z1180" s="18">
        <v>46158</v>
      </c>
      <c r="AA1180" s="15"/>
      <c r="AB1180" s="15"/>
    </row>
    <row r="1181" spans="1:28" hidden="1">
      <c r="A1181" s="6">
        <v>46107</v>
      </c>
      <c r="B1181" s="3">
        <v>2026</v>
      </c>
      <c r="C1181" s="3" t="s">
        <v>2963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56"/>
        <v>24</v>
      </c>
      <c r="R1181" s="53" t="str">
        <f t="shared" si="57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3">
        <f t="shared" si="58"/>
        <v>51</v>
      </c>
      <c r="Z1181" s="18">
        <v>46158</v>
      </c>
      <c r="AA1181" s="15"/>
      <c r="AB1181" s="15"/>
    </row>
    <row r="1182" spans="1:28" hidden="1">
      <c r="A1182" s="6">
        <v>46107</v>
      </c>
      <c r="B1182" s="3">
        <v>2026</v>
      </c>
      <c r="C1182" s="3" t="s">
        <v>2963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56"/>
        <v>24</v>
      </c>
      <c r="R1182" s="53" t="str">
        <f t="shared" si="57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3">
        <f t="shared" si="58"/>
        <v>51</v>
      </c>
      <c r="Z1182" s="18">
        <v>46158</v>
      </c>
      <c r="AA1182" s="15"/>
      <c r="AB1182" s="15"/>
    </row>
    <row r="1183" spans="1:28" hidden="1">
      <c r="A1183" s="6">
        <v>46107</v>
      </c>
      <c r="B1183" s="3">
        <v>2026</v>
      </c>
      <c r="C1183" s="3" t="s">
        <v>2963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56"/>
        <v>24</v>
      </c>
      <c r="R1183" s="53" t="str">
        <f t="shared" si="57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3">
        <f t="shared" si="58"/>
        <v>51</v>
      </c>
      <c r="Z1183" s="18">
        <v>46158</v>
      </c>
      <c r="AA1183" s="15"/>
      <c r="AB1183" s="15"/>
    </row>
    <row r="1184" spans="1:28" hidden="1">
      <c r="A1184" s="6">
        <v>46107</v>
      </c>
      <c r="B1184" s="3">
        <v>2026</v>
      </c>
      <c r="C1184" s="3" t="s">
        <v>2963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56"/>
        <v>24</v>
      </c>
      <c r="R1184" s="53" t="str">
        <f t="shared" si="57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3">
        <f t="shared" si="58"/>
        <v>51</v>
      </c>
      <c r="Z1184" s="18">
        <v>46158</v>
      </c>
      <c r="AA1184" s="15"/>
      <c r="AB1184" s="15"/>
    </row>
    <row r="1185" spans="1:28" hidden="1">
      <c r="A1185" s="6">
        <v>46107</v>
      </c>
      <c r="B1185" s="3">
        <v>2026</v>
      </c>
      <c r="C1185" s="3" t="s">
        <v>2963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56"/>
        <v>24</v>
      </c>
      <c r="R1185" s="53" t="str">
        <f t="shared" si="57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3">
        <f t="shared" si="58"/>
        <v>51</v>
      </c>
      <c r="Z1185" s="18">
        <v>46158</v>
      </c>
      <c r="AA1185" s="15"/>
      <c r="AB1185" s="15"/>
    </row>
    <row r="1186" spans="1:28" hidden="1">
      <c r="A1186" s="6">
        <v>46107</v>
      </c>
      <c r="B1186" s="3">
        <v>2026</v>
      </c>
      <c r="C1186" s="3" t="s">
        <v>2963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56"/>
        <v>24</v>
      </c>
      <c r="R1186" s="53" t="str">
        <f t="shared" si="57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3">
        <f t="shared" si="58"/>
        <v>51</v>
      </c>
      <c r="Z1186" s="18">
        <v>46158</v>
      </c>
      <c r="AA1186" s="15"/>
      <c r="AB1186" s="15"/>
    </row>
    <row r="1187" spans="1:28" hidden="1">
      <c r="A1187" s="6">
        <v>46107</v>
      </c>
      <c r="B1187" s="3">
        <v>2026</v>
      </c>
      <c r="C1187" s="3" t="s">
        <v>2963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56"/>
        <v>24</v>
      </c>
      <c r="R1187" s="53" t="str">
        <f t="shared" si="57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3">
        <f t="shared" si="58"/>
        <v>51</v>
      </c>
      <c r="Z1187" s="18">
        <v>46158</v>
      </c>
      <c r="AA1187" s="15"/>
      <c r="AB1187" s="15"/>
    </row>
    <row r="1188" spans="1:28" hidden="1">
      <c r="A1188" s="6">
        <v>46107</v>
      </c>
      <c r="B1188" s="3">
        <v>2026</v>
      </c>
      <c r="C1188" s="3" t="s">
        <v>2963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56"/>
        <v>24</v>
      </c>
      <c r="R1188" s="53" t="str">
        <f t="shared" si="57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3">
        <f t="shared" si="58"/>
        <v>51</v>
      </c>
      <c r="Z1188" s="18">
        <v>46158</v>
      </c>
      <c r="AA1188" s="15"/>
      <c r="AB1188" s="15"/>
    </row>
    <row r="1189" spans="1:28" hidden="1">
      <c r="A1189" s="6">
        <v>46107</v>
      </c>
      <c r="B1189" s="3">
        <v>2026</v>
      </c>
      <c r="C1189" s="3" t="s">
        <v>2963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56"/>
        <v>24</v>
      </c>
      <c r="R1189" s="53" t="str">
        <f t="shared" si="57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3">
        <f t="shared" si="58"/>
        <v>51</v>
      </c>
      <c r="Z1189" s="18">
        <v>46158</v>
      </c>
      <c r="AA1189" s="15"/>
      <c r="AB1189" s="15"/>
    </row>
    <row r="1190" spans="1:28" hidden="1">
      <c r="A1190" s="6">
        <v>46107</v>
      </c>
      <c r="B1190" s="3">
        <v>2026</v>
      </c>
      <c r="C1190" s="3" t="s">
        <v>2963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56"/>
        <v>24</v>
      </c>
      <c r="R1190" s="53" t="str">
        <f t="shared" si="57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3">
        <f t="shared" si="58"/>
        <v>51</v>
      </c>
      <c r="Z1190" s="18">
        <v>46158</v>
      </c>
      <c r="AA1190" s="15"/>
      <c r="AB1190" s="15"/>
    </row>
    <row r="1191" spans="1:28" hidden="1">
      <c r="A1191" s="6">
        <v>46107</v>
      </c>
      <c r="B1191" s="3">
        <v>2026</v>
      </c>
      <c r="C1191" s="3" t="s">
        <v>2963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59">MID(P1191,5,2)</f>
        <v>24</v>
      </c>
      <c r="R1191" s="53" t="str">
        <f t="shared" ref="R1191:R1254" si="60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3">
        <f t="shared" si="58"/>
        <v>51</v>
      </c>
      <c r="Z1191" s="18">
        <v>46158</v>
      </c>
      <c r="AA1191" s="15"/>
      <c r="AB1191" s="15"/>
    </row>
    <row r="1192" spans="1:28" hidden="1">
      <c r="A1192" s="6">
        <v>46107</v>
      </c>
      <c r="B1192" s="3">
        <v>2026</v>
      </c>
      <c r="C1192" s="3" t="s">
        <v>2963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59"/>
        <v>24</v>
      </c>
      <c r="R1192" s="53" t="str">
        <f t="shared" si="60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3">
        <f t="shared" si="58"/>
        <v>51</v>
      </c>
      <c r="Z1192" s="18">
        <v>46158</v>
      </c>
      <c r="AA1192" s="15"/>
      <c r="AB1192" s="15"/>
    </row>
    <row r="1193" spans="1:28" hidden="1">
      <c r="A1193" s="6">
        <v>46107</v>
      </c>
      <c r="B1193" s="3">
        <v>2026</v>
      </c>
      <c r="C1193" s="3" t="s">
        <v>2963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59"/>
        <v>24</v>
      </c>
      <c r="R1193" s="53" t="str">
        <f t="shared" si="60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3">
        <f t="shared" si="58"/>
        <v>51</v>
      </c>
      <c r="Z1193" s="18">
        <v>46158</v>
      </c>
      <c r="AA1193" s="15"/>
      <c r="AB1193" s="15"/>
    </row>
    <row r="1194" spans="1:28" hidden="1">
      <c r="A1194" s="6">
        <v>46107</v>
      </c>
      <c r="B1194" s="3">
        <v>2026</v>
      </c>
      <c r="C1194" s="3" t="s">
        <v>2963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59"/>
        <v>24</v>
      </c>
      <c r="R1194" s="53" t="str">
        <f t="shared" si="60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3">
        <f t="shared" si="58"/>
        <v>51</v>
      </c>
      <c r="Z1194" s="18">
        <v>46158</v>
      </c>
      <c r="AA1194" s="15"/>
      <c r="AB1194" s="15"/>
    </row>
    <row r="1195" spans="1:28" hidden="1">
      <c r="A1195" s="6">
        <v>46107</v>
      </c>
      <c r="B1195" s="3">
        <v>2026</v>
      </c>
      <c r="C1195" s="3" t="s">
        <v>2963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59"/>
        <v>24</v>
      </c>
      <c r="R1195" s="53" t="str">
        <f t="shared" si="60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3">
        <f t="shared" si="58"/>
        <v>51</v>
      </c>
      <c r="Z1195" s="18">
        <v>46158</v>
      </c>
      <c r="AA1195" s="15"/>
      <c r="AB1195" s="15"/>
    </row>
    <row r="1196" spans="1:28" hidden="1">
      <c r="A1196" s="6">
        <v>46107</v>
      </c>
      <c r="B1196" s="3">
        <v>2026</v>
      </c>
      <c r="C1196" s="3" t="s">
        <v>2963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59"/>
        <v>24</v>
      </c>
      <c r="R1196" s="53" t="str">
        <f t="shared" si="60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3">
        <f t="shared" si="58"/>
        <v>51</v>
      </c>
      <c r="Z1196" s="18">
        <v>46158</v>
      </c>
      <c r="AA1196" s="15"/>
      <c r="AB1196" s="15"/>
    </row>
    <row r="1197" spans="1:28" hidden="1">
      <c r="A1197" s="6">
        <v>46107</v>
      </c>
      <c r="B1197" s="3">
        <v>2026</v>
      </c>
      <c r="C1197" s="3" t="s">
        <v>2963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59"/>
        <v>24</v>
      </c>
      <c r="R1197" s="53" t="str">
        <f t="shared" si="60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3">
        <f t="shared" si="58"/>
        <v>51</v>
      </c>
      <c r="Z1197" s="18">
        <v>46158</v>
      </c>
      <c r="AA1197" s="15"/>
      <c r="AB1197" s="15"/>
    </row>
    <row r="1198" spans="1:28" hidden="1">
      <c r="A1198" s="6">
        <v>46107</v>
      </c>
      <c r="B1198" s="3">
        <v>2026</v>
      </c>
      <c r="C1198" s="3" t="s">
        <v>2963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59"/>
        <v>24</v>
      </c>
      <c r="R1198" s="53" t="str">
        <f t="shared" si="60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3">
        <f t="shared" si="58"/>
        <v>51</v>
      </c>
      <c r="Z1198" s="18">
        <v>46158</v>
      </c>
      <c r="AA1198" s="15"/>
      <c r="AB1198" s="15"/>
    </row>
    <row r="1199" spans="1:28" hidden="1">
      <c r="A1199" s="6">
        <v>46107</v>
      </c>
      <c r="B1199" s="3">
        <v>2026</v>
      </c>
      <c r="C1199" s="3" t="s">
        <v>2963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59"/>
        <v>24</v>
      </c>
      <c r="R1199" s="53" t="str">
        <f t="shared" si="60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3">
        <f t="shared" si="58"/>
        <v>51</v>
      </c>
      <c r="Z1199" s="18">
        <v>46158</v>
      </c>
      <c r="AA1199" s="15"/>
      <c r="AB1199" s="15"/>
    </row>
    <row r="1200" spans="1:28" hidden="1">
      <c r="A1200" s="6">
        <v>46107</v>
      </c>
      <c r="B1200" s="3">
        <v>2026</v>
      </c>
      <c r="C1200" s="3" t="s">
        <v>2963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59"/>
        <v>24</v>
      </c>
      <c r="R1200" s="53" t="str">
        <f t="shared" si="60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3">
        <f t="shared" si="58"/>
        <v>51</v>
      </c>
      <c r="Z1200" s="18">
        <v>46158</v>
      </c>
      <c r="AA1200" s="15"/>
      <c r="AB1200" s="15"/>
    </row>
    <row r="1201" spans="1:28" hidden="1">
      <c r="A1201" s="6">
        <v>46107</v>
      </c>
      <c r="B1201" s="3">
        <v>2026</v>
      </c>
      <c r="C1201" s="3" t="s">
        <v>2963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59"/>
        <v>24</v>
      </c>
      <c r="R1201" s="53" t="str">
        <f t="shared" si="60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3">
        <f t="shared" si="58"/>
        <v>51</v>
      </c>
      <c r="Z1201" s="18">
        <v>46158</v>
      </c>
      <c r="AA1201" s="15"/>
      <c r="AB1201" s="15"/>
    </row>
    <row r="1202" spans="1:28" hidden="1">
      <c r="A1202" s="6">
        <v>46107</v>
      </c>
      <c r="B1202" s="3">
        <v>2026</v>
      </c>
      <c r="C1202" s="3" t="s">
        <v>2963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59"/>
        <v>24</v>
      </c>
      <c r="R1202" s="53" t="str">
        <f t="shared" si="60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3">
        <f t="shared" si="58"/>
        <v>51</v>
      </c>
      <c r="Z1202" s="18">
        <v>46158</v>
      </c>
      <c r="AA1202" s="15"/>
      <c r="AB1202" s="15"/>
    </row>
    <row r="1203" spans="1:28" hidden="1">
      <c r="A1203" s="6">
        <v>46107</v>
      </c>
      <c r="B1203" s="3">
        <v>2026</v>
      </c>
      <c r="C1203" s="3" t="s">
        <v>2963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59"/>
        <v>24</v>
      </c>
      <c r="R1203" s="53" t="str">
        <f t="shared" si="60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3">
        <f t="shared" si="58"/>
        <v>51</v>
      </c>
      <c r="Z1203" s="18">
        <v>46158</v>
      </c>
      <c r="AA1203" s="15"/>
      <c r="AB1203" s="15"/>
    </row>
    <row r="1204" spans="1:28" hidden="1">
      <c r="A1204" s="6">
        <v>46107</v>
      </c>
      <c r="B1204" s="3">
        <v>2026</v>
      </c>
      <c r="C1204" s="3" t="s">
        <v>2963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59"/>
        <v>24</v>
      </c>
      <c r="R1204" s="53" t="str">
        <f t="shared" si="60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3">
        <f t="shared" si="58"/>
        <v>51</v>
      </c>
      <c r="Z1204" s="18">
        <v>46158</v>
      </c>
      <c r="AA1204" s="15"/>
      <c r="AB1204" s="15"/>
    </row>
    <row r="1205" spans="1:28" hidden="1">
      <c r="A1205" s="6">
        <v>46107</v>
      </c>
      <c r="B1205" s="3">
        <v>2026</v>
      </c>
      <c r="C1205" s="3" t="s">
        <v>2963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59"/>
        <v>24</v>
      </c>
      <c r="R1205" s="53" t="str">
        <f t="shared" si="60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3">
        <f t="shared" si="58"/>
        <v>51</v>
      </c>
      <c r="Z1205" s="18">
        <v>46158</v>
      </c>
      <c r="AA1205" s="15"/>
      <c r="AB1205" s="15"/>
    </row>
    <row r="1206" spans="1:28" hidden="1">
      <c r="A1206" s="6">
        <v>46107</v>
      </c>
      <c r="B1206" s="3">
        <v>2026</v>
      </c>
      <c r="C1206" s="3" t="s">
        <v>2963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59"/>
        <v>24</v>
      </c>
      <c r="R1206" s="53" t="str">
        <f t="shared" si="60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3">
        <f t="shared" si="58"/>
        <v>51</v>
      </c>
      <c r="Z1206" s="18">
        <v>46158</v>
      </c>
      <c r="AA1206" s="15"/>
      <c r="AB1206" s="15"/>
    </row>
    <row r="1207" spans="1:28" hidden="1">
      <c r="A1207" s="6">
        <v>46107</v>
      </c>
      <c r="B1207" s="3">
        <v>2026</v>
      </c>
      <c r="C1207" s="3" t="s">
        <v>2963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59"/>
        <v>24</v>
      </c>
      <c r="R1207" s="53" t="str">
        <f t="shared" si="60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3">
        <f t="shared" si="58"/>
        <v>51</v>
      </c>
      <c r="Z1207" s="18">
        <v>46158</v>
      </c>
      <c r="AA1207" s="15"/>
      <c r="AB1207" s="15"/>
    </row>
    <row r="1208" spans="1:28" hidden="1">
      <c r="A1208" s="6">
        <v>46107</v>
      </c>
      <c r="B1208" s="3">
        <v>2026</v>
      </c>
      <c r="C1208" s="3" t="s">
        <v>2963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59"/>
        <v>24</v>
      </c>
      <c r="R1208" s="53" t="str">
        <f t="shared" si="60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3">
        <f t="shared" si="58"/>
        <v>51</v>
      </c>
      <c r="Z1208" s="18">
        <v>46158</v>
      </c>
      <c r="AA1208" s="15"/>
      <c r="AB1208" s="15"/>
    </row>
    <row r="1209" spans="1:28" hidden="1">
      <c r="A1209" s="6">
        <v>46107</v>
      </c>
      <c r="B1209" s="3">
        <v>2026</v>
      </c>
      <c r="C1209" s="3" t="s">
        <v>2963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59"/>
        <v>24</v>
      </c>
      <c r="R1209" s="53" t="str">
        <f t="shared" si="60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3">
        <f t="shared" si="58"/>
        <v>51</v>
      </c>
      <c r="Z1209" s="18">
        <v>46158</v>
      </c>
      <c r="AA1209" s="15"/>
      <c r="AB1209" s="15"/>
    </row>
    <row r="1210" spans="1:28" hidden="1">
      <c r="A1210" s="6">
        <v>46107</v>
      </c>
      <c r="B1210" s="3">
        <v>2026</v>
      </c>
      <c r="C1210" s="3" t="s">
        <v>2963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59"/>
        <v>24</v>
      </c>
      <c r="R1210" s="53" t="str">
        <f t="shared" si="60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3">
        <f t="shared" si="58"/>
        <v>51</v>
      </c>
      <c r="Z1210" s="18">
        <v>46158</v>
      </c>
      <c r="AA1210" s="15"/>
      <c r="AB1210" s="15"/>
    </row>
    <row r="1211" spans="1:28" hidden="1">
      <c r="A1211" s="6">
        <v>46107</v>
      </c>
      <c r="B1211" s="3">
        <v>2026</v>
      </c>
      <c r="C1211" s="3" t="s">
        <v>2963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59"/>
        <v>24</v>
      </c>
      <c r="R1211" s="53" t="str">
        <f t="shared" si="60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3">
        <f t="shared" si="58"/>
        <v>51</v>
      </c>
      <c r="Z1211" s="18">
        <v>46158</v>
      </c>
      <c r="AA1211" s="15"/>
      <c r="AB1211" s="15"/>
    </row>
    <row r="1212" spans="1:28" hidden="1">
      <c r="A1212" s="6">
        <v>46107</v>
      </c>
      <c r="B1212" s="3">
        <v>2026</v>
      </c>
      <c r="C1212" s="3" t="s">
        <v>2963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59"/>
        <v>24</v>
      </c>
      <c r="R1212" s="53" t="str">
        <f t="shared" si="60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3">
        <f t="shared" si="58"/>
        <v>51</v>
      </c>
      <c r="Z1212" s="18">
        <v>46158</v>
      </c>
      <c r="AA1212" s="15"/>
      <c r="AB1212" s="15"/>
    </row>
    <row r="1213" spans="1:28" hidden="1">
      <c r="A1213" s="6">
        <v>46107</v>
      </c>
      <c r="B1213" s="3">
        <v>2026</v>
      </c>
      <c r="C1213" s="3" t="s">
        <v>2963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59"/>
        <v>24</v>
      </c>
      <c r="R1213" s="53" t="str">
        <f t="shared" si="60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3">
        <f t="shared" si="58"/>
        <v>51</v>
      </c>
      <c r="Z1213" s="18">
        <v>46158</v>
      </c>
      <c r="AA1213" s="15"/>
      <c r="AB1213" s="15"/>
    </row>
    <row r="1214" spans="1:28" hidden="1">
      <c r="A1214" s="6">
        <v>46107</v>
      </c>
      <c r="B1214" s="3">
        <v>2026</v>
      </c>
      <c r="C1214" s="3" t="s">
        <v>2963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59"/>
        <v>24</v>
      </c>
      <c r="R1214" s="53" t="str">
        <f t="shared" si="60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3">
        <f t="shared" si="58"/>
        <v>51</v>
      </c>
      <c r="Z1214" s="18">
        <v>46158</v>
      </c>
      <c r="AA1214" s="15"/>
      <c r="AB1214" s="15"/>
    </row>
    <row r="1215" spans="1:28" hidden="1">
      <c r="A1215" s="6">
        <v>46107</v>
      </c>
      <c r="B1215" s="3">
        <v>2026</v>
      </c>
      <c r="C1215" s="3" t="s">
        <v>2963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59"/>
        <v>24</v>
      </c>
      <c r="R1215" s="53" t="str">
        <f t="shared" si="60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3">
        <f t="shared" si="58"/>
        <v>51</v>
      </c>
      <c r="Z1215" s="18">
        <v>46158</v>
      </c>
      <c r="AA1215" s="15"/>
      <c r="AB1215" s="15"/>
    </row>
    <row r="1216" spans="1:28" hidden="1">
      <c r="A1216" s="6">
        <v>46107</v>
      </c>
      <c r="B1216" s="3">
        <v>2026</v>
      </c>
      <c r="C1216" s="3" t="s">
        <v>2963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59"/>
        <v>24</v>
      </c>
      <c r="R1216" s="53" t="str">
        <f t="shared" si="60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3">
        <f t="shared" si="58"/>
        <v>51</v>
      </c>
      <c r="Z1216" s="18">
        <v>46158</v>
      </c>
      <c r="AA1216" s="15"/>
      <c r="AB1216" s="15"/>
    </row>
    <row r="1217" spans="1:28" hidden="1">
      <c r="A1217" s="6">
        <v>46107</v>
      </c>
      <c r="B1217" s="3">
        <v>2026</v>
      </c>
      <c r="C1217" s="3" t="s">
        <v>2963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59"/>
        <v>24</v>
      </c>
      <c r="R1217" s="53" t="str">
        <f t="shared" si="60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3">
        <f t="shared" si="58"/>
        <v>51</v>
      </c>
      <c r="Z1217" s="18">
        <v>46158</v>
      </c>
      <c r="AA1217" s="15"/>
      <c r="AB1217" s="15"/>
    </row>
    <row r="1218" spans="1:28" hidden="1">
      <c r="A1218" s="6">
        <v>46107</v>
      </c>
      <c r="B1218" s="3">
        <v>2026</v>
      </c>
      <c r="C1218" s="3" t="s">
        <v>2963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59"/>
        <v>24</v>
      </c>
      <c r="R1218" s="53" t="str">
        <f t="shared" si="60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3">
        <f t="shared" ref="Y1218:Y1281" si="61">X1218-A1218</f>
        <v>51</v>
      </c>
      <c r="Z1218" s="18">
        <v>46158</v>
      </c>
      <c r="AA1218" s="15"/>
      <c r="AB1218" s="15"/>
    </row>
    <row r="1219" spans="1:28" hidden="1">
      <c r="A1219" s="6">
        <v>46107</v>
      </c>
      <c r="B1219" s="3">
        <v>2026</v>
      </c>
      <c r="C1219" s="3" t="s">
        <v>2963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59"/>
        <v>24</v>
      </c>
      <c r="R1219" s="53" t="str">
        <f t="shared" si="60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3">
        <f t="shared" si="61"/>
        <v>51</v>
      </c>
      <c r="Z1219" s="18">
        <v>46158</v>
      </c>
      <c r="AA1219" s="15"/>
      <c r="AB1219" s="15"/>
    </row>
    <row r="1220" spans="1:28" hidden="1">
      <c r="A1220" s="6">
        <v>46107</v>
      </c>
      <c r="B1220" s="3">
        <v>2026</v>
      </c>
      <c r="C1220" s="3" t="s">
        <v>2963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59"/>
        <v>24</v>
      </c>
      <c r="R1220" s="53" t="str">
        <f t="shared" si="60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3">
        <f t="shared" si="61"/>
        <v>51</v>
      </c>
      <c r="Z1220" s="18">
        <v>46158</v>
      </c>
      <c r="AA1220" s="15"/>
      <c r="AB1220" s="15"/>
    </row>
    <row r="1221" spans="1:28" hidden="1">
      <c r="A1221" s="6">
        <v>46107</v>
      </c>
      <c r="B1221" s="3">
        <v>2026</v>
      </c>
      <c r="C1221" s="3" t="s">
        <v>2963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59"/>
        <v>24</v>
      </c>
      <c r="R1221" s="53" t="str">
        <f t="shared" si="60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3">
        <f t="shared" si="61"/>
        <v>51</v>
      </c>
      <c r="Z1221" s="18">
        <v>46158</v>
      </c>
      <c r="AA1221" s="15"/>
      <c r="AB1221" s="15"/>
    </row>
    <row r="1222" spans="1:28" hidden="1">
      <c r="A1222" s="6">
        <v>46107</v>
      </c>
      <c r="B1222" s="3">
        <v>2026</v>
      </c>
      <c r="C1222" s="3" t="s">
        <v>2963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59"/>
        <v>24</v>
      </c>
      <c r="R1222" s="53" t="str">
        <f t="shared" si="60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3">
        <f t="shared" si="61"/>
        <v>51</v>
      </c>
      <c r="Z1222" s="18">
        <v>46158</v>
      </c>
      <c r="AA1222" s="15"/>
      <c r="AB1222" s="15"/>
    </row>
    <row r="1223" spans="1:28" hidden="1">
      <c r="A1223" s="6">
        <v>46107</v>
      </c>
      <c r="B1223" s="3">
        <v>2026</v>
      </c>
      <c r="C1223" s="3" t="s">
        <v>2963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59"/>
        <v>24</v>
      </c>
      <c r="R1223" s="53" t="str">
        <f t="shared" si="60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3">
        <f t="shared" si="61"/>
        <v>51</v>
      </c>
      <c r="Z1223" s="18">
        <v>46158</v>
      </c>
      <c r="AA1223" s="15"/>
      <c r="AB1223" s="15"/>
    </row>
    <row r="1224" spans="1:28" hidden="1">
      <c r="A1224" s="6">
        <v>46107</v>
      </c>
      <c r="B1224" s="3">
        <v>2026</v>
      </c>
      <c r="C1224" s="3" t="s">
        <v>2963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59"/>
        <v>24</v>
      </c>
      <c r="R1224" s="53" t="str">
        <f t="shared" si="60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3">
        <f t="shared" si="61"/>
        <v>51</v>
      </c>
      <c r="Z1224" s="18">
        <v>46158</v>
      </c>
      <c r="AA1224" s="15"/>
      <c r="AB1224" s="15"/>
    </row>
    <row r="1225" spans="1:28" hidden="1">
      <c r="A1225" s="6">
        <v>46107</v>
      </c>
      <c r="B1225" s="3">
        <v>2026</v>
      </c>
      <c r="C1225" s="3" t="s">
        <v>2963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59"/>
        <v>24</v>
      </c>
      <c r="R1225" s="53" t="str">
        <f t="shared" si="60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3">
        <f t="shared" si="61"/>
        <v>51</v>
      </c>
      <c r="Z1225" s="18">
        <v>46158</v>
      </c>
      <c r="AA1225" s="15"/>
      <c r="AB1225" s="15"/>
    </row>
    <row r="1226" spans="1:28" hidden="1">
      <c r="A1226" s="6">
        <v>46107</v>
      </c>
      <c r="B1226" s="3">
        <v>2026</v>
      </c>
      <c r="C1226" s="3" t="s">
        <v>2963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59"/>
        <v>24</v>
      </c>
      <c r="R1226" s="53" t="str">
        <f t="shared" si="60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3">
        <f t="shared" si="61"/>
        <v>51</v>
      </c>
      <c r="Z1226" s="18">
        <v>46158</v>
      </c>
      <c r="AA1226" s="15"/>
      <c r="AB1226" s="15"/>
    </row>
    <row r="1227" spans="1:28" hidden="1">
      <c r="A1227" s="6">
        <v>46107</v>
      </c>
      <c r="B1227" s="3">
        <v>2026</v>
      </c>
      <c r="C1227" s="3" t="s">
        <v>2963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59"/>
        <v>24</v>
      </c>
      <c r="R1227" s="53" t="str">
        <f t="shared" si="60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3">
        <f t="shared" si="61"/>
        <v>51</v>
      </c>
      <c r="Z1227" s="18">
        <v>46158</v>
      </c>
      <c r="AA1227" s="15"/>
      <c r="AB1227" s="15"/>
    </row>
    <row r="1228" spans="1:28" hidden="1">
      <c r="A1228" s="6">
        <v>46107</v>
      </c>
      <c r="B1228" s="3">
        <v>2026</v>
      </c>
      <c r="C1228" s="3" t="s">
        <v>2963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59"/>
        <v>24</v>
      </c>
      <c r="R1228" s="53" t="str">
        <f t="shared" si="60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3">
        <f t="shared" si="61"/>
        <v>51</v>
      </c>
      <c r="Z1228" s="18">
        <v>46158</v>
      </c>
      <c r="AA1228" s="15"/>
      <c r="AB1228" s="15"/>
    </row>
    <row r="1229" spans="1:28" hidden="1">
      <c r="A1229" s="6">
        <v>46107</v>
      </c>
      <c r="B1229" s="3">
        <v>2026</v>
      </c>
      <c r="C1229" s="3" t="s">
        <v>2963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59"/>
        <v>24</v>
      </c>
      <c r="R1229" s="53" t="str">
        <f t="shared" si="60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3">
        <f t="shared" si="61"/>
        <v>51</v>
      </c>
      <c r="Z1229" s="18">
        <v>46158</v>
      </c>
      <c r="AA1229" s="15"/>
      <c r="AB1229" s="15"/>
    </row>
    <row r="1230" spans="1:28" hidden="1">
      <c r="A1230" s="6">
        <v>46107</v>
      </c>
      <c r="B1230" s="3">
        <v>2026</v>
      </c>
      <c r="C1230" s="3" t="s">
        <v>2963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59"/>
        <v>24</v>
      </c>
      <c r="R1230" s="53" t="str">
        <f t="shared" si="60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3">
        <f t="shared" si="61"/>
        <v>51</v>
      </c>
      <c r="Z1230" s="18">
        <v>46158</v>
      </c>
      <c r="AA1230" s="15"/>
      <c r="AB1230" s="15"/>
    </row>
    <row r="1231" spans="1:28" hidden="1">
      <c r="A1231" s="6">
        <v>46107</v>
      </c>
      <c r="B1231" s="3">
        <v>2026</v>
      </c>
      <c r="C1231" s="3" t="s">
        <v>2963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59"/>
        <v>24</v>
      </c>
      <c r="R1231" s="53" t="str">
        <f t="shared" si="60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3">
        <f t="shared" si="61"/>
        <v>51</v>
      </c>
      <c r="Z1231" s="18">
        <v>46158</v>
      </c>
      <c r="AA1231" s="15"/>
      <c r="AB1231" s="15"/>
    </row>
    <row r="1232" spans="1:28" hidden="1">
      <c r="A1232" s="6">
        <v>46107</v>
      </c>
      <c r="B1232" s="3">
        <v>2026</v>
      </c>
      <c r="C1232" s="3" t="s">
        <v>2963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59"/>
        <v>24</v>
      </c>
      <c r="R1232" s="53" t="str">
        <f t="shared" si="60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3">
        <f t="shared" si="61"/>
        <v>51</v>
      </c>
      <c r="Z1232" s="18">
        <v>46158</v>
      </c>
      <c r="AA1232" s="15"/>
      <c r="AB1232" s="15"/>
    </row>
    <row r="1233" spans="1:28" hidden="1">
      <c r="A1233" s="6">
        <v>46107</v>
      </c>
      <c r="B1233" s="3">
        <v>2026</v>
      </c>
      <c r="C1233" s="3" t="s">
        <v>2963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59"/>
        <v>24</v>
      </c>
      <c r="R1233" s="53" t="str">
        <f t="shared" si="60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3">
        <f t="shared" si="61"/>
        <v>51</v>
      </c>
      <c r="Z1233" s="18">
        <v>46158</v>
      </c>
      <c r="AA1233" s="15"/>
      <c r="AB1233" s="15"/>
    </row>
    <row r="1234" spans="1:28" hidden="1">
      <c r="A1234" s="6">
        <v>46107</v>
      </c>
      <c r="B1234" s="3">
        <v>2026</v>
      </c>
      <c r="C1234" s="3" t="s">
        <v>2963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59"/>
        <v>24</v>
      </c>
      <c r="R1234" s="53" t="str">
        <f t="shared" si="60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3">
        <f t="shared" si="61"/>
        <v>51</v>
      </c>
      <c r="Z1234" s="18">
        <v>46158</v>
      </c>
      <c r="AA1234" s="15"/>
      <c r="AB1234" s="15"/>
    </row>
    <row r="1235" spans="1:28" hidden="1">
      <c r="A1235" s="6">
        <v>46107</v>
      </c>
      <c r="B1235" s="3">
        <v>2026</v>
      </c>
      <c r="C1235" s="3" t="s">
        <v>2963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59"/>
        <v>24</v>
      </c>
      <c r="R1235" s="53" t="str">
        <f t="shared" si="60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3">
        <f t="shared" si="61"/>
        <v>51</v>
      </c>
      <c r="Z1235" s="18">
        <v>46158</v>
      </c>
      <c r="AA1235" s="15"/>
      <c r="AB1235" s="15"/>
    </row>
    <row r="1236" spans="1:28" hidden="1">
      <c r="A1236" s="6">
        <v>46107</v>
      </c>
      <c r="B1236" s="3">
        <v>2026</v>
      </c>
      <c r="C1236" s="3" t="s">
        <v>2963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59"/>
        <v>24</v>
      </c>
      <c r="R1236" s="53" t="str">
        <f t="shared" si="60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3">
        <f t="shared" si="61"/>
        <v>51</v>
      </c>
      <c r="Z1236" s="18">
        <v>46158</v>
      </c>
      <c r="AA1236" s="15"/>
      <c r="AB1236" s="15"/>
    </row>
    <row r="1237" spans="1:28" hidden="1">
      <c r="A1237" s="6">
        <v>46107</v>
      </c>
      <c r="B1237" s="3">
        <v>2026</v>
      </c>
      <c r="C1237" s="3" t="s">
        <v>2963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59"/>
        <v>24</v>
      </c>
      <c r="R1237" s="53" t="str">
        <f t="shared" si="60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3">
        <f t="shared" si="61"/>
        <v>51</v>
      </c>
      <c r="Z1237" s="18">
        <v>46158</v>
      </c>
      <c r="AA1237" s="15"/>
      <c r="AB1237" s="15"/>
    </row>
    <row r="1238" spans="1:28" hidden="1">
      <c r="A1238" s="6">
        <v>46107</v>
      </c>
      <c r="B1238" s="3">
        <v>2026</v>
      </c>
      <c r="C1238" s="3" t="s">
        <v>2963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59"/>
        <v>24</v>
      </c>
      <c r="R1238" s="53" t="str">
        <f t="shared" si="60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3">
        <f t="shared" si="61"/>
        <v>51</v>
      </c>
      <c r="Z1238" s="18">
        <v>46158</v>
      </c>
      <c r="AA1238" s="15"/>
      <c r="AB1238" s="15"/>
    </row>
    <row r="1239" spans="1:28" hidden="1">
      <c r="A1239" s="6">
        <v>46107</v>
      </c>
      <c r="B1239" s="3">
        <v>2026</v>
      </c>
      <c r="C1239" s="3" t="s">
        <v>2963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59"/>
        <v>24</v>
      </c>
      <c r="R1239" s="53" t="str">
        <f t="shared" si="60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3">
        <f t="shared" si="61"/>
        <v>51</v>
      </c>
      <c r="Z1239" s="18">
        <v>46158</v>
      </c>
      <c r="AA1239" s="15"/>
      <c r="AB1239" s="15"/>
    </row>
    <row r="1240" spans="1:28" hidden="1">
      <c r="A1240" s="6">
        <v>46107</v>
      </c>
      <c r="B1240" s="3">
        <v>2026</v>
      </c>
      <c r="C1240" s="3" t="s">
        <v>2963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59"/>
        <v>24</v>
      </c>
      <c r="R1240" s="53" t="str">
        <f t="shared" si="60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3">
        <f t="shared" si="61"/>
        <v>51</v>
      </c>
      <c r="Z1240" s="18">
        <v>46158</v>
      </c>
      <c r="AA1240" s="15"/>
      <c r="AB1240" s="15"/>
    </row>
    <row r="1241" spans="1:28" hidden="1">
      <c r="A1241" s="6">
        <v>46107</v>
      </c>
      <c r="B1241" s="3">
        <v>2026</v>
      </c>
      <c r="C1241" s="3" t="s">
        <v>2963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59"/>
        <v>24</v>
      </c>
      <c r="R1241" s="53" t="str">
        <f t="shared" si="60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3">
        <f t="shared" si="61"/>
        <v>51</v>
      </c>
      <c r="Z1241" s="18">
        <v>46158</v>
      </c>
      <c r="AA1241" s="15"/>
      <c r="AB1241" s="15"/>
    </row>
    <row r="1242" spans="1:28" hidden="1">
      <c r="A1242" s="6">
        <v>46107</v>
      </c>
      <c r="B1242" s="3">
        <v>2026</v>
      </c>
      <c r="C1242" s="3" t="s">
        <v>2963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59"/>
        <v>24</v>
      </c>
      <c r="R1242" s="53" t="str">
        <f t="shared" si="60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3">
        <f t="shared" si="61"/>
        <v>51</v>
      </c>
      <c r="Z1242" s="18">
        <v>46158</v>
      </c>
      <c r="AA1242" s="15"/>
      <c r="AB1242" s="15"/>
    </row>
    <row r="1243" spans="1:28" hidden="1">
      <c r="A1243" s="6">
        <v>46107</v>
      </c>
      <c r="B1243" s="3">
        <v>2026</v>
      </c>
      <c r="C1243" s="3" t="s">
        <v>2963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59"/>
        <v>24</v>
      </c>
      <c r="R1243" s="53" t="str">
        <f t="shared" si="60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3">
        <f t="shared" si="61"/>
        <v>51</v>
      </c>
      <c r="Z1243" s="18">
        <v>46158</v>
      </c>
      <c r="AA1243" s="15"/>
      <c r="AB1243" s="15"/>
    </row>
    <row r="1244" spans="1:28" hidden="1">
      <c r="A1244" s="6">
        <v>46107</v>
      </c>
      <c r="B1244" s="3">
        <v>2026</v>
      </c>
      <c r="C1244" s="3" t="s">
        <v>2963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59"/>
        <v>24</v>
      </c>
      <c r="R1244" s="53" t="str">
        <f t="shared" si="60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3">
        <f t="shared" si="61"/>
        <v>51</v>
      </c>
      <c r="Z1244" s="18">
        <v>46158</v>
      </c>
      <c r="AA1244" s="15"/>
      <c r="AB1244" s="15"/>
    </row>
    <row r="1245" spans="1:28" hidden="1">
      <c r="A1245" s="6">
        <v>46107</v>
      </c>
      <c r="B1245" s="3">
        <v>2026</v>
      </c>
      <c r="C1245" s="3" t="s">
        <v>2963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59"/>
        <v>24</v>
      </c>
      <c r="R1245" s="53" t="str">
        <f t="shared" si="60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3">
        <f t="shared" si="61"/>
        <v>51</v>
      </c>
      <c r="Z1245" s="18">
        <v>46158</v>
      </c>
      <c r="AA1245" s="15"/>
      <c r="AB1245" s="15"/>
    </row>
    <row r="1246" spans="1:28" hidden="1">
      <c r="A1246" s="6">
        <v>46107</v>
      </c>
      <c r="B1246" s="3">
        <v>2026</v>
      </c>
      <c r="C1246" s="3" t="s">
        <v>2963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59"/>
        <v>24</v>
      </c>
      <c r="R1246" s="53" t="str">
        <f t="shared" si="60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3">
        <f t="shared" si="61"/>
        <v>51</v>
      </c>
      <c r="Z1246" s="18">
        <v>46158</v>
      </c>
      <c r="AA1246" s="15"/>
      <c r="AB1246" s="15"/>
    </row>
    <row r="1247" spans="1:28" hidden="1">
      <c r="A1247" s="6">
        <v>46107</v>
      </c>
      <c r="B1247" s="3">
        <v>2026</v>
      </c>
      <c r="C1247" s="3" t="s">
        <v>2963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59"/>
        <v>24</v>
      </c>
      <c r="R1247" s="53" t="str">
        <f t="shared" si="60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3">
        <f t="shared" si="61"/>
        <v>51</v>
      </c>
      <c r="Z1247" s="18">
        <v>46158</v>
      </c>
      <c r="AA1247" s="15"/>
      <c r="AB1247" s="15"/>
    </row>
    <row r="1248" spans="1:28" hidden="1">
      <c r="A1248" s="6">
        <v>46107</v>
      </c>
      <c r="B1248" s="3">
        <v>2026</v>
      </c>
      <c r="C1248" s="3" t="s">
        <v>2963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59"/>
        <v>24</v>
      </c>
      <c r="R1248" s="53" t="str">
        <f t="shared" si="60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3">
        <f t="shared" si="61"/>
        <v>51</v>
      </c>
      <c r="Z1248" s="18">
        <v>46158</v>
      </c>
      <c r="AA1248" s="15"/>
      <c r="AB1248" s="15"/>
    </row>
    <row r="1249" spans="1:28" hidden="1">
      <c r="A1249" s="6">
        <v>46107</v>
      </c>
      <c r="B1249" s="3">
        <v>2026</v>
      </c>
      <c r="C1249" s="3" t="s">
        <v>2963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59"/>
        <v>24</v>
      </c>
      <c r="R1249" s="53" t="str">
        <f t="shared" si="60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3">
        <f t="shared" si="61"/>
        <v>51</v>
      </c>
      <c r="Z1249" s="18">
        <v>46158</v>
      </c>
      <c r="AA1249" s="15"/>
      <c r="AB1249" s="15"/>
    </row>
    <row r="1250" spans="1:28" hidden="1">
      <c r="A1250" s="6">
        <v>46107</v>
      </c>
      <c r="B1250" s="3">
        <v>2026</v>
      </c>
      <c r="C1250" s="3" t="s">
        <v>2963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59"/>
        <v>24</v>
      </c>
      <c r="R1250" s="53" t="str">
        <f t="shared" si="60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3">
        <f t="shared" si="61"/>
        <v>51</v>
      </c>
      <c r="Z1250" s="18">
        <v>46158</v>
      </c>
      <c r="AA1250" s="15"/>
      <c r="AB1250" s="15"/>
    </row>
    <row r="1251" spans="1:28" hidden="1">
      <c r="A1251" s="6">
        <v>46107</v>
      </c>
      <c r="B1251" s="3">
        <v>2026</v>
      </c>
      <c r="C1251" s="3" t="s">
        <v>2963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59"/>
        <v>24</v>
      </c>
      <c r="R1251" s="53" t="str">
        <f t="shared" si="60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3">
        <f t="shared" si="61"/>
        <v>51</v>
      </c>
      <c r="Z1251" s="18">
        <v>46158</v>
      </c>
      <c r="AA1251" s="15"/>
      <c r="AB1251" s="15"/>
    </row>
    <row r="1252" spans="1:28" hidden="1">
      <c r="A1252" s="6">
        <v>46107</v>
      </c>
      <c r="B1252" s="3">
        <v>2026</v>
      </c>
      <c r="C1252" s="3" t="s">
        <v>2963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59"/>
        <v>24</v>
      </c>
      <c r="R1252" s="53" t="str">
        <f t="shared" si="60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3">
        <f t="shared" si="61"/>
        <v>51</v>
      </c>
      <c r="Z1252" s="18">
        <v>46158</v>
      </c>
      <c r="AA1252" s="15"/>
      <c r="AB1252" s="15"/>
    </row>
    <row r="1253" spans="1:28" hidden="1">
      <c r="A1253" s="6">
        <v>46107</v>
      </c>
      <c r="B1253" s="3">
        <v>2026</v>
      </c>
      <c r="C1253" s="3" t="s">
        <v>2963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59"/>
        <v>24</v>
      </c>
      <c r="R1253" s="53" t="str">
        <f t="shared" si="60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3">
        <f t="shared" si="61"/>
        <v>51</v>
      </c>
      <c r="Z1253" s="18">
        <v>46158</v>
      </c>
      <c r="AA1253" s="15"/>
      <c r="AB1253" s="15"/>
    </row>
    <row r="1254" spans="1:28" hidden="1">
      <c r="A1254" s="6">
        <v>46107</v>
      </c>
      <c r="B1254" s="3">
        <v>2026</v>
      </c>
      <c r="C1254" s="3" t="s">
        <v>2963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59"/>
        <v>24</v>
      </c>
      <c r="R1254" s="53" t="str">
        <f t="shared" si="60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3">
        <f t="shared" si="61"/>
        <v>51</v>
      </c>
      <c r="Z1254" s="18">
        <v>46158</v>
      </c>
      <c r="AA1254" s="15"/>
      <c r="AB1254" s="15"/>
    </row>
    <row r="1255" spans="1:28" hidden="1">
      <c r="A1255" s="6">
        <v>46107</v>
      </c>
      <c r="B1255" s="3">
        <v>2026</v>
      </c>
      <c r="C1255" s="3" t="s">
        <v>2963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62">MID(P1255,5,2)</f>
        <v>24</v>
      </c>
      <c r="R1255" s="53" t="str">
        <f t="shared" ref="R1255:R1318" si="63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3">
        <f t="shared" si="61"/>
        <v>51</v>
      </c>
      <c r="Z1255" s="18">
        <v>46158</v>
      </c>
      <c r="AA1255" s="15"/>
      <c r="AB1255" s="15"/>
    </row>
    <row r="1256" spans="1:28" hidden="1">
      <c r="A1256" s="6">
        <v>46107</v>
      </c>
      <c r="B1256" s="3">
        <v>2026</v>
      </c>
      <c r="C1256" s="3" t="s">
        <v>2963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62"/>
        <v>24</v>
      </c>
      <c r="R1256" s="53" t="str">
        <f t="shared" si="63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3">
        <f t="shared" si="61"/>
        <v>51</v>
      </c>
      <c r="Z1256" s="18">
        <v>46158</v>
      </c>
      <c r="AA1256" s="15"/>
      <c r="AB1256" s="15"/>
    </row>
    <row r="1257" spans="1:28" hidden="1">
      <c r="A1257" s="6">
        <v>46107</v>
      </c>
      <c r="B1257" s="3">
        <v>2026</v>
      </c>
      <c r="C1257" s="3" t="s">
        <v>2963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62"/>
        <v>24</v>
      </c>
      <c r="R1257" s="53" t="str">
        <f t="shared" si="63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3">
        <f t="shared" si="61"/>
        <v>51</v>
      </c>
      <c r="Z1257" s="18">
        <v>46158</v>
      </c>
      <c r="AA1257" s="15"/>
      <c r="AB1257" s="15"/>
    </row>
    <row r="1258" spans="1:28" hidden="1">
      <c r="A1258" s="6">
        <v>46107</v>
      </c>
      <c r="B1258" s="3">
        <v>2026</v>
      </c>
      <c r="C1258" s="3" t="s">
        <v>2963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62"/>
        <v>24</v>
      </c>
      <c r="R1258" s="53" t="str">
        <f t="shared" si="63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3">
        <f t="shared" si="61"/>
        <v>51</v>
      </c>
      <c r="Z1258" s="18">
        <v>46158</v>
      </c>
      <c r="AA1258" s="15"/>
      <c r="AB1258" s="15"/>
    </row>
    <row r="1259" spans="1:28" hidden="1">
      <c r="A1259" s="6">
        <v>46107</v>
      </c>
      <c r="B1259" s="3">
        <v>2026</v>
      </c>
      <c r="C1259" s="3" t="s">
        <v>2963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62"/>
        <v>24</v>
      </c>
      <c r="R1259" s="53" t="str">
        <f t="shared" si="63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3">
        <f t="shared" si="61"/>
        <v>51</v>
      </c>
      <c r="Z1259" s="18">
        <v>46158</v>
      </c>
      <c r="AA1259" s="15"/>
      <c r="AB1259" s="15"/>
    </row>
    <row r="1260" spans="1:28" hidden="1">
      <c r="A1260" s="6">
        <v>46107</v>
      </c>
      <c r="B1260" s="3">
        <v>2026</v>
      </c>
      <c r="C1260" s="3" t="s">
        <v>2963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62"/>
        <v>24</v>
      </c>
      <c r="R1260" s="53" t="str">
        <f t="shared" si="63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3">
        <f t="shared" si="61"/>
        <v>51</v>
      </c>
      <c r="Z1260" s="18">
        <v>46158</v>
      </c>
      <c r="AA1260" s="15"/>
      <c r="AB1260" s="15"/>
    </row>
    <row r="1261" spans="1:28" hidden="1">
      <c r="A1261" s="6">
        <v>46107</v>
      </c>
      <c r="B1261" s="3">
        <v>2026</v>
      </c>
      <c r="C1261" s="3" t="s">
        <v>2963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62"/>
        <v>24</v>
      </c>
      <c r="R1261" s="53" t="str">
        <f t="shared" si="63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3">
        <f t="shared" si="61"/>
        <v>51</v>
      </c>
      <c r="Z1261" s="18">
        <v>46158</v>
      </c>
      <c r="AA1261" s="15"/>
      <c r="AB1261" s="15"/>
    </row>
    <row r="1262" spans="1:28" hidden="1">
      <c r="A1262" s="6">
        <v>46107</v>
      </c>
      <c r="B1262" s="3">
        <v>2026</v>
      </c>
      <c r="C1262" s="3" t="s">
        <v>2963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62"/>
        <v>24</v>
      </c>
      <c r="R1262" s="53" t="str">
        <f t="shared" si="63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3">
        <f t="shared" si="61"/>
        <v>52</v>
      </c>
      <c r="Z1262" s="18">
        <v>46159</v>
      </c>
      <c r="AA1262" s="15"/>
      <c r="AB1262" s="15"/>
    </row>
    <row r="1263" spans="1:28" hidden="1">
      <c r="A1263" s="6">
        <v>46107</v>
      </c>
      <c r="B1263" s="3">
        <v>2026</v>
      </c>
      <c r="C1263" s="3" t="s">
        <v>2963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62"/>
        <v>24</v>
      </c>
      <c r="R1263" s="53" t="str">
        <f t="shared" si="63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3">
        <f t="shared" si="61"/>
        <v>52</v>
      </c>
      <c r="Z1263" s="18">
        <v>46159</v>
      </c>
      <c r="AA1263" s="15"/>
      <c r="AB1263" s="15"/>
    </row>
    <row r="1264" spans="1:28" hidden="1">
      <c r="A1264" s="6">
        <v>46107</v>
      </c>
      <c r="B1264" s="3">
        <v>2026</v>
      </c>
      <c r="C1264" s="3" t="s">
        <v>2963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62"/>
        <v>24</v>
      </c>
      <c r="R1264" s="53" t="str">
        <f t="shared" si="63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3">
        <f t="shared" si="61"/>
        <v>52</v>
      </c>
      <c r="Z1264" s="18">
        <v>46159</v>
      </c>
      <c r="AA1264" s="15"/>
      <c r="AB1264" s="15"/>
    </row>
    <row r="1265" spans="1:28" hidden="1">
      <c r="A1265" s="6">
        <v>46107</v>
      </c>
      <c r="B1265" s="3">
        <v>2026</v>
      </c>
      <c r="C1265" s="3" t="s">
        <v>2963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62"/>
        <v>24</v>
      </c>
      <c r="R1265" s="53" t="str">
        <f t="shared" si="63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3">
        <f t="shared" si="61"/>
        <v>52</v>
      </c>
      <c r="Z1265" s="18">
        <v>46159</v>
      </c>
      <c r="AA1265" s="15"/>
      <c r="AB1265" s="15"/>
    </row>
    <row r="1266" spans="1:28" hidden="1">
      <c r="A1266" s="6">
        <v>46107</v>
      </c>
      <c r="B1266" s="3">
        <v>2026</v>
      </c>
      <c r="C1266" s="3" t="s">
        <v>2963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62"/>
        <v>24</v>
      </c>
      <c r="R1266" s="53" t="str">
        <f t="shared" si="63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3">
        <f t="shared" si="61"/>
        <v>52</v>
      </c>
      <c r="Z1266" s="18">
        <v>46159</v>
      </c>
      <c r="AA1266" s="15"/>
      <c r="AB1266" s="15"/>
    </row>
    <row r="1267" spans="1:28" hidden="1">
      <c r="A1267" s="6">
        <v>46107</v>
      </c>
      <c r="B1267" s="3">
        <v>2026</v>
      </c>
      <c r="C1267" s="3" t="s">
        <v>2963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62"/>
        <v>24</v>
      </c>
      <c r="R1267" s="53" t="str">
        <f t="shared" si="63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3">
        <f t="shared" si="61"/>
        <v>52</v>
      </c>
      <c r="Z1267" s="18">
        <v>46159</v>
      </c>
      <c r="AA1267" s="15"/>
      <c r="AB1267" s="15"/>
    </row>
    <row r="1268" spans="1:28" hidden="1">
      <c r="A1268" s="6">
        <v>46107</v>
      </c>
      <c r="B1268" s="3">
        <v>2026</v>
      </c>
      <c r="C1268" s="3" t="s">
        <v>2963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62"/>
        <v>24</v>
      </c>
      <c r="R1268" s="53" t="str">
        <f t="shared" si="63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3">
        <f t="shared" si="61"/>
        <v>52</v>
      </c>
      <c r="Z1268" s="18">
        <v>46159</v>
      </c>
      <c r="AA1268" s="15"/>
      <c r="AB1268" s="15"/>
    </row>
    <row r="1269" spans="1:28" hidden="1">
      <c r="A1269" s="6">
        <v>46107</v>
      </c>
      <c r="B1269" s="3">
        <v>2026</v>
      </c>
      <c r="C1269" s="3" t="s">
        <v>2963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62"/>
        <v>24</v>
      </c>
      <c r="R1269" s="53" t="str">
        <f t="shared" si="63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3">
        <f t="shared" si="61"/>
        <v>52</v>
      </c>
      <c r="Z1269" s="18">
        <v>46159</v>
      </c>
      <c r="AA1269" s="15"/>
      <c r="AB1269" s="15"/>
    </row>
    <row r="1270" spans="1:28" hidden="1">
      <c r="A1270" s="6">
        <v>46107</v>
      </c>
      <c r="B1270" s="3">
        <v>2026</v>
      </c>
      <c r="C1270" s="3" t="s">
        <v>2963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62"/>
        <v>24</v>
      </c>
      <c r="R1270" s="53" t="str">
        <f t="shared" si="63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3">
        <f t="shared" si="61"/>
        <v>52</v>
      </c>
      <c r="Z1270" s="18">
        <v>46159</v>
      </c>
      <c r="AA1270" s="15"/>
      <c r="AB1270" s="15"/>
    </row>
    <row r="1271" spans="1:28" hidden="1">
      <c r="A1271" s="6">
        <v>46107</v>
      </c>
      <c r="B1271" s="3">
        <v>2026</v>
      </c>
      <c r="C1271" s="3" t="s">
        <v>2963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62"/>
        <v>24</v>
      </c>
      <c r="R1271" s="53" t="str">
        <f t="shared" si="63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3">
        <f t="shared" si="61"/>
        <v>52</v>
      </c>
      <c r="Z1271" s="18">
        <v>46159</v>
      </c>
      <c r="AA1271" s="15"/>
      <c r="AB1271" s="15"/>
    </row>
    <row r="1272" spans="1:28" hidden="1">
      <c r="A1272" s="6">
        <v>46107</v>
      </c>
      <c r="B1272" s="3">
        <v>2026</v>
      </c>
      <c r="C1272" s="3" t="s">
        <v>2963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62"/>
        <v>24</v>
      </c>
      <c r="R1272" s="53" t="str">
        <f t="shared" si="63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3">
        <f t="shared" si="61"/>
        <v>52</v>
      </c>
      <c r="Z1272" s="18">
        <v>46159</v>
      </c>
      <c r="AA1272" s="15"/>
      <c r="AB1272" s="15"/>
    </row>
    <row r="1273" spans="1:28" hidden="1">
      <c r="A1273" s="6">
        <v>46107</v>
      </c>
      <c r="B1273" s="3">
        <v>2026</v>
      </c>
      <c r="C1273" s="3" t="s">
        <v>2963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62"/>
        <v>24</v>
      </c>
      <c r="R1273" s="53" t="str">
        <f t="shared" si="63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3">
        <f t="shared" si="61"/>
        <v>52</v>
      </c>
      <c r="Z1273" s="18">
        <v>46159</v>
      </c>
      <c r="AA1273" s="15"/>
      <c r="AB1273" s="15"/>
    </row>
    <row r="1274" spans="1:28" hidden="1">
      <c r="A1274" s="6">
        <v>46107</v>
      </c>
      <c r="B1274" s="3">
        <v>2026</v>
      </c>
      <c r="C1274" s="3" t="s">
        <v>2963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62"/>
        <v>24</v>
      </c>
      <c r="R1274" s="53" t="str">
        <f t="shared" si="63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3">
        <f t="shared" si="61"/>
        <v>52</v>
      </c>
      <c r="Z1274" s="18">
        <v>46159</v>
      </c>
      <c r="AA1274" s="15"/>
      <c r="AB1274" s="15"/>
    </row>
    <row r="1275" spans="1:28" hidden="1">
      <c r="A1275" s="6">
        <v>46107</v>
      </c>
      <c r="B1275" s="3">
        <v>2026</v>
      </c>
      <c r="C1275" s="3" t="s">
        <v>2963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62"/>
        <v>24</v>
      </c>
      <c r="R1275" s="53" t="str">
        <f t="shared" si="63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3">
        <f t="shared" si="61"/>
        <v>52</v>
      </c>
      <c r="Z1275" s="18">
        <v>46159</v>
      </c>
      <c r="AA1275" s="15"/>
      <c r="AB1275" s="15"/>
    </row>
    <row r="1276" spans="1:28" hidden="1">
      <c r="A1276" s="6">
        <v>46107</v>
      </c>
      <c r="B1276" s="3">
        <v>2026</v>
      </c>
      <c r="C1276" s="3" t="s">
        <v>2963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62"/>
        <v>24</v>
      </c>
      <c r="R1276" s="53" t="str">
        <f t="shared" si="63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3">
        <f t="shared" si="61"/>
        <v>52</v>
      </c>
      <c r="Z1276" s="18">
        <v>46159</v>
      </c>
      <c r="AA1276" s="15"/>
      <c r="AB1276" s="15"/>
    </row>
    <row r="1277" spans="1:28" hidden="1">
      <c r="A1277" s="6">
        <v>46107</v>
      </c>
      <c r="B1277" s="3">
        <v>2026</v>
      </c>
      <c r="C1277" s="3" t="s">
        <v>2963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62"/>
        <v>24</v>
      </c>
      <c r="R1277" s="53" t="str">
        <f t="shared" si="63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3">
        <f t="shared" si="61"/>
        <v>52</v>
      </c>
      <c r="Z1277" s="18">
        <v>46159</v>
      </c>
      <c r="AA1277" s="15"/>
      <c r="AB1277" s="15"/>
    </row>
    <row r="1278" spans="1:28" hidden="1">
      <c r="A1278" s="6">
        <v>46107</v>
      </c>
      <c r="B1278" s="3">
        <v>2026</v>
      </c>
      <c r="C1278" s="3" t="s">
        <v>2963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62"/>
        <v>24</v>
      </c>
      <c r="R1278" s="53" t="str">
        <f t="shared" si="63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3">
        <f t="shared" si="61"/>
        <v>52</v>
      </c>
      <c r="Z1278" s="18">
        <v>46159</v>
      </c>
      <c r="AA1278" s="15"/>
      <c r="AB1278" s="15"/>
    </row>
    <row r="1279" spans="1:28" hidden="1">
      <c r="A1279" s="6">
        <v>46107</v>
      </c>
      <c r="B1279" s="3">
        <v>2026</v>
      </c>
      <c r="C1279" s="3" t="s">
        <v>2963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62"/>
        <v>24</v>
      </c>
      <c r="R1279" s="53" t="str">
        <f t="shared" si="63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3">
        <f t="shared" si="61"/>
        <v>52</v>
      </c>
      <c r="Z1279" s="18">
        <v>46159</v>
      </c>
      <c r="AA1279" s="15"/>
      <c r="AB1279" s="15"/>
    </row>
    <row r="1280" spans="1:28" hidden="1">
      <c r="A1280" s="6">
        <v>46107</v>
      </c>
      <c r="B1280" s="3">
        <v>2026</v>
      </c>
      <c r="C1280" s="3" t="s">
        <v>2963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62"/>
        <v>24</v>
      </c>
      <c r="R1280" s="53" t="str">
        <f t="shared" si="63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3">
        <f t="shared" si="61"/>
        <v>52</v>
      </c>
      <c r="Z1280" s="18">
        <v>46159</v>
      </c>
      <c r="AA1280" s="15"/>
      <c r="AB1280" s="15"/>
    </row>
    <row r="1281" spans="1:28" hidden="1">
      <c r="A1281" s="6">
        <v>46107</v>
      </c>
      <c r="B1281" s="3">
        <v>2026</v>
      </c>
      <c r="C1281" s="3" t="s">
        <v>2963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62"/>
        <v>24</v>
      </c>
      <c r="R1281" s="53" t="str">
        <f t="shared" si="63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3">
        <f t="shared" si="61"/>
        <v>52</v>
      </c>
      <c r="Z1281" s="18">
        <v>46159</v>
      </c>
      <c r="AA1281" s="15"/>
      <c r="AB1281" s="15"/>
    </row>
    <row r="1282" spans="1:28" hidden="1">
      <c r="A1282" s="6">
        <v>46107</v>
      </c>
      <c r="B1282" s="3">
        <v>2026</v>
      </c>
      <c r="C1282" s="3" t="s">
        <v>2963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62"/>
        <v>24</v>
      </c>
      <c r="R1282" s="53" t="str">
        <f t="shared" si="63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3">
        <f t="shared" ref="Y1282:Y1345" si="64">X1282-A1282</f>
        <v>52</v>
      </c>
      <c r="Z1282" s="18">
        <v>46159</v>
      </c>
      <c r="AA1282" s="15"/>
      <c r="AB1282" s="15"/>
    </row>
    <row r="1283" spans="1:28" hidden="1">
      <c r="A1283" s="6">
        <v>46107</v>
      </c>
      <c r="B1283" s="3">
        <v>2026</v>
      </c>
      <c r="C1283" s="3" t="s">
        <v>2963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62"/>
        <v>24</v>
      </c>
      <c r="R1283" s="53" t="str">
        <f t="shared" si="63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3">
        <f t="shared" si="64"/>
        <v>52</v>
      </c>
      <c r="Z1283" s="18">
        <v>46159</v>
      </c>
      <c r="AA1283" s="15"/>
      <c r="AB1283" s="15"/>
    </row>
    <row r="1284" spans="1:28" hidden="1">
      <c r="A1284" s="6">
        <v>46107</v>
      </c>
      <c r="B1284" s="3">
        <v>2026</v>
      </c>
      <c r="C1284" s="3" t="s">
        <v>2963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62"/>
        <v>24</v>
      </c>
      <c r="R1284" s="53" t="str">
        <f t="shared" si="63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3">
        <f t="shared" si="64"/>
        <v>52</v>
      </c>
      <c r="Z1284" s="18">
        <v>46159</v>
      </c>
      <c r="AA1284" s="15"/>
      <c r="AB1284" s="15"/>
    </row>
    <row r="1285" spans="1:28" hidden="1">
      <c r="A1285" s="6">
        <v>46107</v>
      </c>
      <c r="B1285" s="3">
        <v>2026</v>
      </c>
      <c r="C1285" s="3" t="s">
        <v>2963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62"/>
        <v>24</v>
      </c>
      <c r="R1285" s="53" t="str">
        <f t="shared" si="63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3">
        <f t="shared" si="64"/>
        <v>52</v>
      </c>
      <c r="Z1285" s="18">
        <v>46159</v>
      </c>
      <c r="AA1285" s="15"/>
      <c r="AB1285" s="15"/>
    </row>
    <row r="1286" spans="1:28" hidden="1">
      <c r="A1286" s="6">
        <v>46107</v>
      </c>
      <c r="B1286" s="3">
        <v>2026</v>
      </c>
      <c r="C1286" s="3" t="s">
        <v>2963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62"/>
        <v>24</v>
      </c>
      <c r="R1286" s="53" t="str">
        <f t="shared" si="63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3">
        <f t="shared" si="64"/>
        <v>52</v>
      </c>
      <c r="Z1286" s="18">
        <v>46159</v>
      </c>
      <c r="AA1286" s="15"/>
      <c r="AB1286" s="15"/>
    </row>
    <row r="1287" spans="1:28" hidden="1">
      <c r="A1287" s="6">
        <v>46107</v>
      </c>
      <c r="B1287" s="3">
        <v>2026</v>
      </c>
      <c r="C1287" s="3" t="s">
        <v>2963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62"/>
        <v>24</v>
      </c>
      <c r="R1287" s="53" t="str">
        <f t="shared" si="63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3">
        <f t="shared" si="64"/>
        <v>52</v>
      </c>
      <c r="Z1287" s="18">
        <v>46159</v>
      </c>
      <c r="AA1287" s="15"/>
      <c r="AB1287" s="15"/>
    </row>
    <row r="1288" spans="1:28" hidden="1">
      <c r="A1288" s="6">
        <v>46107</v>
      </c>
      <c r="B1288" s="3">
        <v>2026</v>
      </c>
      <c r="C1288" s="3" t="s">
        <v>2963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62"/>
        <v>24</v>
      </c>
      <c r="R1288" s="53" t="str">
        <f t="shared" si="63"/>
        <v>05</v>
      </c>
      <c r="S1288" s="3" t="s">
        <v>121</v>
      </c>
      <c r="T1288" s="3" t="s">
        <v>122</v>
      </c>
      <c r="U1288" s="3" t="s">
        <v>1475</v>
      </c>
      <c r="V1288" s="3" t="s">
        <v>64</v>
      </c>
      <c r="W1288" s="3" t="s">
        <v>74</v>
      </c>
      <c r="X1288" s="18"/>
      <c r="Y1288" s="3">
        <f t="shared" si="64"/>
        <v>-46107</v>
      </c>
      <c r="Z1288" s="18">
        <v>46159</v>
      </c>
      <c r="AA1288" s="15"/>
      <c r="AB1288" s="15"/>
    </row>
    <row r="1289" spans="1:28" hidden="1">
      <c r="A1289" s="6">
        <v>46107</v>
      </c>
      <c r="B1289" s="3">
        <v>2026</v>
      </c>
      <c r="C1289" s="3" t="s">
        <v>2963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62"/>
        <v>24</v>
      </c>
      <c r="R1289" s="53" t="str">
        <f t="shared" si="63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3">
        <f t="shared" si="64"/>
        <v>52</v>
      </c>
      <c r="Z1289" s="18">
        <v>46159</v>
      </c>
      <c r="AA1289" s="15"/>
      <c r="AB1289" s="15"/>
    </row>
    <row r="1290" spans="1:28" hidden="1">
      <c r="A1290" s="6">
        <v>46107</v>
      </c>
      <c r="B1290" s="3">
        <v>2026</v>
      </c>
      <c r="C1290" s="3" t="s">
        <v>2963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62"/>
        <v>24</v>
      </c>
      <c r="R1290" s="53" t="str">
        <f t="shared" si="63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3">
        <f t="shared" si="64"/>
        <v>52</v>
      </c>
      <c r="Z1290" s="18">
        <v>46159</v>
      </c>
      <c r="AA1290" s="15"/>
      <c r="AB1290" s="15"/>
    </row>
    <row r="1291" spans="1:28" hidden="1">
      <c r="A1291" s="6">
        <v>46107</v>
      </c>
      <c r="B1291" s="3">
        <v>2026</v>
      </c>
      <c r="C1291" s="3" t="s">
        <v>2963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62"/>
        <v>24</v>
      </c>
      <c r="R1291" s="53" t="str">
        <f t="shared" si="63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3">
        <f t="shared" si="64"/>
        <v>52</v>
      </c>
      <c r="Z1291" s="18">
        <v>46159</v>
      </c>
      <c r="AA1291" s="15"/>
      <c r="AB1291" s="15"/>
    </row>
    <row r="1292" spans="1:28" hidden="1">
      <c r="A1292" s="6">
        <v>46107</v>
      </c>
      <c r="B1292" s="3">
        <v>2026</v>
      </c>
      <c r="C1292" s="3" t="s">
        <v>2963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62"/>
        <v>24</v>
      </c>
      <c r="R1292" s="53" t="str">
        <f t="shared" si="63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3">
        <f t="shared" si="64"/>
        <v>52</v>
      </c>
      <c r="Z1292" s="18">
        <v>46159</v>
      </c>
      <c r="AA1292" s="15"/>
      <c r="AB1292" s="15"/>
    </row>
    <row r="1293" spans="1:28" hidden="1">
      <c r="A1293" s="6">
        <v>46107</v>
      </c>
      <c r="B1293" s="3">
        <v>2026</v>
      </c>
      <c r="C1293" s="3" t="s">
        <v>2963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62"/>
        <v>24</v>
      </c>
      <c r="R1293" s="53" t="str">
        <f t="shared" si="63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3">
        <f t="shared" si="64"/>
        <v>52</v>
      </c>
      <c r="Z1293" s="18">
        <v>46159</v>
      </c>
      <c r="AA1293" s="15"/>
      <c r="AB1293" s="15"/>
    </row>
    <row r="1294" spans="1:28" hidden="1">
      <c r="A1294" s="6">
        <v>46107</v>
      </c>
      <c r="B1294" s="3">
        <v>2026</v>
      </c>
      <c r="C1294" s="3" t="s">
        <v>2963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62"/>
        <v>24</v>
      </c>
      <c r="R1294" s="53" t="str">
        <f t="shared" si="63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3">
        <f t="shared" si="64"/>
        <v>52</v>
      </c>
      <c r="Z1294" s="18">
        <v>46159</v>
      </c>
      <c r="AA1294" s="15"/>
      <c r="AB1294" s="15"/>
    </row>
    <row r="1295" spans="1:28" hidden="1">
      <c r="A1295" s="6">
        <v>46107</v>
      </c>
      <c r="B1295" s="3">
        <v>2026</v>
      </c>
      <c r="C1295" s="3" t="s">
        <v>2963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62"/>
        <v>24</v>
      </c>
      <c r="R1295" s="53" t="str">
        <f t="shared" si="63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3">
        <f t="shared" si="64"/>
        <v>52</v>
      </c>
      <c r="Z1295" s="18">
        <v>46159</v>
      </c>
      <c r="AA1295" s="15"/>
      <c r="AB1295" s="15"/>
    </row>
    <row r="1296" spans="1:28" hidden="1">
      <c r="A1296" s="6">
        <v>46107</v>
      </c>
      <c r="B1296" s="3">
        <v>2026</v>
      </c>
      <c r="C1296" s="3" t="s">
        <v>2963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62"/>
        <v>24</v>
      </c>
      <c r="R1296" s="53" t="str">
        <f t="shared" si="63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3">
        <f t="shared" si="64"/>
        <v>52</v>
      </c>
      <c r="Z1296" s="18">
        <v>46159</v>
      </c>
      <c r="AA1296" s="15"/>
      <c r="AB1296" s="15"/>
    </row>
    <row r="1297" spans="1:28" hidden="1">
      <c r="A1297" s="6">
        <v>46107</v>
      </c>
      <c r="B1297" s="3">
        <v>2026</v>
      </c>
      <c r="C1297" s="3" t="s">
        <v>2963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62"/>
        <v>24</v>
      </c>
      <c r="R1297" s="53" t="str">
        <f t="shared" si="63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3">
        <f t="shared" si="64"/>
        <v>52</v>
      </c>
      <c r="Z1297" s="18">
        <v>46159</v>
      </c>
      <c r="AA1297" s="15"/>
      <c r="AB1297" s="15"/>
    </row>
    <row r="1298" spans="1:28" hidden="1">
      <c r="A1298" s="6">
        <v>46107</v>
      </c>
      <c r="B1298" s="3">
        <v>2026</v>
      </c>
      <c r="C1298" s="3" t="s">
        <v>2963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62"/>
        <v>24</v>
      </c>
      <c r="R1298" s="53" t="str">
        <f t="shared" si="63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3">
        <f t="shared" si="64"/>
        <v>52</v>
      </c>
      <c r="Z1298" s="18">
        <v>46159</v>
      </c>
      <c r="AA1298" s="15"/>
      <c r="AB1298" s="15"/>
    </row>
    <row r="1299" spans="1:28" hidden="1">
      <c r="A1299" s="6">
        <v>46107</v>
      </c>
      <c r="B1299" s="3">
        <v>2026</v>
      </c>
      <c r="C1299" s="3" t="s">
        <v>2963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62"/>
        <v>24</v>
      </c>
      <c r="R1299" s="53" t="str">
        <f t="shared" si="63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3">
        <f t="shared" si="64"/>
        <v>52</v>
      </c>
      <c r="Z1299" s="18">
        <v>46159</v>
      </c>
      <c r="AA1299" s="15"/>
      <c r="AB1299" s="15"/>
    </row>
    <row r="1300" spans="1:28" hidden="1">
      <c r="A1300" s="6">
        <v>46107</v>
      </c>
      <c r="B1300" s="3">
        <v>2026</v>
      </c>
      <c r="C1300" s="3" t="s">
        <v>2963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62"/>
        <v>24</v>
      </c>
      <c r="R1300" s="53" t="str">
        <f t="shared" si="63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3">
        <f t="shared" si="64"/>
        <v>52</v>
      </c>
      <c r="Z1300" s="18">
        <v>46159</v>
      </c>
      <c r="AA1300" s="15"/>
      <c r="AB1300" s="15"/>
    </row>
    <row r="1301" spans="1:28" hidden="1">
      <c r="A1301" s="6">
        <v>46107</v>
      </c>
      <c r="B1301" s="3">
        <v>2026</v>
      </c>
      <c r="C1301" s="3" t="s">
        <v>2963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62"/>
        <v>24</v>
      </c>
      <c r="R1301" s="53" t="str">
        <f t="shared" si="63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3">
        <f t="shared" si="64"/>
        <v>52</v>
      </c>
      <c r="Z1301" s="18">
        <v>46159</v>
      </c>
      <c r="AA1301" s="15"/>
      <c r="AB1301" s="15"/>
    </row>
    <row r="1302" spans="1:28" hidden="1">
      <c r="A1302" s="6">
        <v>46107</v>
      </c>
      <c r="B1302" s="3">
        <v>2026</v>
      </c>
      <c r="C1302" s="3" t="s">
        <v>2963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62"/>
        <v>24</v>
      </c>
      <c r="R1302" s="53" t="str">
        <f t="shared" si="63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3">
        <f t="shared" si="64"/>
        <v>52</v>
      </c>
      <c r="Z1302" s="18">
        <v>46159</v>
      </c>
      <c r="AA1302" s="15"/>
      <c r="AB1302" s="15"/>
    </row>
    <row r="1303" spans="1:28" hidden="1">
      <c r="A1303" s="6">
        <v>46107</v>
      </c>
      <c r="B1303" s="3">
        <v>2026</v>
      </c>
      <c r="C1303" s="3" t="s">
        <v>2963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62"/>
        <v>24</v>
      </c>
      <c r="R1303" s="53" t="str">
        <f t="shared" si="63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3">
        <f t="shared" si="64"/>
        <v>52</v>
      </c>
      <c r="Z1303" s="18">
        <v>46159</v>
      </c>
      <c r="AA1303" s="15"/>
      <c r="AB1303" s="15"/>
    </row>
    <row r="1304" spans="1:28" hidden="1">
      <c r="A1304" s="6">
        <v>46107</v>
      </c>
      <c r="B1304" s="3">
        <v>2026</v>
      </c>
      <c r="C1304" s="3" t="s">
        <v>2963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62"/>
        <v>24</v>
      </c>
      <c r="R1304" s="53" t="str">
        <f t="shared" si="63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3">
        <f t="shared" si="64"/>
        <v>52</v>
      </c>
      <c r="Z1304" s="18">
        <v>46159</v>
      </c>
      <c r="AA1304" s="15"/>
      <c r="AB1304" s="15"/>
    </row>
    <row r="1305" spans="1:28" hidden="1">
      <c r="A1305" s="6">
        <v>46107</v>
      </c>
      <c r="B1305" s="3">
        <v>2026</v>
      </c>
      <c r="C1305" s="3" t="s">
        <v>2963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62"/>
        <v>24</v>
      </c>
      <c r="R1305" s="53" t="str">
        <f t="shared" si="63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3">
        <f t="shared" si="64"/>
        <v>52</v>
      </c>
      <c r="Z1305" s="18">
        <v>46159</v>
      </c>
      <c r="AA1305" s="15"/>
      <c r="AB1305" s="15"/>
    </row>
    <row r="1306" spans="1:28" hidden="1">
      <c r="A1306" s="6">
        <v>46107</v>
      </c>
      <c r="B1306" s="3">
        <v>2026</v>
      </c>
      <c r="C1306" s="3" t="s">
        <v>2963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62"/>
        <v>24</v>
      </c>
      <c r="R1306" s="53" t="str">
        <f t="shared" si="63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3">
        <f t="shared" si="64"/>
        <v>52</v>
      </c>
      <c r="Z1306" s="18">
        <v>46159</v>
      </c>
      <c r="AA1306" s="15"/>
      <c r="AB1306" s="15"/>
    </row>
    <row r="1307" spans="1:28" hidden="1">
      <c r="A1307" s="6">
        <v>46107</v>
      </c>
      <c r="B1307" s="3">
        <v>2026</v>
      </c>
      <c r="C1307" s="3" t="s">
        <v>2963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62"/>
        <v>24</v>
      </c>
      <c r="R1307" s="53" t="str">
        <f t="shared" si="63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3">
        <f t="shared" si="64"/>
        <v>52</v>
      </c>
      <c r="Z1307" s="18">
        <v>46159</v>
      </c>
      <c r="AA1307" s="15"/>
      <c r="AB1307" s="15"/>
    </row>
    <row r="1308" spans="1:28" hidden="1">
      <c r="A1308" s="6">
        <v>46107</v>
      </c>
      <c r="B1308" s="3">
        <v>2026</v>
      </c>
      <c r="C1308" s="3" t="s">
        <v>2963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62"/>
        <v>24</v>
      </c>
      <c r="R1308" s="53" t="str">
        <f t="shared" si="63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3">
        <f t="shared" si="64"/>
        <v>52</v>
      </c>
      <c r="Z1308" s="18">
        <v>46159</v>
      </c>
      <c r="AA1308" s="15"/>
      <c r="AB1308" s="15"/>
    </row>
    <row r="1309" spans="1:28" hidden="1">
      <c r="A1309" s="6">
        <v>46107</v>
      </c>
      <c r="B1309" s="3">
        <v>2026</v>
      </c>
      <c r="C1309" s="3" t="s">
        <v>2963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62"/>
        <v>24</v>
      </c>
      <c r="R1309" s="53" t="str">
        <f t="shared" si="63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3">
        <f t="shared" si="64"/>
        <v>52</v>
      </c>
      <c r="Z1309" s="18">
        <v>46159</v>
      </c>
      <c r="AA1309" s="15"/>
      <c r="AB1309" s="15"/>
    </row>
    <row r="1310" spans="1:28" hidden="1">
      <c r="A1310" s="6">
        <v>46107</v>
      </c>
      <c r="B1310" s="3">
        <v>2026</v>
      </c>
      <c r="C1310" s="3" t="s">
        <v>2963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62"/>
        <v>24</v>
      </c>
      <c r="R1310" s="53" t="str">
        <f t="shared" si="63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3">
        <f t="shared" si="64"/>
        <v>52</v>
      </c>
      <c r="Z1310" s="18">
        <v>46159</v>
      </c>
      <c r="AA1310" s="15"/>
      <c r="AB1310" s="15"/>
    </row>
    <row r="1311" spans="1:28" hidden="1">
      <c r="A1311" s="6">
        <v>46107</v>
      </c>
      <c r="B1311" s="3">
        <v>2026</v>
      </c>
      <c r="C1311" s="3" t="s">
        <v>2963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62"/>
        <v>24</v>
      </c>
      <c r="R1311" s="53" t="str">
        <f t="shared" si="63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3">
        <f t="shared" si="64"/>
        <v>52</v>
      </c>
      <c r="Z1311" s="18">
        <v>46159</v>
      </c>
      <c r="AA1311" s="15"/>
      <c r="AB1311" s="15"/>
    </row>
    <row r="1312" spans="1:28" hidden="1">
      <c r="A1312" s="6">
        <v>46107</v>
      </c>
      <c r="B1312" s="3">
        <v>2026</v>
      </c>
      <c r="C1312" s="3" t="s">
        <v>2963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62"/>
        <v>24</v>
      </c>
      <c r="R1312" s="53" t="str">
        <f t="shared" si="63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3">
        <f t="shared" si="64"/>
        <v>52</v>
      </c>
      <c r="Z1312" s="18">
        <v>46159</v>
      </c>
      <c r="AA1312" s="15"/>
      <c r="AB1312" s="15"/>
    </row>
    <row r="1313" spans="1:28" hidden="1">
      <c r="A1313" s="6">
        <v>46107</v>
      </c>
      <c r="B1313" s="3">
        <v>2026</v>
      </c>
      <c r="C1313" s="3" t="s">
        <v>2963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62"/>
        <v>24</v>
      </c>
      <c r="R1313" s="53" t="str">
        <f t="shared" si="63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3">
        <f t="shared" si="64"/>
        <v>52</v>
      </c>
      <c r="Z1313" s="18">
        <v>46159</v>
      </c>
      <c r="AA1313" s="15"/>
      <c r="AB1313" s="15"/>
    </row>
    <row r="1314" spans="1:28" hidden="1">
      <c r="A1314" s="6">
        <v>46107</v>
      </c>
      <c r="B1314" s="3">
        <v>2026</v>
      </c>
      <c r="C1314" s="3" t="s">
        <v>2963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62"/>
        <v>24</v>
      </c>
      <c r="R1314" s="53" t="str">
        <f t="shared" si="63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3">
        <f t="shared" si="64"/>
        <v>52</v>
      </c>
      <c r="Z1314" s="18">
        <v>46159</v>
      </c>
      <c r="AA1314" s="15"/>
      <c r="AB1314" s="15"/>
    </row>
    <row r="1315" spans="1:28" hidden="1">
      <c r="A1315" s="6">
        <v>46107</v>
      </c>
      <c r="B1315" s="3">
        <v>2026</v>
      </c>
      <c r="C1315" s="3" t="s">
        <v>2963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62"/>
        <v>24</v>
      </c>
      <c r="R1315" s="53" t="str">
        <f t="shared" si="63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3">
        <f t="shared" si="64"/>
        <v>52</v>
      </c>
      <c r="Z1315" s="18">
        <v>46159</v>
      </c>
      <c r="AA1315" s="15"/>
      <c r="AB1315" s="15"/>
    </row>
    <row r="1316" spans="1:28" hidden="1">
      <c r="A1316" s="6">
        <v>46107</v>
      </c>
      <c r="B1316" s="3">
        <v>2026</v>
      </c>
      <c r="C1316" s="3" t="s">
        <v>2963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62"/>
        <v>24</v>
      </c>
      <c r="R1316" s="53" t="str">
        <f t="shared" si="63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3">
        <f t="shared" si="64"/>
        <v>52</v>
      </c>
      <c r="Z1316" s="18">
        <v>46159</v>
      </c>
      <c r="AA1316" s="15"/>
      <c r="AB1316" s="15"/>
    </row>
    <row r="1317" spans="1:28" hidden="1">
      <c r="A1317" s="6">
        <v>46107</v>
      </c>
      <c r="B1317" s="3">
        <v>2026</v>
      </c>
      <c r="C1317" s="3" t="s">
        <v>2963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62"/>
        <v>24</v>
      </c>
      <c r="R1317" s="53" t="str">
        <f t="shared" si="63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3">
        <f t="shared" si="64"/>
        <v>52</v>
      </c>
      <c r="Z1317" s="18">
        <v>46159</v>
      </c>
      <c r="AA1317" s="15"/>
      <c r="AB1317" s="15"/>
    </row>
    <row r="1318" spans="1:28" hidden="1">
      <c r="A1318" s="6">
        <v>46107</v>
      </c>
      <c r="B1318" s="3">
        <v>2026</v>
      </c>
      <c r="C1318" s="3" t="s">
        <v>2963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62"/>
        <v>24</v>
      </c>
      <c r="R1318" s="53" t="str">
        <f t="shared" si="63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3">
        <f t="shared" si="64"/>
        <v>52</v>
      </c>
      <c r="Z1318" s="18">
        <v>46159</v>
      </c>
      <c r="AA1318" s="15"/>
      <c r="AB1318" s="15"/>
    </row>
    <row r="1319" spans="1:28" hidden="1">
      <c r="A1319" s="6">
        <v>46107</v>
      </c>
      <c r="B1319" s="3">
        <v>2026</v>
      </c>
      <c r="C1319" s="3" t="s">
        <v>2963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65">MID(P1319,5,2)</f>
        <v>24</v>
      </c>
      <c r="R1319" s="53" t="str">
        <f t="shared" ref="R1319:R1382" si="6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3">
        <f t="shared" si="64"/>
        <v>52</v>
      </c>
      <c r="Z1319" s="18">
        <v>46159</v>
      </c>
      <c r="AA1319" s="15"/>
      <c r="AB1319" s="15"/>
    </row>
    <row r="1320" spans="1:28" hidden="1">
      <c r="A1320" s="6">
        <v>46107</v>
      </c>
      <c r="B1320" s="3">
        <v>2026</v>
      </c>
      <c r="C1320" s="3" t="s">
        <v>2963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65"/>
        <v>24</v>
      </c>
      <c r="R1320" s="53" t="str">
        <f t="shared" si="6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3">
        <f t="shared" si="64"/>
        <v>52</v>
      </c>
      <c r="Z1320" s="18">
        <v>46159</v>
      </c>
      <c r="AA1320" s="15"/>
      <c r="AB1320" s="15"/>
    </row>
    <row r="1321" spans="1:28" hidden="1">
      <c r="A1321" s="6">
        <v>46107</v>
      </c>
      <c r="B1321" s="3">
        <v>2026</v>
      </c>
      <c r="C1321" s="3" t="s">
        <v>2963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65"/>
        <v>24</v>
      </c>
      <c r="R1321" s="53" t="str">
        <f t="shared" si="6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3">
        <f t="shared" si="64"/>
        <v>52</v>
      </c>
      <c r="Z1321" s="18">
        <v>46159</v>
      </c>
      <c r="AA1321" s="15"/>
      <c r="AB1321" s="15"/>
    </row>
    <row r="1322" spans="1:28" hidden="1">
      <c r="A1322" s="6">
        <v>46107</v>
      </c>
      <c r="B1322" s="3">
        <v>2026</v>
      </c>
      <c r="C1322" s="3" t="s">
        <v>2963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65"/>
        <v>24</v>
      </c>
      <c r="R1322" s="53" t="str">
        <f t="shared" si="6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3">
        <f t="shared" si="64"/>
        <v>52</v>
      </c>
      <c r="Z1322" s="18">
        <v>46159</v>
      </c>
      <c r="AA1322" s="15"/>
      <c r="AB1322" s="15"/>
    </row>
    <row r="1323" spans="1:28" hidden="1">
      <c r="A1323" s="6">
        <v>46107</v>
      </c>
      <c r="B1323" s="3">
        <v>2026</v>
      </c>
      <c r="C1323" s="3" t="s">
        <v>2963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65"/>
        <v>24</v>
      </c>
      <c r="R1323" s="53" t="str">
        <f t="shared" si="6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3">
        <f t="shared" si="64"/>
        <v>52</v>
      </c>
      <c r="Z1323" s="18">
        <v>46159</v>
      </c>
      <c r="AA1323" s="15"/>
      <c r="AB1323" s="15"/>
    </row>
    <row r="1324" spans="1:28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65"/>
        <v>24</v>
      </c>
      <c r="R1324" s="53" t="str">
        <f t="shared" si="6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3">
        <f t="shared" si="64"/>
        <v>15</v>
      </c>
      <c r="Z1324" s="18">
        <v>46158</v>
      </c>
      <c r="AA1324" s="15"/>
      <c r="AB1324" s="15"/>
    </row>
    <row r="1325" spans="1:28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65"/>
        <v>24</v>
      </c>
      <c r="R1325" s="53" t="str">
        <f t="shared" si="6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3">
        <f t="shared" si="64"/>
        <v>15</v>
      </c>
      <c r="Z1325" s="18">
        <v>46158</v>
      </c>
      <c r="AA1325" s="15"/>
      <c r="AB1325" s="15"/>
    </row>
    <row r="1326" spans="1:28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65"/>
        <v>24</v>
      </c>
      <c r="R1326" s="53" t="str">
        <f t="shared" si="6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3">
        <f t="shared" si="64"/>
        <v>15</v>
      </c>
      <c r="Z1326" s="18">
        <v>46158</v>
      </c>
      <c r="AA1326" s="15"/>
      <c r="AB1326" s="15"/>
    </row>
    <row r="1327" spans="1:28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65"/>
        <v>24</v>
      </c>
      <c r="R1327" s="53" t="str">
        <f t="shared" si="6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3">
        <f t="shared" si="64"/>
        <v>15</v>
      </c>
      <c r="Z1327" s="18">
        <v>46158</v>
      </c>
      <c r="AA1327" s="15"/>
      <c r="AB1327" s="15"/>
    </row>
    <row r="1328" spans="1:28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65"/>
        <v>24</v>
      </c>
      <c r="R1328" s="53" t="str">
        <f t="shared" si="6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3">
        <f t="shared" si="64"/>
        <v>15</v>
      </c>
      <c r="Z1328" s="18">
        <v>46158</v>
      </c>
      <c r="AA1328" s="15"/>
      <c r="AB1328" s="15"/>
    </row>
    <row r="1329" spans="1:28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65"/>
        <v>24</v>
      </c>
      <c r="R1329" s="53" t="str">
        <f t="shared" si="6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3">
        <f t="shared" si="64"/>
        <v>15</v>
      </c>
      <c r="Z1329" s="18">
        <v>46158</v>
      </c>
      <c r="AA1329" s="15"/>
      <c r="AB1329" s="15"/>
    </row>
    <row r="1330" spans="1:28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65"/>
        <v>24</v>
      </c>
      <c r="R1330" s="53" t="str">
        <f t="shared" si="6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3">
        <f t="shared" si="64"/>
        <v>15</v>
      </c>
      <c r="Z1330" s="18">
        <v>46158</v>
      </c>
      <c r="AA1330" s="15"/>
      <c r="AB1330" s="15"/>
    </row>
    <row r="1331" spans="1:28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65"/>
        <v>24</v>
      </c>
      <c r="R1331" s="53" t="str">
        <f t="shared" si="6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3">
        <f t="shared" si="64"/>
        <v>15</v>
      </c>
      <c r="Z1331" s="18">
        <v>46158</v>
      </c>
      <c r="AA1331" s="15"/>
      <c r="AB1331" s="15"/>
    </row>
    <row r="1332" spans="1:28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65"/>
        <v>24</v>
      </c>
      <c r="R1332" s="53" t="str">
        <f t="shared" si="6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3">
        <f t="shared" si="64"/>
        <v>15</v>
      </c>
      <c r="Z1332" s="18">
        <v>46158</v>
      </c>
      <c r="AA1332" s="15"/>
      <c r="AB1332" s="15"/>
    </row>
    <row r="1333" spans="1:28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65"/>
        <v>24</v>
      </c>
      <c r="R1333" s="53" t="str">
        <f t="shared" si="6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3">
        <f t="shared" si="64"/>
        <v>15</v>
      </c>
      <c r="Z1333" s="18">
        <v>46158</v>
      </c>
      <c r="AA1333" s="15"/>
      <c r="AB1333" s="15"/>
    </row>
    <row r="1334" spans="1:28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65"/>
        <v>24</v>
      </c>
      <c r="R1334" s="53" t="str">
        <f t="shared" si="6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3">
        <f t="shared" si="64"/>
        <v>15</v>
      </c>
      <c r="Z1334" s="18">
        <v>46158</v>
      </c>
      <c r="AA1334" s="15"/>
      <c r="AB1334" s="15"/>
    </row>
    <row r="1335" spans="1:28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65"/>
        <v>24</v>
      </c>
      <c r="R1335" s="53" t="str">
        <f t="shared" si="6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3">
        <f t="shared" si="64"/>
        <v>15</v>
      </c>
      <c r="Z1335" s="18">
        <v>46158</v>
      </c>
      <c r="AA1335" s="15"/>
      <c r="AB1335" s="15"/>
    </row>
    <row r="1336" spans="1:28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65"/>
        <v>24</v>
      </c>
      <c r="R1336" s="53" t="str">
        <f t="shared" si="6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3">
        <f t="shared" si="64"/>
        <v>15</v>
      </c>
      <c r="Z1336" s="18">
        <v>46158</v>
      </c>
      <c r="AA1336" s="15"/>
      <c r="AB1336" s="15"/>
    </row>
    <row r="1337" spans="1:28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65"/>
        <v>24</v>
      </c>
      <c r="R1337" s="53" t="str">
        <f t="shared" si="6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3">
        <f t="shared" si="64"/>
        <v>15</v>
      </c>
      <c r="Z1337" s="18">
        <v>46158</v>
      </c>
      <c r="AA1337" s="15"/>
      <c r="AB1337" s="15"/>
    </row>
    <row r="1338" spans="1:28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65"/>
        <v>24</v>
      </c>
      <c r="R1338" s="53" t="str">
        <f t="shared" si="6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3">
        <f t="shared" si="64"/>
        <v>15</v>
      </c>
      <c r="Z1338" s="18">
        <v>46158</v>
      </c>
      <c r="AA1338" s="15"/>
      <c r="AB1338" s="15"/>
    </row>
    <row r="1339" spans="1:28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65"/>
        <v>24</v>
      </c>
      <c r="R1339" s="53" t="str">
        <f t="shared" si="6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3">
        <f t="shared" si="64"/>
        <v>15</v>
      </c>
      <c r="Z1339" s="18">
        <v>46158</v>
      </c>
      <c r="AA1339" s="15"/>
      <c r="AB1339" s="15"/>
    </row>
    <row r="1340" spans="1:28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65"/>
        <v>24</v>
      </c>
      <c r="R1340" s="53" t="str">
        <f t="shared" si="6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3">
        <f t="shared" si="64"/>
        <v>15</v>
      </c>
      <c r="Z1340" s="18">
        <v>46158</v>
      </c>
      <c r="AA1340" s="15"/>
      <c r="AB1340" s="15"/>
    </row>
    <row r="1341" spans="1:28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65"/>
        <v>24</v>
      </c>
      <c r="R1341" s="53" t="str">
        <f t="shared" si="6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3">
        <f t="shared" si="64"/>
        <v>15</v>
      </c>
      <c r="Z1341" s="18">
        <v>46158</v>
      </c>
      <c r="AA1341" s="15"/>
      <c r="AB1341" s="15"/>
    </row>
    <row r="1342" spans="1:28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65"/>
        <v>24</v>
      </c>
      <c r="R1342" s="53" t="str">
        <f t="shared" si="6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3">
        <f t="shared" si="64"/>
        <v>15</v>
      </c>
      <c r="Z1342" s="18">
        <v>46158</v>
      </c>
      <c r="AA1342" s="15"/>
      <c r="AB1342" s="15"/>
    </row>
    <row r="1343" spans="1:28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65"/>
        <v>24</v>
      </c>
      <c r="R1343" s="53" t="str">
        <f t="shared" si="6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3">
        <f t="shared" si="64"/>
        <v>15</v>
      </c>
      <c r="Z1343" s="18">
        <v>46158</v>
      </c>
      <c r="AA1343" s="15"/>
      <c r="AB1343" s="15"/>
    </row>
    <row r="1344" spans="1:28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65"/>
        <v>24</v>
      </c>
      <c r="R1344" s="53" t="str">
        <f t="shared" si="6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3">
        <f t="shared" si="64"/>
        <v>15</v>
      </c>
      <c r="Z1344" s="18">
        <v>46158</v>
      </c>
      <c r="AA1344" s="15"/>
      <c r="AB1344" s="15"/>
    </row>
    <row r="1345" spans="1:28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65"/>
        <v>24</v>
      </c>
      <c r="R1345" s="53" t="str">
        <f t="shared" si="6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3">
        <f t="shared" si="64"/>
        <v>15</v>
      </c>
      <c r="Z1345" s="18">
        <v>46158</v>
      </c>
      <c r="AA1345" s="15"/>
      <c r="AB1345" s="15"/>
    </row>
    <row r="1346" spans="1:28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65"/>
        <v>24</v>
      </c>
      <c r="R1346" s="53" t="str">
        <f t="shared" si="6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3">
        <f t="shared" ref="Y1346:Y1409" si="67">X1346-A1346</f>
        <v>15</v>
      </c>
      <c r="Z1346" s="18">
        <v>46158</v>
      </c>
      <c r="AA1346" s="15"/>
      <c r="AB1346" s="15"/>
    </row>
    <row r="1347" spans="1:28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65"/>
        <v>24</v>
      </c>
      <c r="R1347" s="53" t="str">
        <f t="shared" si="6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3">
        <f t="shared" si="67"/>
        <v>15</v>
      </c>
      <c r="Z1347" s="18">
        <v>46158</v>
      </c>
      <c r="AA1347" s="15"/>
      <c r="AB1347" s="15"/>
    </row>
    <row r="1348" spans="1:28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65"/>
        <v>24</v>
      </c>
      <c r="R1348" s="53" t="str">
        <f t="shared" si="6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3">
        <f t="shared" si="67"/>
        <v>15</v>
      </c>
      <c r="Z1348" s="18">
        <v>46158</v>
      </c>
      <c r="AA1348" s="15"/>
      <c r="AB1348" s="15"/>
    </row>
    <row r="1349" spans="1:28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65"/>
        <v>24</v>
      </c>
      <c r="R1349" s="53" t="str">
        <f t="shared" si="6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3">
        <f t="shared" si="67"/>
        <v>15</v>
      </c>
      <c r="Z1349" s="18">
        <v>46158</v>
      </c>
      <c r="AA1349" s="15"/>
      <c r="AB1349" s="15"/>
    </row>
    <row r="1350" spans="1:28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65"/>
        <v>24</v>
      </c>
      <c r="R1350" s="53" t="str">
        <f t="shared" si="6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3">
        <f t="shared" si="67"/>
        <v>15</v>
      </c>
      <c r="Z1350" s="18">
        <v>46158</v>
      </c>
      <c r="AA1350" s="15"/>
      <c r="AB1350" s="15"/>
    </row>
    <row r="1351" spans="1:28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65"/>
        <v>24</v>
      </c>
      <c r="R1351" s="53" t="str">
        <f t="shared" si="6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3">
        <f t="shared" si="67"/>
        <v>15</v>
      </c>
      <c r="Z1351" s="18">
        <v>46158</v>
      </c>
      <c r="AA1351" s="15"/>
      <c r="AB1351" s="15"/>
    </row>
    <row r="1352" spans="1:28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65"/>
        <v>24</v>
      </c>
      <c r="R1352" s="53" t="str">
        <f t="shared" si="6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3">
        <f t="shared" si="67"/>
        <v>15</v>
      </c>
      <c r="Z1352" s="18">
        <v>46158</v>
      </c>
      <c r="AA1352" s="15"/>
      <c r="AB1352" s="15"/>
    </row>
    <row r="1353" spans="1:28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65"/>
        <v>24</v>
      </c>
      <c r="R1353" s="53" t="str">
        <f t="shared" si="6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3">
        <f t="shared" si="67"/>
        <v>15</v>
      </c>
      <c r="Z1353" s="18">
        <v>46158</v>
      </c>
      <c r="AA1353" s="15"/>
      <c r="AB1353" s="15"/>
    </row>
    <row r="1354" spans="1:28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65"/>
        <v>24</v>
      </c>
      <c r="R1354" s="53" t="str">
        <f t="shared" si="6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3">
        <f t="shared" si="67"/>
        <v>15</v>
      </c>
      <c r="Z1354" s="18">
        <v>46158</v>
      </c>
      <c r="AA1354" s="15"/>
      <c r="AB1354" s="15"/>
    </row>
    <row r="1355" spans="1:28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65"/>
        <v>24</v>
      </c>
      <c r="R1355" s="53" t="str">
        <f t="shared" si="6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3">
        <f t="shared" si="67"/>
        <v>15</v>
      </c>
      <c r="Z1355" s="18">
        <v>46158</v>
      </c>
      <c r="AA1355" s="15"/>
      <c r="AB1355" s="15"/>
    </row>
    <row r="1356" spans="1:28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65"/>
        <v>24</v>
      </c>
      <c r="R1356" s="53" t="str">
        <f t="shared" si="6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3">
        <f t="shared" si="67"/>
        <v>15</v>
      </c>
      <c r="Z1356" s="18">
        <v>46158</v>
      </c>
      <c r="AA1356" s="15"/>
      <c r="AB1356" s="15"/>
    </row>
    <row r="1357" spans="1:28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65"/>
        <v>24</v>
      </c>
      <c r="R1357" s="53" t="str">
        <f t="shared" si="6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3">
        <f t="shared" si="67"/>
        <v>15</v>
      </c>
      <c r="Z1357" s="18">
        <v>46158</v>
      </c>
      <c r="AA1357" s="15"/>
      <c r="AB1357" s="15"/>
    </row>
    <row r="1358" spans="1:28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65"/>
        <v>24</v>
      </c>
      <c r="R1358" s="53" t="str">
        <f t="shared" si="6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3">
        <f t="shared" si="67"/>
        <v>16</v>
      </c>
      <c r="Z1358" s="18">
        <v>46159</v>
      </c>
      <c r="AA1358" s="15"/>
      <c r="AB1358" s="15"/>
    </row>
    <row r="1359" spans="1:28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65"/>
        <v>24</v>
      </c>
      <c r="R1359" s="53" t="str">
        <f t="shared" si="6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3">
        <f t="shared" si="67"/>
        <v>16</v>
      </c>
      <c r="Z1359" s="18">
        <v>46159</v>
      </c>
      <c r="AA1359" s="15"/>
      <c r="AB1359" s="15"/>
    </row>
    <row r="1360" spans="1:28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65"/>
        <v>24</v>
      </c>
      <c r="R1360" s="53" t="str">
        <f t="shared" si="6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3">
        <f t="shared" si="67"/>
        <v>16</v>
      </c>
      <c r="Z1360" s="18">
        <v>46159</v>
      </c>
      <c r="AA1360" s="15"/>
      <c r="AB1360" s="15"/>
    </row>
    <row r="1361" spans="1:28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65"/>
        <v>24</v>
      </c>
      <c r="R1361" s="53" t="str">
        <f t="shared" si="6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3">
        <f t="shared" si="67"/>
        <v>16</v>
      </c>
      <c r="Z1361" s="18">
        <v>46159</v>
      </c>
      <c r="AA1361" s="15"/>
      <c r="AB1361" s="15"/>
    </row>
    <row r="1362" spans="1:28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65"/>
        <v>24</v>
      </c>
      <c r="R1362" s="53" t="str">
        <f t="shared" si="6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3">
        <f t="shared" si="67"/>
        <v>16</v>
      </c>
      <c r="Z1362" s="18">
        <v>46159</v>
      </c>
      <c r="AA1362" s="15"/>
      <c r="AB1362" s="15"/>
    </row>
    <row r="1363" spans="1:28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65"/>
        <v>24</v>
      </c>
      <c r="R1363" s="53" t="str">
        <f t="shared" si="6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3">
        <f t="shared" si="67"/>
        <v>16</v>
      </c>
      <c r="Z1363" s="18">
        <v>46159</v>
      </c>
      <c r="AA1363" s="15"/>
      <c r="AB1363" s="15"/>
    </row>
    <row r="1364" spans="1:28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65"/>
        <v>24</v>
      </c>
      <c r="R1364" s="53" t="str">
        <f t="shared" si="6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3">
        <f t="shared" si="67"/>
        <v>16</v>
      </c>
      <c r="Z1364" s="18">
        <v>46159</v>
      </c>
      <c r="AA1364" s="15"/>
      <c r="AB1364" s="15"/>
    </row>
    <row r="1365" spans="1:28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65"/>
        <v>24</v>
      </c>
      <c r="R1365" s="53" t="str">
        <f t="shared" si="6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3">
        <f t="shared" si="67"/>
        <v>16</v>
      </c>
      <c r="Z1365" s="18">
        <v>46159</v>
      </c>
      <c r="AA1365" s="15"/>
      <c r="AB1365" s="15"/>
    </row>
    <row r="1366" spans="1:28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65"/>
        <v>24</v>
      </c>
      <c r="R1366" s="53" t="str">
        <f t="shared" si="6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3">
        <f t="shared" si="67"/>
        <v>16</v>
      </c>
      <c r="Z1366" s="18">
        <v>46159</v>
      </c>
      <c r="AA1366" s="15"/>
      <c r="AB1366" s="15"/>
    </row>
    <row r="1367" spans="1:28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65"/>
        <v>24</v>
      </c>
      <c r="R1367" s="53" t="str">
        <f t="shared" si="6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3">
        <f t="shared" si="67"/>
        <v>16</v>
      </c>
      <c r="Z1367" s="18">
        <v>46159</v>
      </c>
      <c r="AA1367" s="15"/>
      <c r="AB1367" s="15"/>
    </row>
    <row r="1368" spans="1:28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65"/>
        <v>24</v>
      </c>
      <c r="R1368" s="53" t="str">
        <f t="shared" si="6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3">
        <f t="shared" si="67"/>
        <v>16</v>
      </c>
      <c r="Z1368" s="18">
        <v>46159</v>
      </c>
      <c r="AA1368" s="15"/>
      <c r="AB1368" s="15"/>
    </row>
    <row r="1369" spans="1:28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65"/>
        <v>24</v>
      </c>
      <c r="R1369" s="53" t="str">
        <f t="shared" si="6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3">
        <f t="shared" si="67"/>
        <v>16</v>
      </c>
      <c r="Z1369" s="18">
        <v>46159</v>
      </c>
      <c r="AA1369" s="15"/>
      <c r="AB1369" s="15"/>
    </row>
    <row r="1370" spans="1:28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65"/>
        <v>24</v>
      </c>
      <c r="R1370" s="53" t="str">
        <f t="shared" si="6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3">
        <f t="shared" si="67"/>
        <v>16</v>
      </c>
      <c r="Z1370" s="18">
        <v>46159</v>
      </c>
      <c r="AA1370" s="15"/>
      <c r="AB1370" s="15"/>
    </row>
    <row r="1371" spans="1:28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65"/>
        <v>24</v>
      </c>
      <c r="R1371" s="53" t="str">
        <f t="shared" si="6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3">
        <f t="shared" si="67"/>
        <v>16</v>
      </c>
      <c r="Z1371" s="18">
        <v>46159</v>
      </c>
      <c r="AA1371" s="15"/>
      <c r="AB1371" s="15"/>
    </row>
    <row r="1372" spans="1:28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65"/>
        <v>24</v>
      </c>
      <c r="R1372" s="53" t="str">
        <f t="shared" si="6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3">
        <f t="shared" si="67"/>
        <v>16</v>
      </c>
      <c r="Z1372" s="18">
        <v>46159</v>
      </c>
      <c r="AA1372" s="15"/>
      <c r="AB1372" s="15"/>
    </row>
    <row r="1373" spans="1:28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65"/>
        <v>24</v>
      </c>
      <c r="R1373" s="53" t="str">
        <f t="shared" si="6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3">
        <f t="shared" si="67"/>
        <v>16</v>
      </c>
      <c r="Z1373" s="18">
        <v>46159</v>
      </c>
      <c r="AA1373" s="15"/>
      <c r="AB1373" s="15"/>
    </row>
    <row r="1374" spans="1:28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65"/>
        <v>24</v>
      </c>
      <c r="R1374" s="53" t="str">
        <f t="shared" si="6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3">
        <f t="shared" si="67"/>
        <v>16</v>
      </c>
      <c r="Z1374" s="18">
        <v>46159</v>
      </c>
      <c r="AA1374" s="15"/>
      <c r="AB1374" s="15"/>
    </row>
    <row r="1375" spans="1:28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65"/>
        <v>24</v>
      </c>
      <c r="R1375" s="53" t="str">
        <f t="shared" si="6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3">
        <f t="shared" si="67"/>
        <v>16</v>
      </c>
      <c r="Z1375" s="18">
        <v>46159</v>
      </c>
      <c r="AA1375" s="15"/>
      <c r="AB1375" s="15"/>
    </row>
    <row r="1376" spans="1:28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65"/>
        <v>24</v>
      </c>
      <c r="R1376" s="53" t="str">
        <f t="shared" si="6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3">
        <f t="shared" si="67"/>
        <v>16</v>
      </c>
      <c r="Z1376" s="18">
        <v>46159</v>
      </c>
      <c r="AA1376" s="15"/>
      <c r="AB1376" s="15"/>
    </row>
    <row r="1377" spans="1:28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65"/>
        <v>24</v>
      </c>
      <c r="R1377" s="53" t="str">
        <f t="shared" si="6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3">
        <f t="shared" si="67"/>
        <v>16</v>
      </c>
      <c r="Z1377" s="18">
        <v>46159</v>
      </c>
      <c r="AA1377" s="15"/>
      <c r="AB1377" s="15"/>
    </row>
    <row r="1378" spans="1:28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65"/>
        <v>24</v>
      </c>
      <c r="R1378" s="53" t="str">
        <f t="shared" si="6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3">
        <f t="shared" si="67"/>
        <v>16</v>
      </c>
      <c r="Z1378" s="18">
        <v>46159</v>
      </c>
      <c r="AA1378" s="15"/>
      <c r="AB1378" s="15"/>
    </row>
    <row r="1379" spans="1:28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65"/>
        <v>24</v>
      </c>
      <c r="R1379" s="53" t="str">
        <f t="shared" si="6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3">
        <f t="shared" si="67"/>
        <v>16</v>
      </c>
      <c r="Z1379" s="18">
        <v>46159</v>
      </c>
      <c r="AA1379" s="15"/>
      <c r="AB1379" s="15"/>
    </row>
    <row r="1380" spans="1:28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65"/>
        <v>24</v>
      </c>
      <c r="R1380" s="53" t="str">
        <f t="shared" si="6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3">
        <f t="shared" si="67"/>
        <v>16</v>
      </c>
      <c r="Z1380" s="18">
        <v>46159</v>
      </c>
      <c r="AA1380" s="15"/>
      <c r="AB1380" s="15"/>
    </row>
    <row r="1381" spans="1:28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65"/>
        <v>24</v>
      </c>
      <c r="R1381" s="53" t="str">
        <f t="shared" si="6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3">
        <f t="shared" si="67"/>
        <v>16</v>
      </c>
      <c r="Z1381" s="18">
        <v>46159</v>
      </c>
      <c r="AA1381" s="15"/>
      <c r="AB1381" s="15"/>
    </row>
    <row r="1382" spans="1:28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65"/>
        <v>24</v>
      </c>
      <c r="R1382" s="53" t="str">
        <f t="shared" si="6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3">
        <f t="shared" si="67"/>
        <v>16</v>
      </c>
      <c r="Z1382" s="18">
        <v>46159</v>
      </c>
      <c r="AA1382" s="15"/>
      <c r="AB1382" s="15"/>
    </row>
    <row r="1383" spans="1:28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68">MID(P1383,5,2)</f>
        <v>24</v>
      </c>
      <c r="R1383" s="53" t="str">
        <f t="shared" ref="R1383:R1446" si="69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3">
        <f t="shared" si="67"/>
        <v>16</v>
      </c>
      <c r="Z1383" s="18">
        <v>46159</v>
      </c>
      <c r="AA1383" s="15"/>
      <c r="AB1383" s="15"/>
    </row>
    <row r="1384" spans="1:28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68"/>
        <v>24</v>
      </c>
      <c r="R1384" s="53" t="str">
        <f t="shared" si="69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3">
        <f t="shared" si="67"/>
        <v>16</v>
      </c>
      <c r="Z1384" s="18">
        <v>46159</v>
      </c>
      <c r="AA1384" s="15"/>
      <c r="AB1384" s="15"/>
    </row>
    <row r="1385" spans="1:28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68"/>
        <v>24</v>
      </c>
      <c r="R1385" s="53" t="str">
        <f t="shared" si="69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3">
        <f t="shared" si="67"/>
        <v>16</v>
      </c>
      <c r="Z1385" s="18">
        <v>46159</v>
      </c>
      <c r="AA1385" s="15"/>
      <c r="AB1385" s="15"/>
    </row>
    <row r="1386" spans="1:28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68"/>
        <v>24</v>
      </c>
      <c r="R1386" s="53" t="str">
        <f t="shared" si="69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3">
        <f t="shared" si="67"/>
        <v>16</v>
      </c>
      <c r="Z1386" s="18">
        <v>46159</v>
      </c>
      <c r="AA1386" s="15"/>
      <c r="AB1386" s="15"/>
    </row>
    <row r="1387" spans="1:28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68"/>
        <v>24</v>
      </c>
      <c r="R1387" s="53" t="str">
        <f t="shared" si="69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3">
        <f t="shared" si="67"/>
        <v>16</v>
      </c>
      <c r="Z1387" s="18">
        <v>46159</v>
      </c>
      <c r="AA1387" s="15"/>
      <c r="AB1387" s="15"/>
    </row>
    <row r="1388" spans="1:28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68"/>
        <v>24</v>
      </c>
      <c r="R1388" s="53" t="str">
        <f t="shared" si="69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3">
        <f t="shared" si="67"/>
        <v>16</v>
      </c>
      <c r="Z1388" s="18">
        <v>46159</v>
      </c>
      <c r="AA1388" s="15"/>
      <c r="AB1388" s="15"/>
    </row>
    <row r="1389" spans="1:28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68"/>
        <v>24</v>
      </c>
      <c r="R1389" s="53" t="str">
        <f t="shared" si="69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3">
        <f t="shared" si="67"/>
        <v>16</v>
      </c>
      <c r="Z1389" s="18">
        <v>46159</v>
      </c>
      <c r="AA1389" s="15"/>
      <c r="AB1389" s="15"/>
    </row>
    <row r="1390" spans="1:28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68"/>
        <v>24</v>
      </c>
      <c r="R1390" s="53" t="str">
        <f t="shared" si="69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3">
        <f t="shared" si="67"/>
        <v>16</v>
      </c>
      <c r="Z1390" s="18">
        <v>46159</v>
      </c>
      <c r="AA1390" s="15"/>
      <c r="AB1390" s="15"/>
    </row>
    <row r="1391" spans="1:28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68"/>
        <v>24</v>
      </c>
      <c r="R1391" s="53" t="str">
        <f t="shared" si="69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3">
        <f t="shared" si="67"/>
        <v>16</v>
      </c>
      <c r="Z1391" s="18">
        <v>46159</v>
      </c>
      <c r="AA1391" s="15"/>
      <c r="AB1391" s="15"/>
    </row>
    <row r="1392" spans="1:28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68"/>
        <v>24</v>
      </c>
      <c r="R1392" s="53" t="str">
        <f t="shared" si="69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3">
        <f t="shared" si="67"/>
        <v>16</v>
      </c>
      <c r="Z1392" s="18">
        <v>46159</v>
      </c>
      <c r="AA1392" s="15"/>
      <c r="AB1392" s="15"/>
    </row>
    <row r="1393" spans="1:28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68"/>
        <v>24</v>
      </c>
      <c r="R1393" s="53" t="str">
        <f t="shared" si="69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3">
        <f t="shared" si="67"/>
        <v>16</v>
      </c>
      <c r="Z1393" s="18">
        <v>46159</v>
      </c>
      <c r="AA1393" s="15"/>
      <c r="AB1393" s="15"/>
    </row>
    <row r="1394" spans="1:28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68"/>
        <v>24</v>
      </c>
      <c r="R1394" s="53" t="str">
        <f t="shared" si="69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3">
        <f t="shared" si="67"/>
        <v>16</v>
      </c>
      <c r="Z1394" s="18">
        <v>46159</v>
      </c>
      <c r="AA1394" s="15"/>
      <c r="AB1394" s="15"/>
    </row>
    <row r="1395" spans="1:28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68"/>
        <v>24</v>
      </c>
      <c r="R1395" s="53" t="str">
        <f t="shared" si="69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3">
        <f t="shared" si="67"/>
        <v>16</v>
      </c>
      <c r="Z1395" s="18">
        <v>46159</v>
      </c>
      <c r="AA1395" s="15"/>
      <c r="AB1395" s="15"/>
    </row>
    <row r="1396" spans="1:28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68"/>
        <v>24</v>
      </c>
      <c r="R1396" s="53" t="str">
        <f t="shared" si="69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3">
        <f t="shared" si="67"/>
        <v>16</v>
      </c>
      <c r="Z1396" s="18">
        <v>46159</v>
      </c>
      <c r="AA1396" s="15"/>
      <c r="AB1396" s="15"/>
    </row>
    <row r="1397" spans="1:28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68"/>
        <v>24</v>
      </c>
      <c r="R1397" s="53" t="str">
        <f t="shared" si="69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3">
        <f t="shared" si="67"/>
        <v>16</v>
      </c>
      <c r="Z1397" s="18">
        <v>46159</v>
      </c>
      <c r="AA1397" s="15"/>
      <c r="AB1397" s="15"/>
    </row>
    <row r="1398" spans="1:28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68"/>
        <v>24</v>
      </c>
      <c r="R1398" s="53" t="str">
        <f t="shared" si="69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3">
        <f t="shared" si="67"/>
        <v>16</v>
      </c>
      <c r="Z1398" s="18">
        <v>46159</v>
      </c>
      <c r="AA1398" s="15"/>
      <c r="AB1398" s="15"/>
    </row>
    <row r="1399" spans="1:28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2974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68"/>
        <v>24</v>
      </c>
      <c r="R1399" s="53" t="str">
        <f t="shared" si="69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3">
        <f t="shared" si="67"/>
        <v>0</v>
      </c>
      <c r="Z1399" s="19"/>
      <c r="AA1399" s="19"/>
      <c r="AB1399" s="19"/>
    </row>
    <row r="1400" spans="1:28" hidden="1">
      <c r="A1400" s="6">
        <v>46107</v>
      </c>
      <c r="B1400" s="3">
        <v>2026</v>
      </c>
      <c r="C1400" s="3" t="s">
        <v>2963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68"/>
        <v>24</v>
      </c>
      <c r="R1400" s="53" t="str">
        <f t="shared" si="69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3">
        <f t="shared" si="67"/>
        <v>53</v>
      </c>
      <c r="Z1400" s="18">
        <v>46160</v>
      </c>
      <c r="AA1400" s="15"/>
      <c r="AB1400" s="15"/>
    </row>
    <row r="1401" spans="1:28" hidden="1">
      <c r="A1401" s="6">
        <v>46107</v>
      </c>
      <c r="B1401" s="3">
        <v>2026</v>
      </c>
      <c r="C1401" s="3" t="s">
        <v>2963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68"/>
        <v>24</v>
      </c>
      <c r="R1401" s="53" t="str">
        <f t="shared" si="69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3">
        <f t="shared" si="67"/>
        <v>53</v>
      </c>
      <c r="Z1401" s="18">
        <v>46160</v>
      </c>
      <c r="AA1401" s="15"/>
      <c r="AB1401" s="15"/>
    </row>
    <row r="1402" spans="1:28" hidden="1">
      <c r="A1402" s="6">
        <v>46107</v>
      </c>
      <c r="B1402" s="3">
        <v>2026</v>
      </c>
      <c r="C1402" s="3" t="s">
        <v>2963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68"/>
        <v>24</v>
      </c>
      <c r="R1402" s="53" t="str">
        <f t="shared" si="69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3">
        <f t="shared" si="67"/>
        <v>53</v>
      </c>
      <c r="Z1402" s="18">
        <v>46160</v>
      </c>
      <c r="AA1402" s="15"/>
      <c r="AB1402" s="15"/>
    </row>
    <row r="1403" spans="1:28" hidden="1">
      <c r="A1403" s="6">
        <v>46107</v>
      </c>
      <c r="B1403" s="3">
        <v>2026</v>
      </c>
      <c r="C1403" s="3" t="s">
        <v>2963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68"/>
        <v>24</v>
      </c>
      <c r="R1403" s="53" t="str">
        <f t="shared" si="69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3">
        <f t="shared" si="67"/>
        <v>53</v>
      </c>
      <c r="Z1403" s="18">
        <v>46160</v>
      </c>
      <c r="AA1403" s="15"/>
      <c r="AB1403" s="15"/>
    </row>
    <row r="1404" spans="1:28" hidden="1">
      <c r="A1404" s="6">
        <v>46107</v>
      </c>
      <c r="B1404" s="3">
        <v>2026</v>
      </c>
      <c r="C1404" s="3" t="s">
        <v>2963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68"/>
        <v>24</v>
      </c>
      <c r="R1404" s="53" t="str">
        <f t="shared" si="69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3">
        <f t="shared" si="67"/>
        <v>53</v>
      </c>
      <c r="Z1404" s="18">
        <v>46160</v>
      </c>
      <c r="AA1404" s="15"/>
      <c r="AB1404" s="15"/>
    </row>
    <row r="1405" spans="1:28" hidden="1">
      <c r="A1405" s="6">
        <v>46107</v>
      </c>
      <c r="B1405" s="3">
        <v>2026</v>
      </c>
      <c r="C1405" s="3" t="s">
        <v>2963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68"/>
        <v>24</v>
      </c>
      <c r="R1405" s="53" t="str">
        <f t="shared" si="69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3">
        <f t="shared" si="67"/>
        <v>53</v>
      </c>
      <c r="Z1405" s="18">
        <v>46160</v>
      </c>
      <c r="AA1405" s="15"/>
      <c r="AB1405" s="15"/>
    </row>
    <row r="1406" spans="1:28" hidden="1">
      <c r="A1406" s="6">
        <v>46107</v>
      </c>
      <c r="B1406" s="3">
        <v>2026</v>
      </c>
      <c r="C1406" s="3" t="s">
        <v>2963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68"/>
        <v>24</v>
      </c>
      <c r="R1406" s="53" t="str">
        <f t="shared" si="69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3">
        <f t="shared" si="67"/>
        <v>53</v>
      </c>
      <c r="Z1406" s="18">
        <v>46160</v>
      </c>
      <c r="AA1406" s="15"/>
      <c r="AB1406" s="15"/>
    </row>
    <row r="1407" spans="1:28" hidden="1">
      <c r="A1407" s="6">
        <v>46107</v>
      </c>
      <c r="B1407" s="3">
        <v>2026</v>
      </c>
      <c r="C1407" s="3" t="s">
        <v>2963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68"/>
        <v>24</v>
      </c>
      <c r="R1407" s="53" t="str">
        <f t="shared" si="69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3">
        <f t="shared" si="67"/>
        <v>53</v>
      </c>
      <c r="Z1407" s="18">
        <v>46160</v>
      </c>
      <c r="AA1407" s="15"/>
      <c r="AB1407" s="15"/>
    </row>
    <row r="1408" spans="1:28" hidden="1">
      <c r="A1408" s="6">
        <v>46107</v>
      </c>
      <c r="B1408" s="3">
        <v>2026</v>
      </c>
      <c r="C1408" s="3" t="s">
        <v>2963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68"/>
        <v>24</v>
      </c>
      <c r="R1408" s="53" t="str">
        <f t="shared" si="69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3">
        <f t="shared" si="67"/>
        <v>53</v>
      </c>
      <c r="Z1408" s="18">
        <v>46160</v>
      </c>
      <c r="AA1408" s="15"/>
      <c r="AB1408" s="15"/>
    </row>
    <row r="1409" spans="1:28" hidden="1">
      <c r="A1409" s="6">
        <v>46107</v>
      </c>
      <c r="B1409" s="3">
        <v>2026</v>
      </c>
      <c r="C1409" s="3" t="s">
        <v>2963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68"/>
        <v>24</v>
      </c>
      <c r="R1409" s="53" t="str">
        <f t="shared" si="69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3">
        <f t="shared" si="67"/>
        <v>53</v>
      </c>
      <c r="Z1409" s="18">
        <v>46160</v>
      </c>
      <c r="AA1409" s="15"/>
      <c r="AB1409" s="15"/>
    </row>
    <row r="1410" spans="1:28" hidden="1">
      <c r="A1410" s="6">
        <v>46107</v>
      </c>
      <c r="B1410" s="3">
        <v>2026</v>
      </c>
      <c r="C1410" s="3" t="s">
        <v>2963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68"/>
        <v>24</v>
      </c>
      <c r="R1410" s="53" t="str">
        <f t="shared" si="69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3">
        <f t="shared" ref="Y1410:Y1473" si="70">X1410-A1410</f>
        <v>53</v>
      </c>
      <c r="Z1410" s="18">
        <v>46160</v>
      </c>
      <c r="AA1410" s="15"/>
      <c r="AB1410" s="15"/>
    </row>
    <row r="1411" spans="1:28" hidden="1">
      <c r="A1411" s="6">
        <v>46107</v>
      </c>
      <c r="B1411" s="3">
        <v>2026</v>
      </c>
      <c r="C1411" s="3" t="s">
        <v>2963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68"/>
        <v>24</v>
      </c>
      <c r="R1411" s="53" t="str">
        <f t="shared" si="69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3">
        <f t="shared" si="70"/>
        <v>53</v>
      </c>
      <c r="Z1411" s="18">
        <v>46160</v>
      </c>
      <c r="AA1411" s="15"/>
      <c r="AB1411" s="15"/>
    </row>
    <row r="1412" spans="1:28" hidden="1">
      <c r="A1412" s="6">
        <v>46107</v>
      </c>
      <c r="B1412" s="3">
        <v>2026</v>
      </c>
      <c r="C1412" s="3" t="s">
        <v>2963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68"/>
        <v>24</v>
      </c>
      <c r="R1412" s="53" t="str">
        <f t="shared" si="69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3">
        <f t="shared" si="70"/>
        <v>53</v>
      </c>
      <c r="Z1412" s="18">
        <v>46160</v>
      </c>
      <c r="AA1412" s="15"/>
      <c r="AB1412" s="15"/>
    </row>
    <row r="1413" spans="1:28" hidden="1">
      <c r="A1413" s="6">
        <v>46107</v>
      </c>
      <c r="B1413" s="3">
        <v>2026</v>
      </c>
      <c r="C1413" s="3" t="s">
        <v>2963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68"/>
        <v>24</v>
      </c>
      <c r="R1413" s="53" t="str">
        <f t="shared" si="69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3">
        <f t="shared" si="70"/>
        <v>53</v>
      </c>
      <c r="Z1413" s="18">
        <v>46160</v>
      </c>
      <c r="AA1413" s="15"/>
      <c r="AB1413" s="15"/>
    </row>
    <row r="1414" spans="1:28" hidden="1">
      <c r="A1414" s="6">
        <v>46107</v>
      </c>
      <c r="B1414" s="3">
        <v>2026</v>
      </c>
      <c r="C1414" s="3" t="s">
        <v>2963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68"/>
        <v>24</v>
      </c>
      <c r="R1414" s="53" t="str">
        <f t="shared" si="69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3">
        <f t="shared" si="70"/>
        <v>53</v>
      </c>
      <c r="Z1414" s="18">
        <v>46160</v>
      </c>
      <c r="AA1414" s="15"/>
      <c r="AB1414" s="15"/>
    </row>
    <row r="1415" spans="1:28" hidden="1">
      <c r="A1415" s="6">
        <v>46107</v>
      </c>
      <c r="B1415" s="3">
        <v>2026</v>
      </c>
      <c r="C1415" s="3" t="s">
        <v>2963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68"/>
        <v>24</v>
      </c>
      <c r="R1415" s="53" t="str">
        <f t="shared" si="69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3">
        <f t="shared" si="70"/>
        <v>53</v>
      </c>
      <c r="Z1415" s="18">
        <v>46160</v>
      </c>
      <c r="AA1415" s="15"/>
      <c r="AB1415" s="15"/>
    </row>
    <row r="1416" spans="1:28" hidden="1">
      <c r="A1416" s="6">
        <v>46107</v>
      </c>
      <c r="B1416" s="3">
        <v>2026</v>
      </c>
      <c r="C1416" s="3" t="s">
        <v>2963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68"/>
        <v>24</v>
      </c>
      <c r="R1416" s="53" t="str">
        <f t="shared" si="69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3">
        <f t="shared" si="70"/>
        <v>53</v>
      </c>
      <c r="Z1416" s="18">
        <v>46160</v>
      </c>
      <c r="AA1416" s="15"/>
      <c r="AB1416" s="15"/>
    </row>
    <row r="1417" spans="1:28" hidden="1">
      <c r="A1417" s="6">
        <v>46107</v>
      </c>
      <c r="B1417" s="3">
        <v>2026</v>
      </c>
      <c r="C1417" s="3" t="s">
        <v>2963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68"/>
        <v>24</v>
      </c>
      <c r="R1417" s="53" t="str">
        <f t="shared" si="69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3">
        <f t="shared" si="70"/>
        <v>53</v>
      </c>
      <c r="Z1417" s="18">
        <v>46160</v>
      </c>
      <c r="AA1417" s="15"/>
      <c r="AB1417" s="15"/>
    </row>
    <row r="1418" spans="1:28" hidden="1">
      <c r="A1418" s="6">
        <v>46107</v>
      </c>
      <c r="B1418" s="3">
        <v>2026</v>
      </c>
      <c r="C1418" s="3" t="s">
        <v>2963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68"/>
        <v>24</v>
      </c>
      <c r="R1418" s="53" t="str">
        <f t="shared" si="69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3">
        <f t="shared" si="70"/>
        <v>53</v>
      </c>
      <c r="Z1418" s="18">
        <v>46160</v>
      </c>
      <c r="AA1418" s="15"/>
      <c r="AB1418" s="15"/>
    </row>
    <row r="1419" spans="1:28" hidden="1">
      <c r="A1419" s="6">
        <v>46107</v>
      </c>
      <c r="B1419" s="3">
        <v>2026</v>
      </c>
      <c r="C1419" s="3" t="s">
        <v>2963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68"/>
        <v>24</v>
      </c>
      <c r="R1419" s="53" t="str">
        <f t="shared" si="69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3">
        <f t="shared" si="70"/>
        <v>53</v>
      </c>
      <c r="Z1419" s="18">
        <v>46160</v>
      </c>
      <c r="AA1419" s="15"/>
      <c r="AB1419" s="15"/>
    </row>
    <row r="1420" spans="1:28" hidden="1">
      <c r="A1420" s="6">
        <v>46107</v>
      </c>
      <c r="B1420" s="3">
        <v>2026</v>
      </c>
      <c r="C1420" s="3" t="s">
        <v>2963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68"/>
        <v>24</v>
      </c>
      <c r="R1420" s="53" t="str">
        <f t="shared" si="69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3">
        <f t="shared" si="70"/>
        <v>53</v>
      </c>
      <c r="Z1420" s="18">
        <v>46160</v>
      </c>
      <c r="AA1420" s="15"/>
      <c r="AB1420" s="15"/>
    </row>
    <row r="1421" spans="1:28" hidden="1">
      <c r="A1421" s="6">
        <v>46107</v>
      </c>
      <c r="B1421" s="3">
        <v>2026</v>
      </c>
      <c r="C1421" s="3" t="s">
        <v>2963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68"/>
        <v>24</v>
      </c>
      <c r="R1421" s="53" t="str">
        <f t="shared" si="69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3">
        <f t="shared" si="70"/>
        <v>53</v>
      </c>
      <c r="Z1421" s="18">
        <v>46160</v>
      </c>
      <c r="AA1421" s="15"/>
      <c r="AB1421" s="15"/>
    </row>
    <row r="1422" spans="1:28" hidden="1">
      <c r="A1422" s="6">
        <v>46107</v>
      </c>
      <c r="B1422" s="3">
        <v>2026</v>
      </c>
      <c r="C1422" s="3" t="s">
        <v>2963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68"/>
        <v>24</v>
      </c>
      <c r="R1422" s="53" t="str">
        <f t="shared" si="69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3">
        <f t="shared" si="70"/>
        <v>53</v>
      </c>
      <c r="Z1422" s="18">
        <v>46160</v>
      </c>
      <c r="AA1422" s="15"/>
      <c r="AB1422" s="15"/>
    </row>
    <row r="1423" spans="1:28" hidden="1">
      <c r="A1423" s="6">
        <v>46107</v>
      </c>
      <c r="B1423" s="3">
        <v>2026</v>
      </c>
      <c r="C1423" s="3" t="s">
        <v>2963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68"/>
        <v>24</v>
      </c>
      <c r="R1423" s="53" t="str">
        <f t="shared" si="69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3">
        <f t="shared" si="70"/>
        <v>53</v>
      </c>
      <c r="Z1423" s="18">
        <v>46160</v>
      </c>
      <c r="AA1423" s="15"/>
      <c r="AB1423" s="15"/>
    </row>
    <row r="1424" spans="1:28" hidden="1">
      <c r="A1424" s="6">
        <v>46107</v>
      </c>
      <c r="B1424" s="3">
        <v>2026</v>
      </c>
      <c r="C1424" s="3" t="s">
        <v>2963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68"/>
        <v>24</v>
      </c>
      <c r="R1424" s="53" t="str">
        <f t="shared" si="69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3">
        <f t="shared" si="70"/>
        <v>53</v>
      </c>
      <c r="Z1424" s="18">
        <v>46160</v>
      </c>
      <c r="AA1424" s="15"/>
      <c r="AB1424" s="15"/>
    </row>
    <row r="1425" spans="1:28" hidden="1">
      <c r="A1425" s="6">
        <v>46107</v>
      </c>
      <c r="B1425" s="3">
        <v>2026</v>
      </c>
      <c r="C1425" s="3" t="s">
        <v>2963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68"/>
        <v>24</v>
      </c>
      <c r="R1425" s="53" t="str">
        <f t="shared" si="69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3">
        <f t="shared" si="70"/>
        <v>53</v>
      </c>
      <c r="Z1425" s="18">
        <v>46160</v>
      </c>
      <c r="AA1425" s="15"/>
      <c r="AB1425" s="15"/>
    </row>
    <row r="1426" spans="1:28" hidden="1">
      <c r="A1426" s="6">
        <v>46107</v>
      </c>
      <c r="B1426" s="3">
        <v>2026</v>
      </c>
      <c r="C1426" s="3" t="s">
        <v>2963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68"/>
        <v>24</v>
      </c>
      <c r="R1426" s="53" t="str">
        <f t="shared" si="69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3">
        <f t="shared" si="70"/>
        <v>53</v>
      </c>
      <c r="Z1426" s="18">
        <v>46160</v>
      </c>
      <c r="AA1426" s="15"/>
      <c r="AB1426" s="15"/>
    </row>
    <row r="1427" spans="1:28" hidden="1">
      <c r="A1427" s="6">
        <v>46107</v>
      </c>
      <c r="B1427" s="3">
        <v>2026</v>
      </c>
      <c r="C1427" s="3" t="s">
        <v>2963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68"/>
        <v>24</v>
      </c>
      <c r="R1427" s="53" t="str">
        <f t="shared" si="69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3">
        <f t="shared" si="70"/>
        <v>53</v>
      </c>
      <c r="Z1427" s="18">
        <v>46160</v>
      </c>
      <c r="AA1427" s="15"/>
      <c r="AB1427" s="15"/>
    </row>
    <row r="1428" spans="1:28" hidden="1">
      <c r="A1428" s="6">
        <v>46107</v>
      </c>
      <c r="B1428" s="3">
        <v>2026</v>
      </c>
      <c r="C1428" s="3" t="s">
        <v>2963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68"/>
        <v>24</v>
      </c>
      <c r="R1428" s="53" t="str">
        <f t="shared" si="69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3">
        <f t="shared" si="70"/>
        <v>53</v>
      </c>
      <c r="Z1428" s="18">
        <v>46160</v>
      </c>
      <c r="AA1428" s="15"/>
      <c r="AB1428" s="15"/>
    </row>
    <row r="1429" spans="1:28" hidden="1">
      <c r="A1429" s="6">
        <v>46107</v>
      </c>
      <c r="B1429" s="3">
        <v>2026</v>
      </c>
      <c r="C1429" s="3" t="s">
        <v>2963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68"/>
        <v>24</v>
      </c>
      <c r="R1429" s="53" t="str">
        <f t="shared" si="69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3">
        <f t="shared" si="70"/>
        <v>53</v>
      </c>
      <c r="Z1429" s="18">
        <v>46160</v>
      </c>
      <c r="AA1429" s="15"/>
      <c r="AB1429" s="15"/>
    </row>
    <row r="1430" spans="1:28" hidden="1">
      <c r="A1430" s="6">
        <v>46107</v>
      </c>
      <c r="B1430" s="3">
        <v>2026</v>
      </c>
      <c r="C1430" s="3" t="s">
        <v>2963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68"/>
        <v>24</v>
      </c>
      <c r="R1430" s="53" t="str">
        <f t="shared" si="69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3">
        <f t="shared" si="70"/>
        <v>53</v>
      </c>
      <c r="Z1430" s="18">
        <v>46160</v>
      </c>
      <c r="AA1430" s="15"/>
      <c r="AB1430" s="15"/>
    </row>
    <row r="1431" spans="1:28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68"/>
        <v>24</v>
      </c>
      <c r="R1431" s="53" t="str">
        <f t="shared" si="69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3">
        <f t="shared" si="70"/>
        <v>17</v>
      </c>
      <c r="Z1431" s="18">
        <v>46160</v>
      </c>
      <c r="AA1431" s="15"/>
      <c r="AB1431" s="15"/>
    </row>
    <row r="1432" spans="1:28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68"/>
        <v>24</v>
      </c>
      <c r="R1432" s="53" t="str">
        <f t="shared" si="69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3">
        <f t="shared" si="70"/>
        <v>17</v>
      </c>
      <c r="Z1432" s="18">
        <v>46160</v>
      </c>
      <c r="AA1432" s="15"/>
      <c r="AB1432" s="15"/>
    </row>
    <row r="1433" spans="1:28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68"/>
        <v>24</v>
      </c>
      <c r="R1433" s="53" t="str">
        <f t="shared" si="69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3">
        <f t="shared" si="70"/>
        <v>17</v>
      </c>
      <c r="Z1433" s="18">
        <v>46160</v>
      </c>
      <c r="AA1433" s="15"/>
      <c r="AB1433" s="15"/>
    </row>
    <row r="1434" spans="1:28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68"/>
        <v>24</v>
      </c>
      <c r="R1434" s="53" t="str">
        <f t="shared" si="69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3">
        <f t="shared" si="70"/>
        <v>17</v>
      </c>
      <c r="Z1434" s="18">
        <v>46160</v>
      </c>
      <c r="AA1434" s="15"/>
      <c r="AB1434" s="15"/>
    </row>
    <row r="1435" spans="1:28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68"/>
        <v>24</v>
      </c>
      <c r="R1435" s="53" t="str">
        <f t="shared" si="69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3">
        <f t="shared" si="70"/>
        <v>17</v>
      </c>
      <c r="Z1435" s="18">
        <v>46160</v>
      </c>
      <c r="AA1435" s="15"/>
      <c r="AB1435" s="15"/>
    </row>
    <row r="1436" spans="1:28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68"/>
        <v>24</v>
      </c>
      <c r="R1436" s="53" t="str">
        <f t="shared" si="69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3">
        <f t="shared" si="70"/>
        <v>17</v>
      </c>
      <c r="Z1436" s="18">
        <v>46160</v>
      </c>
      <c r="AA1436" s="15"/>
      <c r="AB1436" s="15"/>
    </row>
    <row r="1437" spans="1:28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68"/>
        <v>24</v>
      </c>
      <c r="R1437" s="53" t="str">
        <f t="shared" si="69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3">
        <f t="shared" si="70"/>
        <v>17</v>
      </c>
      <c r="Z1437" s="18">
        <v>46160</v>
      </c>
      <c r="AA1437" s="15"/>
      <c r="AB1437" s="15"/>
    </row>
    <row r="1438" spans="1:28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68"/>
        <v>24</v>
      </c>
      <c r="R1438" s="53" t="str">
        <f t="shared" si="69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3">
        <f t="shared" si="70"/>
        <v>17</v>
      </c>
      <c r="Z1438" s="18">
        <v>46160</v>
      </c>
      <c r="AA1438" s="15"/>
      <c r="AB1438" s="15"/>
    </row>
    <row r="1439" spans="1:28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68"/>
        <v>24</v>
      </c>
      <c r="R1439" s="53" t="str">
        <f t="shared" si="69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3">
        <f t="shared" si="70"/>
        <v>17</v>
      </c>
      <c r="Z1439" s="18">
        <v>46160</v>
      </c>
      <c r="AA1439" s="15"/>
      <c r="AB1439" s="15"/>
    </row>
    <row r="1440" spans="1:28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68"/>
        <v>24</v>
      </c>
      <c r="R1440" s="53" t="str">
        <f t="shared" si="69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3">
        <f t="shared" si="70"/>
        <v>17</v>
      </c>
      <c r="Z1440" s="18">
        <v>46160</v>
      </c>
      <c r="AA1440" s="15"/>
      <c r="AB1440" s="15"/>
    </row>
    <row r="1441" spans="1:28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68"/>
        <v>24</v>
      </c>
      <c r="R1441" s="53" t="str">
        <f t="shared" si="69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3">
        <f t="shared" si="70"/>
        <v>17</v>
      </c>
      <c r="Z1441" s="18">
        <v>46160</v>
      </c>
      <c r="AA1441" s="15"/>
      <c r="AB1441" s="15"/>
    </row>
    <row r="1442" spans="1:28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68"/>
        <v>24</v>
      </c>
      <c r="R1442" s="53" t="str">
        <f t="shared" si="69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3">
        <f t="shared" si="70"/>
        <v>17</v>
      </c>
      <c r="Z1442" s="18">
        <v>46160</v>
      </c>
      <c r="AA1442" s="15"/>
      <c r="AB1442" s="15"/>
    </row>
    <row r="1443" spans="1:28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68"/>
        <v>24</v>
      </c>
      <c r="R1443" s="53" t="str">
        <f t="shared" si="69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3">
        <f t="shared" si="70"/>
        <v>17</v>
      </c>
      <c r="Z1443" s="18">
        <v>46160</v>
      </c>
      <c r="AA1443" s="15"/>
      <c r="AB1443" s="15"/>
    </row>
    <row r="1444" spans="1:28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68"/>
        <v>24</v>
      </c>
      <c r="R1444" s="53" t="str">
        <f t="shared" si="69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3">
        <f t="shared" si="70"/>
        <v>17</v>
      </c>
      <c r="Z1444" s="18">
        <v>46160</v>
      </c>
      <c r="AA1444" s="15"/>
      <c r="AB1444" s="15"/>
    </row>
    <row r="1445" spans="1:28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68"/>
        <v>24</v>
      </c>
      <c r="R1445" s="53" t="str">
        <f t="shared" si="69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3">
        <f t="shared" si="70"/>
        <v>17</v>
      </c>
      <c r="Z1445" s="18">
        <v>46160</v>
      </c>
      <c r="AA1445" s="15"/>
      <c r="AB1445" s="15"/>
    </row>
    <row r="1446" spans="1:28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68"/>
        <v>24</v>
      </c>
      <c r="R1446" s="53" t="str">
        <f t="shared" si="69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3">
        <f t="shared" si="70"/>
        <v>17</v>
      </c>
      <c r="Z1446" s="18">
        <v>46160</v>
      </c>
      <c r="AA1446" s="15"/>
      <c r="AB1446" s="15"/>
    </row>
    <row r="1447" spans="1:28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71">MID(P1447,5,2)</f>
        <v>24</v>
      </c>
      <c r="R1447" s="53" t="str">
        <f t="shared" ref="R1447:R1510" si="72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3">
        <f t="shared" si="70"/>
        <v>17</v>
      </c>
      <c r="Z1447" s="18">
        <v>46160</v>
      </c>
      <c r="AA1447" s="15"/>
      <c r="AB1447" s="15"/>
    </row>
    <row r="1448" spans="1:28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71"/>
        <v>24</v>
      </c>
      <c r="R1448" s="53" t="str">
        <f t="shared" si="72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3">
        <f t="shared" si="70"/>
        <v>17</v>
      </c>
      <c r="Z1448" s="18">
        <v>46160</v>
      </c>
      <c r="AA1448" s="15"/>
      <c r="AB1448" s="15"/>
    </row>
    <row r="1449" spans="1:28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71"/>
        <v>24</v>
      </c>
      <c r="R1449" s="53" t="str">
        <f t="shared" si="72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3">
        <f t="shared" si="70"/>
        <v>17</v>
      </c>
      <c r="Z1449" s="18">
        <v>46160</v>
      </c>
      <c r="AA1449" s="15"/>
      <c r="AB1449" s="15"/>
    </row>
    <row r="1450" spans="1:28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71"/>
        <v>24</v>
      </c>
      <c r="R1450" s="53" t="str">
        <f t="shared" si="72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3">
        <f t="shared" si="70"/>
        <v>17</v>
      </c>
      <c r="Z1450" s="18">
        <v>46160</v>
      </c>
      <c r="AA1450" s="15"/>
      <c r="AB1450" s="15"/>
    </row>
    <row r="1451" spans="1:28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71"/>
        <v>24</v>
      </c>
      <c r="R1451" s="53" t="str">
        <f t="shared" si="72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3">
        <f t="shared" si="70"/>
        <v>17</v>
      </c>
      <c r="Z1451" s="18">
        <v>46160</v>
      </c>
      <c r="AA1451" s="15"/>
      <c r="AB1451" s="15"/>
    </row>
    <row r="1452" spans="1:28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71"/>
        <v>24</v>
      </c>
      <c r="R1452" s="53" t="str">
        <f t="shared" si="72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3">
        <f t="shared" si="70"/>
        <v>17</v>
      </c>
      <c r="Z1452" s="18">
        <v>46160</v>
      </c>
      <c r="AA1452" s="15"/>
      <c r="AB1452" s="15"/>
    </row>
    <row r="1453" spans="1:28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71"/>
        <v>24</v>
      </c>
      <c r="R1453" s="53" t="str">
        <f t="shared" si="72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3">
        <f t="shared" si="70"/>
        <v>17</v>
      </c>
      <c r="Z1453" s="18">
        <v>46160</v>
      </c>
      <c r="AA1453" s="15"/>
      <c r="AB1453" s="15"/>
    </row>
    <row r="1454" spans="1:28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71"/>
        <v>24</v>
      </c>
      <c r="R1454" s="53" t="str">
        <f t="shared" si="72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3">
        <f t="shared" si="70"/>
        <v>17</v>
      </c>
      <c r="Z1454" s="18">
        <v>46160</v>
      </c>
      <c r="AA1454" s="15"/>
      <c r="AB1454" s="15"/>
    </row>
    <row r="1455" spans="1:28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71"/>
        <v>24</v>
      </c>
      <c r="R1455" s="53" t="str">
        <f t="shared" si="72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3">
        <f t="shared" si="70"/>
        <v>17</v>
      </c>
      <c r="Z1455" s="18">
        <v>46160</v>
      </c>
      <c r="AA1455" s="15"/>
      <c r="AB1455" s="15"/>
    </row>
    <row r="1456" spans="1:28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71"/>
        <v>24</v>
      </c>
      <c r="R1456" s="53" t="str">
        <f t="shared" si="72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3">
        <f t="shared" si="70"/>
        <v>17</v>
      </c>
      <c r="Z1456" s="18">
        <v>46160</v>
      </c>
      <c r="AA1456" s="15"/>
      <c r="AB1456" s="15"/>
    </row>
    <row r="1457" spans="1:28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71"/>
        <v>24</v>
      </c>
      <c r="R1457" s="53" t="str">
        <f t="shared" si="72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3">
        <f t="shared" si="70"/>
        <v>17</v>
      </c>
      <c r="Z1457" s="18">
        <v>46160</v>
      </c>
      <c r="AA1457" s="15"/>
      <c r="AB1457" s="15"/>
    </row>
    <row r="1458" spans="1:28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71"/>
        <v>24</v>
      </c>
      <c r="R1458" s="53" t="str">
        <f t="shared" si="72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3">
        <f t="shared" si="70"/>
        <v>17</v>
      </c>
      <c r="Z1458" s="18">
        <v>46160</v>
      </c>
      <c r="AA1458" s="15"/>
      <c r="AB1458" s="15"/>
    </row>
    <row r="1459" spans="1:28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71"/>
        <v>24</v>
      </c>
      <c r="R1459" s="53" t="str">
        <f t="shared" si="72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3">
        <f t="shared" si="70"/>
        <v>17</v>
      </c>
      <c r="Z1459" s="18">
        <v>46160</v>
      </c>
      <c r="AA1459" s="15"/>
      <c r="AB1459" s="15"/>
    </row>
    <row r="1460" spans="1:28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71"/>
        <v>24</v>
      </c>
      <c r="R1460" s="53" t="str">
        <f t="shared" si="72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3">
        <f t="shared" si="70"/>
        <v>17</v>
      </c>
      <c r="Z1460" s="18">
        <v>46160</v>
      </c>
      <c r="AA1460" s="15"/>
      <c r="AB1460" s="15"/>
    </row>
    <row r="1461" spans="1:28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71"/>
        <v>24</v>
      </c>
      <c r="R1461" s="53" t="str">
        <f t="shared" si="72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3">
        <f t="shared" si="70"/>
        <v>17</v>
      </c>
      <c r="Z1461" s="18">
        <v>46160</v>
      </c>
      <c r="AA1461" s="15"/>
      <c r="AB1461" s="15"/>
    </row>
    <row r="1462" spans="1:28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71"/>
        <v>24</v>
      </c>
      <c r="R1462" s="53" t="str">
        <f t="shared" si="72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3">
        <f t="shared" si="70"/>
        <v>17</v>
      </c>
      <c r="Z1462" s="18">
        <v>46160</v>
      </c>
      <c r="AA1462" s="15"/>
      <c r="AB1462" s="15"/>
    </row>
    <row r="1463" spans="1:28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71"/>
        <v>24</v>
      </c>
      <c r="R1463" s="53" t="str">
        <f t="shared" si="72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3">
        <f t="shared" si="70"/>
        <v>17</v>
      </c>
      <c r="Z1463" s="18">
        <v>46160</v>
      </c>
      <c r="AA1463" s="15"/>
      <c r="AB1463" s="15"/>
    </row>
    <row r="1464" spans="1:28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71"/>
        <v>24</v>
      </c>
      <c r="R1464" s="53" t="str">
        <f t="shared" si="72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3">
        <f t="shared" si="70"/>
        <v>17</v>
      </c>
      <c r="Z1464" s="18">
        <v>46160</v>
      </c>
      <c r="AA1464" s="15"/>
      <c r="AB1464" s="15"/>
    </row>
    <row r="1465" spans="1:28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71"/>
        <v>24</v>
      </c>
      <c r="R1465" s="53" t="str">
        <f t="shared" si="72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3">
        <f t="shared" si="70"/>
        <v>17</v>
      </c>
      <c r="Z1465" s="18">
        <v>46160</v>
      </c>
      <c r="AA1465" s="15"/>
      <c r="AB1465" s="15"/>
    </row>
    <row r="1466" spans="1:28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71"/>
        <v>24</v>
      </c>
      <c r="R1466" s="53" t="str">
        <f t="shared" si="72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3">
        <f t="shared" si="70"/>
        <v>17</v>
      </c>
      <c r="Z1466" s="18">
        <v>46160</v>
      </c>
      <c r="AA1466" s="15"/>
      <c r="AB1466" s="15"/>
    </row>
    <row r="1467" spans="1:28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71"/>
        <v>24</v>
      </c>
      <c r="R1467" s="53" t="str">
        <f t="shared" si="72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3">
        <f t="shared" si="70"/>
        <v>17</v>
      </c>
      <c r="Z1467" s="18">
        <v>46160</v>
      </c>
      <c r="AA1467" s="15"/>
      <c r="AB1467" s="15"/>
    </row>
    <row r="1468" spans="1:28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71"/>
        <v>24</v>
      </c>
      <c r="R1468" s="53" t="str">
        <f t="shared" si="72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3">
        <f t="shared" si="70"/>
        <v>17</v>
      </c>
      <c r="Z1468" s="18">
        <v>46160</v>
      </c>
      <c r="AA1468" s="15"/>
      <c r="AB1468" s="15"/>
    </row>
    <row r="1469" spans="1:28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71"/>
        <v>24</v>
      </c>
      <c r="R1469" s="53" t="str">
        <f t="shared" si="72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3">
        <f t="shared" si="70"/>
        <v>17</v>
      </c>
      <c r="Z1469" s="18">
        <v>46160</v>
      </c>
      <c r="AA1469" s="15"/>
      <c r="AB1469" s="15"/>
    </row>
    <row r="1470" spans="1:28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71"/>
        <v>24</v>
      </c>
      <c r="R1470" s="53" t="str">
        <f t="shared" si="72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3">
        <f t="shared" si="70"/>
        <v>17</v>
      </c>
      <c r="Z1470" s="18">
        <v>46160</v>
      </c>
      <c r="AA1470" s="15"/>
      <c r="AB1470" s="15"/>
    </row>
    <row r="1471" spans="1:28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71"/>
        <v>24</v>
      </c>
      <c r="R1471" s="53" t="str">
        <f t="shared" si="72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3">
        <f t="shared" si="70"/>
        <v>17</v>
      </c>
      <c r="Z1471" s="18">
        <v>46160</v>
      </c>
      <c r="AA1471" s="15"/>
      <c r="AB1471" s="15"/>
    </row>
    <row r="1472" spans="1:28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71"/>
        <v>24</v>
      </c>
      <c r="R1472" s="53" t="str">
        <f t="shared" si="72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3">
        <f t="shared" si="70"/>
        <v>17</v>
      </c>
      <c r="Z1472" s="18">
        <v>46160</v>
      </c>
      <c r="AA1472" s="15"/>
      <c r="AB1472" s="15"/>
    </row>
    <row r="1473" spans="1:28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71"/>
        <v>24</v>
      </c>
      <c r="R1473" s="53" t="str">
        <f t="shared" si="72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3">
        <f t="shared" si="70"/>
        <v>17</v>
      </c>
      <c r="Z1473" s="18">
        <v>46160</v>
      </c>
      <c r="AA1473" s="15"/>
      <c r="AB1473" s="15"/>
    </row>
    <row r="1474" spans="1:28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71"/>
        <v>24</v>
      </c>
      <c r="R1474" s="53" t="str">
        <f t="shared" si="72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3">
        <f t="shared" ref="Y1474:Y1537" si="73">X1474-A1474</f>
        <v>17</v>
      </c>
      <c r="Z1474" s="18">
        <v>46160</v>
      </c>
      <c r="AA1474" s="15"/>
      <c r="AB1474" s="15"/>
    </row>
    <row r="1475" spans="1:28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71"/>
        <v>24</v>
      </c>
      <c r="R1475" s="53" t="str">
        <f t="shared" si="72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3">
        <f t="shared" si="73"/>
        <v>17</v>
      </c>
      <c r="Z1475" s="18">
        <v>46160</v>
      </c>
      <c r="AA1475" s="15"/>
      <c r="AB1475" s="15"/>
    </row>
    <row r="1476" spans="1:28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71"/>
        <v>24</v>
      </c>
      <c r="R1476" s="53" t="str">
        <f t="shared" si="72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3">
        <f t="shared" si="73"/>
        <v>17</v>
      </c>
      <c r="Z1476" s="18">
        <v>46160</v>
      </c>
      <c r="AA1476" s="15"/>
      <c r="AB1476" s="15"/>
    </row>
    <row r="1477" spans="1:28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71"/>
        <v>24</v>
      </c>
      <c r="R1477" s="53" t="str">
        <f t="shared" si="72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3">
        <f t="shared" si="73"/>
        <v>17</v>
      </c>
      <c r="Z1477" s="18">
        <v>46160</v>
      </c>
      <c r="AA1477" s="15"/>
      <c r="AB1477" s="15"/>
    </row>
    <row r="1478" spans="1:28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71"/>
        <v>24</v>
      </c>
      <c r="R1478" s="53" t="str">
        <f t="shared" si="72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3">
        <f t="shared" si="73"/>
        <v>17</v>
      </c>
      <c r="Z1478" s="18">
        <v>46160</v>
      </c>
      <c r="AA1478" s="15"/>
      <c r="AB1478" s="15"/>
    </row>
    <row r="1479" spans="1:28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71"/>
        <v>24</v>
      </c>
      <c r="R1479" s="53" t="str">
        <f t="shared" si="72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3">
        <f t="shared" si="73"/>
        <v>17</v>
      </c>
      <c r="Z1479" s="18">
        <v>46160</v>
      </c>
      <c r="AA1479" s="15"/>
      <c r="AB1479" s="15"/>
    </row>
    <row r="1480" spans="1:28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71"/>
        <v>24</v>
      </c>
      <c r="R1480" s="53" t="str">
        <f t="shared" si="72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3">
        <f t="shared" si="73"/>
        <v>17</v>
      </c>
      <c r="Z1480" s="18">
        <v>46160</v>
      </c>
      <c r="AA1480" s="15"/>
      <c r="AB1480" s="15"/>
    </row>
    <row r="1481" spans="1:28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71"/>
        <v>24</v>
      </c>
      <c r="R1481" s="53" t="str">
        <f t="shared" si="72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3">
        <f t="shared" si="73"/>
        <v>17</v>
      </c>
      <c r="Z1481" s="18">
        <v>46160</v>
      </c>
      <c r="AA1481" s="15"/>
      <c r="AB1481" s="15"/>
    </row>
    <row r="1482" spans="1:28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71"/>
        <v>24</v>
      </c>
      <c r="R1482" s="53" t="str">
        <f t="shared" si="72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3">
        <f t="shared" si="73"/>
        <v>17</v>
      </c>
      <c r="Z1482" s="18">
        <v>46160</v>
      </c>
      <c r="AA1482" s="15"/>
      <c r="AB1482" s="15"/>
    </row>
    <row r="1483" spans="1:28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71"/>
        <v>24</v>
      </c>
      <c r="R1483" s="53" t="str">
        <f t="shared" si="72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3">
        <f t="shared" si="73"/>
        <v>17</v>
      </c>
      <c r="Z1483" s="18">
        <v>46160</v>
      </c>
      <c r="AA1483" s="15"/>
      <c r="AB1483" s="15"/>
    </row>
    <row r="1484" spans="1:28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71"/>
        <v>24</v>
      </c>
      <c r="R1484" s="53" t="str">
        <f t="shared" si="72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3">
        <f t="shared" si="73"/>
        <v>17</v>
      </c>
      <c r="Z1484" s="18">
        <v>46160</v>
      </c>
      <c r="AA1484" s="15"/>
      <c r="AB1484" s="15"/>
    </row>
    <row r="1485" spans="1:28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71"/>
        <v>24</v>
      </c>
      <c r="R1485" s="53" t="str">
        <f t="shared" si="72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3">
        <f t="shared" si="73"/>
        <v>17</v>
      </c>
      <c r="Z1485" s="18">
        <v>46160</v>
      </c>
      <c r="AA1485" s="15"/>
      <c r="AB1485" s="15"/>
    </row>
    <row r="1486" spans="1:28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71"/>
        <v>24</v>
      </c>
      <c r="R1486" s="53" t="str">
        <f t="shared" si="72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3">
        <f t="shared" si="73"/>
        <v>17</v>
      </c>
      <c r="Z1486" s="18">
        <v>46160</v>
      </c>
      <c r="AA1486" s="15"/>
      <c r="AB1486" s="15"/>
    </row>
    <row r="1487" spans="1:28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71"/>
        <v>24</v>
      </c>
      <c r="R1487" s="53" t="str">
        <f t="shared" si="72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3">
        <f t="shared" si="73"/>
        <v>17</v>
      </c>
      <c r="Z1487" s="18">
        <v>46160</v>
      </c>
      <c r="AA1487" s="15"/>
      <c r="AB1487" s="15"/>
    </row>
    <row r="1488" spans="1:28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71"/>
        <v>24</v>
      </c>
      <c r="R1488" s="53" t="str">
        <f t="shared" si="72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3">
        <f t="shared" si="73"/>
        <v>17</v>
      </c>
      <c r="Z1488" s="18">
        <v>46160</v>
      </c>
      <c r="AA1488" s="15"/>
      <c r="AB1488" s="15"/>
    </row>
    <row r="1489" spans="1:28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71"/>
        <v>24</v>
      </c>
      <c r="R1489" s="53" t="str">
        <f t="shared" si="72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3">
        <f t="shared" si="73"/>
        <v>18</v>
      </c>
      <c r="Z1489" s="18">
        <v>46161</v>
      </c>
      <c r="AA1489" s="15"/>
      <c r="AB1489" s="15"/>
    </row>
    <row r="1490" spans="1:28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71"/>
        <v>24</v>
      </c>
      <c r="R1490" s="53" t="str">
        <f t="shared" si="72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3">
        <f t="shared" si="73"/>
        <v>18</v>
      </c>
      <c r="Z1490" s="18">
        <v>46161</v>
      </c>
      <c r="AA1490" s="15"/>
      <c r="AB1490" s="15"/>
    </row>
    <row r="1491" spans="1:28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71"/>
        <v>24</v>
      </c>
      <c r="R1491" s="53" t="str">
        <f t="shared" si="72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3">
        <f t="shared" si="73"/>
        <v>18</v>
      </c>
      <c r="Z1491" s="18">
        <v>46161</v>
      </c>
      <c r="AA1491" s="15"/>
      <c r="AB1491" s="15"/>
    </row>
    <row r="1492" spans="1:28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71"/>
        <v>24</v>
      </c>
      <c r="R1492" s="53" t="str">
        <f t="shared" si="72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3">
        <f t="shared" si="73"/>
        <v>18</v>
      </c>
      <c r="Z1492" s="18">
        <v>46161</v>
      </c>
      <c r="AA1492" s="15"/>
      <c r="AB1492" s="15"/>
    </row>
    <row r="1493" spans="1:28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71"/>
        <v>24</v>
      </c>
      <c r="R1493" s="53" t="str">
        <f t="shared" si="72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3">
        <f t="shared" si="73"/>
        <v>18</v>
      </c>
      <c r="Z1493" s="18">
        <v>46161</v>
      </c>
      <c r="AA1493" s="15"/>
      <c r="AB1493" s="15"/>
    </row>
    <row r="1494" spans="1:28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71"/>
        <v>24</v>
      </c>
      <c r="R1494" s="53" t="str">
        <f t="shared" si="72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3">
        <f t="shared" si="73"/>
        <v>18</v>
      </c>
      <c r="Z1494" s="18">
        <v>46161</v>
      </c>
      <c r="AA1494" s="15"/>
      <c r="AB1494" s="15"/>
    </row>
    <row r="1495" spans="1:28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71"/>
        <v>24</v>
      </c>
      <c r="R1495" s="53" t="str">
        <f t="shared" si="72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3">
        <f t="shared" si="73"/>
        <v>18</v>
      </c>
      <c r="Z1495" s="18">
        <v>46161</v>
      </c>
      <c r="AA1495" s="15"/>
      <c r="AB1495" s="15"/>
    </row>
    <row r="1496" spans="1:28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71"/>
        <v>24</v>
      </c>
      <c r="R1496" s="53" t="str">
        <f t="shared" si="72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3">
        <f t="shared" si="73"/>
        <v>18</v>
      </c>
      <c r="Z1496" s="18">
        <v>46161</v>
      </c>
      <c r="AA1496" s="15"/>
      <c r="AB1496" s="15"/>
    </row>
    <row r="1497" spans="1:28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71"/>
        <v>24</v>
      </c>
      <c r="R1497" s="53" t="str">
        <f t="shared" si="72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3">
        <f t="shared" si="73"/>
        <v>18</v>
      </c>
      <c r="Z1497" s="18">
        <v>46161</v>
      </c>
      <c r="AA1497" s="15"/>
      <c r="AB1497" s="15"/>
    </row>
    <row r="1498" spans="1:28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71"/>
        <v>24</v>
      </c>
      <c r="R1498" s="53" t="str">
        <f t="shared" si="72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3">
        <f t="shared" si="73"/>
        <v>18</v>
      </c>
      <c r="Z1498" s="18">
        <v>46161</v>
      </c>
      <c r="AA1498" s="15"/>
      <c r="AB1498" s="15"/>
    </row>
    <row r="1499" spans="1:28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71"/>
        <v>24</v>
      </c>
      <c r="R1499" s="53" t="str">
        <f t="shared" si="72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3">
        <f t="shared" si="73"/>
        <v>18</v>
      </c>
      <c r="Z1499" s="18">
        <v>46161</v>
      </c>
      <c r="AA1499" s="15"/>
      <c r="AB1499" s="15"/>
    </row>
    <row r="1500" spans="1:28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71"/>
        <v>24</v>
      </c>
      <c r="R1500" s="53" t="str">
        <f t="shared" si="72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3">
        <f t="shared" si="73"/>
        <v>18</v>
      </c>
      <c r="Z1500" s="18">
        <v>46161</v>
      </c>
      <c r="AA1500" s="15"/>
      <c r="AB1500" s="15"/>
    </row>
    <row r="1501" spans="1:28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71"/>
        <v>24</v>
      </c>
      <c r="R1501" s="53" t="str">
        <f t="shared" si="72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3">
        <f t="shared" si="73"/>
        <v>18</v>
      </c>
      <c r="Z1501" s="18">
        <v>46161</v>
      </c>
      <c r="AA1501" s="15"/>
      <c r="AB1501" s="15"/>
    </row>
    <row r="1502" spans="1:28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71"/>
        <v>24</v>
      </c>
      <c r="R1502" s="53" t="str">
        <f t="shared" si="72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3">
        <f t="shared" si="73"/>
        <v>18</v>
      </c>
      <c r="Z1502" s="18">
        <v>46161</v>
      </c>
      <c r="AA1502" s="15"/>
      <c r="AB1502" s="15"/>
    </row>
    <row r="1503" spans="1:28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71"/>
        <v>24</v>
      </c>
      <c r="R1503" s="53" t="str">
        <f t="shared" si="72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3">
        <f t="shared" si="73"/>
        <v>18</v>
      </c>
      <c r="Z1503" s="18">
        <v>46161</v>
      </c>
      <c r="AA1503" s="15"/>
      <c r="AB1503" s="15"/>
    </row>
    <row r="1504" spans="1:28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71"/>
        <v>24</v>
      </c>
      <c r="R1504" s="53" t="str">
        <f t="shared" si="72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3">
        <f t="shared" si="73"/>
        <v>18</v>
      </c>
      <c r="Z1504" s="18">
        <v>46161</v>
      </c>
      <c r="AA1504" s="15"/>
      <c r="AB1504" s="15"/>
    </row>
    <row r="1505" spans="1:28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71"/>
        <v>24</v>
      </c>
      <c r="R1505" s="53" t="str">
        <f t="shared" si="72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3">
        <f t="shared" si="73"/>
        <v>18</v>
      </c>
      <c r="Z1505" s="18">
        <v>46161</v>
      </c>
      <c r="AA1505" s="15"/>
      <c r="AB1505" s="15"/>
    </row>
    <row r="1506" spans="1:28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71"/>
        <v>24</v>
      </c>
      <c r="R1506" s="53" t="str">
        <f t="shared" si="72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3">
        <f t="shared" si="73"/>
        <v>18</v>
      </c>
      <c r="Z1506" s="18">
        <v>46161</v>
      </c>
      <c r="AA1506" s="15"/>
      <c r="AB1506" s="15"/>
    </row>
    <row r="1507" spans="1:28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71"/>
        <v>24</v>
      </c>
      <c r="R1507" s="53" t="str">
        <f t="shared" si="72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3">
        <f t="shared" si="73"/>
        <v>18</v>
      </c>
      <c r="Z1507" s="18">
        <v>46161</v>
      </c>
      <c r="AA1507" s="15"/>
      <c r="AB1507" s="15"/>
    </row>
    <row r="1508" spans="1:28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71"/>
        <v>24</v>
      </c>
      <c r="R1508" s="53" t="str">
        <f t="shared" si="72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3">
        <f t="shared" si="73"/>
        <v>18</v>
      </c>
      <c r="Z1508" s="18">
        <v>46161</v>
      </c>
      <c r="AA1508" s="15"/>
      <c r="AB1508" s="15"/>
    </row>
    <row r="1509" spans="1:28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71"/>
        <v>24</v>
      </c>
      <c r="R1509" s="53" t="str">
        <f t="shared" si="72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3">
        <f t="shared" si="73"/>
        <v>18</v>
      </c>
      <c r="Z1509" s="18">
        <v>46161</v>
      </c>
      <c r="AA1509" s="15"/>
      <c r="AB1509" s="15"/>
    </row>
    <row r="1510" spans="1:28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71"/>
        <v>24</v>
      </c>
      <c r="R1510" s="53" t="str">
        <f t="shared" si="72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3">
        <f t="shared" si="73"/>
        <v>18</v>
      </c>
      <c r="Z1510" s="18">
        <v>46161</v>
      </c>
      <c r="AA1510" s="15"/>
      <c r="AB1510" s="15"/>
    </row>
    <row r="1511" spans="1:28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74">MID(P1511,5,2)</f>
        <v>24</v>
      </c>
      <c r="R1511" s="53" t="str">
        <f t="shared" ref="R1511:R1574" si="75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3">
        <f t="shared" si="73"/>
        <v>18</v>
      </c>
      <c r="Z1511" s="18">
        <v>46161</v>
      </c>
      <c r="AA1511" s="15"/>
      <c r="AB1511" s="15"/>
    </row>
    <row r="1512" spans="1:28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74"/>
        <v>24</v>
      </c>
      <c r="R1512" s="53" t="str">
        <f t="shared" si="75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3">
        <f t="shared" si="73"/>
        <v>18</v>
      </c>
      <c r="Z1512" s="18">
        <v>46161</v>
      </c>
      <c r="AA1512" s="15"/>
      <c r="AB1512" s="15"/>
    </row>
    <row r="1513" spans="1:28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74"/>
        <v>24</v>
      </c>
      <c r="R1513" s="53" t="str">
        <f t="shared" si="75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3">
        <f t="shared" si="73"/>
        <v>18</v>
      </c>
      <c r="Z1513" s="18">
        <v>46161</v>
      </c>
      <c r="AA1513" s="15"/>
      <c r="AB1513" s="15"/>
    </row>
    <row r="1514" spans="1:28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74"/>
        <v>24</v>
      </c>
      <c r="R1514" s="53" t="str">
        <f t="shared" si="75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3">
        <f t="shared" si="73"/>
        <v>18</v>
      </c>
      <c r="Z1514" s="18">
        <v>46161</v>
      </c>
      <c r="AA1514" s="15"/>
      <c r="AB1514" s="15"/>
    </row>
    <row r="1515" spans="1:28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74"/>
        <v>24</v>
      </c>
      <c r="R1515" s="53" t="str">
        <f t="shared" si="75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3">
        <f t="shared" si="73"/>
        <v>18</v>
      </c>
      <c r="Z1515" s="18">
        <v>46161</v>
      </c>
      <c r="AA1515" s="15"/>
      <c r="AB1515" s="15"/>
    </row>
    <row r="1516" spans="1:28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74"/>
        <v>24</v>
      </c>
      <c r="R1516" s="53" t="str">
        <f t="shared" si="75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3">
        <f t="shared" si="73"/>
        <v>18</v>
      </c>
      <c r="Z1516" s="18">
        <v>46161</v>
      </c>
      <c r="AA1516" s="15"/>
      <c r="AB1516" s="15"/>
    </row>
    <row r="1517" spans="1:28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74"/>
        <v>24</v>
      </c>
      <c r="R1517" s="53" t="str">
        <f t="shared" si="75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3">
        <f t="shared" si="73"/>
        <v>18</v>
      </c>
      <c r="Z1517" s="18">
        <v>46161</v>
      </c>
      <c r="AA1517" s="15"/>
      <c r="AB1517" s="15"/>
    </row>
    <row r="1518" spans="1:28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74"/>
        <v>24</v>
      </c>
      <c r="R1518" s="53" t="str">
        <f t="shared" si="75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3">
        <f t="shared" si="73"/>
        <v>18</v>
      </c>
      <c r="Z1518" s="18">
        <v>46161</v>
      </c>
      <c r="AA1518" s="15"/>
      <c r="AB1518" s="15"/>
    </row>
    <row r="1519" spans="1:28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74"/>
        <v>24</v>
      </c>
      <c r="R1519" s="53" t="str">
        <f t="shared" si="75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3">
        <f t="shared" si="73"/>
        <v>18</v>
      </c>
      <c r="Z1519" s="18">
        <v>46161</v>
      </c>
      <c r="AA1519" s="15"/>
      <c r="AB1519" s="15"/>
    </row>
    <row r="1520" spans="1:28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74"/>
        <v>24</v>
      </c>
      <c r="R1520" s="53" t="str">
        <f t="shared" si="75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3">
        <f t="shared" si="73"/>
        <v>18</v>
      </c>
      <c r="Z1520" s="18">
        <v>46161</v>
      </c>
      <c r="AA1520" s="15"/>
      <c r="AB1520" s="15"/>
    </row>
    <row r="1521" spans="1:28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74"/>
        <v>24</v>
      </c>
      <c r="R1521" s="53" t="str">
        <f t="shared" si="75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3">
        <f t="shared" si="73"/>
        <v>18</v>
      </c>
      <c r="Z1521" s="18">
        <v>46161</v>
      </c>
      <c r="AA1521" s="15"/>
      <c r="AB1521" s="15"/>
    </row>
    <row r="1522" spans="1:28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74"/>
        <v>24</v>
      </c>
      <c r="R1522" s="53" t="str">
        <f t="shared" si="75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3">
        <f t="shared" si="73"/>
        <v>18</v>
      </c>
      <c r="Z1522" s="18">
        <v>46161</v>
      </c>
      <c r="AA1522" s="15"/>
      <c r="AB1522" s="15"/>
    </row>
    <row r="1523" spans="1:28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74"/>
        <v>24</v>
      </c>
      <c r="R1523" s="53" t="str">
        <f t="shared" si="75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3">
        <f t="shared" si="73"/>
        <v>18</v>
      </c>
      <c r="Z1523" s="18">
        <v>46161</v>
      </c>
      <c r="AA1523" s="15"/>
      <c r="AB1523" s="15"/>
    </row>
    <row r="1524" spans="1:28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74"/>
        <v>24</v>
      </c>
      <c r="R1524" s="53" t="str">
        <f t="shared" si="75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3">
        <f t="shared" si="73"/>
        <v>18</v>
      </c>
      <c r="Z1524" s="18">
        <v>46161</v>
      </c>
      <c r="AA1524" s="15"/>
      <c r="AB1524" s="15"/>
    </row>
    <row r="1525" spans="1:28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74"/>
        <v>24</v>
      </c>
      <c r="R1525" s="53" t="str">
        <f t="shared" si="75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3">
        <f t="shared" si="73"/>
        <v>18</v>
      </c>
      <c r="Z1525" s="18">
        <v>46161</v>
      </c>
      <c r="AA1525" s="15"/>
      <c r="AB1525" s="15"/>
    </row>
    <row r="1526" spans="1:28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74"/>
        <v>24</v>
      </c>
      <c r="R1526" s="53" t="str">
        <f t="shared" si="75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3">
        <f t="shared" si="73"/>
        <v>18</v>
      </c>
      <c r="Z1526" s="18">
        <v>46161</v>
      </c>
      <c r="AA1526" s="15"/>
      <c r="AB1526" s="15"/>
    </row>
    <row r="1527" spans="1:28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74"/>
        <v>24</v>
      </c>
      <c r="R1527" s="53" t="str">
        <f t="shared" si="75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3">
        <f t="shared" si="73"/>
        <v>18</v>
      </c>
      <c r="Z1527" s="18">
        <v>46161</v>
      </c>
      <c r="AA1527" s="15"/>
      <c r="AB1527" s="15"/>
    </row>
    <row r="1528" spans="1:28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74"/>
        <v>24</v>
      </c>
      <c r="R1528" s="53" t="str">
        <f t="shared" si="75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3">
        <f t="shared" si="73"/>
        <v>18</v>
      </c>
      <c r="Z1528" s="18">
        <v>46161</v>
      </c>
      <c r="AA1528" s="15"/>
      <c r="AB1528" s="15"/>
    </row>
    <row r="1529" spans="1:28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74"/>
        <v>24</v>
      </c>
      <c r="R1529" s="53" t="str">
        <f t="shared" si="75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3">
        <f t="shared" si="73"/>
        <v>18</v>
      </c>
      <c r="Z1529" s="18">
        <v>46161</v>
      </c>
      <c r="AA1529" s="15"/>
      <c r="AB1529" s="15"/>
    </row>
    <row r="1530" spans="1:28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74"/>
        <v>24</v>
      </c>
      <c r="R1530" s="53" t="str">
        <f t="shared" si="75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3">
        <f t="shared" si="73"/>
        <v>18</v>
      </c>
      <c r="Z1530" s="18">
        <v>46161</v>
      </c>
      <c r="AA1530" s="15"/>
      <c r="AB1530" s="15"/>
    </row>
    <row r="1531" spans="1:28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2980</v>
      </c>
      <c r="O1531" s="39">
        <v>540</v>
      </c>
      <c r="P1531" s="8" t="s">
        <v>1730</v>
      </c>
      <c r="Q1531" s="53" t="str">
        <f t="shared" si="74"/>
        <v>25</v>
      </c>
      <c r="R1531" s="53" t="str">
        <f t="shared" si="75"/>
        <v>09</v>
      </c>
      <c r="S1531" s="3" t="s">
        <v>199</v>
      </c>
      <c r="T1531" s="3" t="s">
        <v>40</v>
      </c>
      <c r="U1531" s="19" t="s">
        <v>2981</v>
      </c>
      <c r="V1531" s="3" t="s">
        <v>65</v>
      </c>
      <c r="W1531" s="3" t="s">
        <v>65</v>
      </c>
      <c r="X1531" s="18">
        <v>46162</v>
      </c>
      <c r="Y1531" s="3">
        <f t="shared" si="73"/>
        <v>0</v>
      </c>
      <c r="Z1531" s="18" t="s">
        <v>349</v>
      </c>
      <c r="AA1531" s="15"/>
      <c r="AB1531" s="15"/>
    </row>
    <row r="1532" spans="1:28" hidden="1">
      <c r="A1532" s="6">
        <v>46107</v>
      </c>
      <c r="B1532" s="3">
        <v>2026</v>
      </c>
      <c r="C1532" s="3" t="s">
        <v>2963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74"/>
        <v>24</v>
      </c>
      <c r="R1532" s="53" t="str">
        <f t="shared" si="75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3">
        <f t="shared" si="73"/>
        <v>55</v>
      </c>
      <c r="Z1532" s="18">
        <v>46162</v>
      </c>
      <c r="AA1532" s="15"/>
      <c r="AB1532" s="15"/>
    </row>
    <row r="1533" spans="1:28" hidden="1">
      <c r="A1533" s="6">
        <v>46107</v>
      </c>
      <c r="B1533" s="3">
        <v>2026</v>
      </c>
      <c r="C1533" s="3" t="s">
        <v>2963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74"/>
        <v>24</v>
      </c>
      <c r="R1533" s="53" t="str">
        <f t="shared" si="75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3">
        <f t="shared" si="73"/>
        <v>55</v>
      </c>
      <c r="Z1533" s="18">
        <v>46162</v>
      </c>
      <c r="AA1533" s="15"/>
      <c r="AB1533" s="15"/>
    </row>
    <row r="1534" spans="1:28" hidden="1">
      <c r="A1534" s="6">
        <v>46107</v>
      </c>
      <c r="B1534" s="3">
        <v>2026</v>
      </c>
      <c r="C1534" s="3" t="s">
        <v>2963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74"/>
        <v>24</v>
      </c>
      <c r="R1534" s="53" t="str">
        <f t="shared" si="75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3">
        <f t="shared" si="73"/>
        <v>55</v>
      </c>
      <c r="Z1534" s="18">
        <v>46162</v>
      </c>
      <c r="AA1534" s="15"/>
      <c r="AB1534" s="15"/>
    </row>
    <row r="1535" spans="1:28" hidden="1">
      <c r="A1535" s="6">
        <v>46107</v>
      </c>
      <c r="B1535" s="3">
        <v>2026</v>
      </c>
      <c r="C1535" s="3" t="s">
        <v>2963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74"/>
        <v>24</v>
      </c>
      <c r="R1535" s="53" t="str">
        <f t="shared" si="75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3">
        <f t="shared" si="73"/>
        <v>55</v>
      </c>
      <c r="Z1535" s="18">
        <v>46162</v>
      </c>
      <c r="AA1535" s="15"/>
      <c r="AB1535" s="15"/>
    </row>
    <row r="1536" spans="1:28" hidden="1">
      <c r="A1536" s="6">
        <v>46107</v>
      </c>
      <c r="B1536" s="3">
        <v>2026</v>
      </c>
      <c r="C1536" s="3" t="s">
        <v>2963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74"/>
        <v>24</v>
      </c>
      <c r="R1536" s="53" t="str">
        <f t="shared" si="75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3">
        <f t="shared" si="73"/>
        <v>55</v>
      </c>
      <c r="Z1536" s="18">
        <v>46162</v>
      </c>
      <c r="AA1536" s="15"/>
      <c r="AB1536" s="15"/>
    </row>
    <row r="1537" spans="1:28" hidden="1">
      <c r="A1537" s="6">
        <v>46107</v>
      </c>
      <c r="B1537" s="3">
        <v>2026</v>
      </c>
      <c r="C1537" s="3" t="s">
        <v>2963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74"/>
        <v>24</v>
      </c>
      <c r="R1537" s="53" t="str">
        <f t="shared" si="75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3">
        <f t="shared" si="73"/>
        <v>55</v>
      </c>
      <c r="Z1537" s="18">
        <v>46162</v>
      </c>
      <c r="AA1537" s="15"/>
      <c r="AB1537" s="15"/>
    </row>
    <row r="1538" spans="1:28" hidden="1">
      <c r="A1538" s="6">
        <v>46107</v>
      </c>
      <c r="B1538" s="3">
        <v>2026</v>
      </c>
      <c r="C1538" s="3" t="s">
        <v>2963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74"/>
        <v>24</v>
      </c>
      <c r="R1538" s="53" t="str">
        <f t="shared" si="75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3">
        <f t="shared" ref="Y1538:Y1601" si="76">X1538-A1538</f>
        <v>55</v>
      </c>
      <c r="Z1538" s="18">
        <v>46162</v>
      </c>
      <c r="AA1538" s="15"/>
      <c r="AB1538" s="15"/>
    </row>
    <row r="1539" spans="1:28" hidden="1">
      <c r="A1539" s="6">
        <v>46107</v>
      </c>
      <c r="B1539" s="3">
        <v>2026</v>
      </c>
      <c r="C1539" s="3" t="s">
        <v>2963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74"/>
        <v>24</v>
      </c>
      <c r="R1539" s="53" t="str">
        <f t="shared" si="75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3">
        <f t="shared" si="76"/>
        <v>55</v>
      </c>
      <c r="Z1539" s="18">
        <v>46162</v>
      </c>
      <c r="AA1539" s="15"/>
      <c r="AB1539" s="15"/>
    </row>
    <row r="1540" spans="1:28" hidden="1">
      <c r="A1540" s="6">
        <v>46107</v>
      </c>
      <c r="B1540" s="3">
        <v>2026</v>
      </c>
      <c r="C1540" s="3" t="s">
        <v>2963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74"/>
        <v>24</v>
      </c>
      <c r="R1540" s="53" t="str">
        <f t="shared" si="75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3">
        <f t="shared" si="76"/>
        <v>55</v>
      </c>
      <c r="Z1540" s="18">
        <v>46162</v>
      </c>
      <c r="AA1540" s="15"/>
      <c r="AB1540" s="15"/>
    </row>
    <row r="1541" spans="1:28" hidden="1">
      <c r="A1541" s="6">
        <v>46107</v>
      </c>
      <c r="B1541" s="3">
        <v>2026</v>
      </c>
      <c r="C1541" s="3" t="s">
        <v>2963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74"/>
        <v>24</v>
      </c>
      <c r="R1541" s="53" t="str">
        <f t="shared" si="75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3">
        <f t="shared" si="76"/>
        <v>55</v>
      </c>
      <c r="Z1541" s="18">
        <v>46162</v>
      </c>
      <c r="AA1541" s="15"/>
      <c r="AB1541" s="15"/>
    </row>
    <row r="1542" spans="1:28" hidden="1">
      <c r="A1542" s="6">
        <v>46107</v>
      </c>
      <c r="B1542" s="3">
        <v>2026</v>
      </c>
      <c r="C1542" s="3" t="s">
        <v>2963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74"/>
        <v>24</v>
      </c>
      <c r="R1542" s="53" t="str">
        <f t="shared" si="75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3">
        <f t="shared" si="76"/>
        <v>55</v>
      </c>
      <c r="Z1542" s="18">
        <v>46162</v>
      </c>
      <c r="AA1542" s="15"/>
      <c r="AB1542" s="15"/>
    </row>
    <row r="1543" spans="1:28" hidden="1">
      <c r="A1543" s="6">
        <v>46107</v>
      </c>
      <c r="B1543" s="3">
        <v>2026</v>
      </c>
      <c r="C1543" s="3" t="s">
        <v>2963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74"/>
        <v>24</v>
      </c>
      <c r="R1543" s="53" t="str">
        <f t="shared" si="75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3">
        <f t="shared" si="76"/>
        <v>55</v>
      </c>
      <c r="Z1543" s="18">
        <v>46162</v>
      </c>
      <c r="AA1543" s="15"/>
      <c r="AB1543" s="15"/>
    </row>
    <row r="1544" spans="1:28" hidden="1">
      <c r="A1544" s="6">
        <v>46107</v>
      </c>
      <c r="B1544" s="3">
        <v>2026</v>
      </c>
      <c r="C1544" s="3" t="s">
        <v>2963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74"/>
        <v>24</v>
      </c>
      <c r="R1544" s="53" t="str">
        <f t="shared" si="75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3">
        <f t="shared" si="76"/>
        <v>55</v>
      </c>
      <c r="Z1544" s="18">
        <v>46162</v>
      </c>
      <c r="AA1544" s="15"/>
      <c r="AB1544" s="15"/>
    </row>
    <row r="1545" spans="1:28" hidden="1">
      <c r="A1545" s="6">
        <v>46107</v>
      </c>
      <c r="B1545" s="3">
        <v>2026</v>
      </c>
      <c r="C1545" s="3" t="s">
        <v>2963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74"/>
        <v>24</v>
      </c>
      <c r="R1545" s="53" t="str">
        <f t="shared" si="75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3">
        <f t="shared" si="76"/>
        <v>55</v>
      </c>
      <c r="Z1545" s="18">
        <v>46162</v>
      </c>
      <c r="AA1545" s="15"/>
      <c r="AB1545" s="15"/>
    </row>
    <row r="1546" spans="1:28" hidden="1">
      <c r="A1546" s="6">
        <v>46107</v>
      </c>
      <c r="B1546" s="3">
        <v>2026</v>
      </c>
      <c r="C1546" s="3" t="s">
        <v>2963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74"/>
        <v>24</v>
      </c>
      <c r="R1546" s="53" t="str">
        <f t="shared" si="75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3">
        <f t="shared" si="76"/>
        <v>55</v>
      </c>
      <c r="Z1546" s="18">
        <v>46162</v>
      </c>
      <c r="AA1546" s="15"/>
      <c r="AB1546" s="15"/>
    </row>
    <row r="1547" spans="1:28" hidden="1">
      <c r="A1547" s="6">
        <v>46107</v>
      </c>
      <c r="B1547" s="3">
        <v>2026</v>
      </c>
      <c r="C1547" s="3" t="s">
        <v>2963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74"/>
        <v>24</v>
      </c>
      <c r="R1547" s="53" t="str">
        <f t="shared" si="75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3">
        <f t="shared" si="76"/>
        <v>55</v>
      </c>
      <c r="Z1547" s="18">
        <v>46162</v>
      </c>
      <c r="AA1547" s="15"/>
      <c r="AB1547" s="15"/>
    </row>
    <row r="1548" spans="1:28" hidden="1">
      <c r="A1548" s="6">
        <v>46107</v>
      </c>
      <c r="B1548" s="3">
        <v>2026</v>
      </c>
      <c r="C1548" s="3" t="s">
        <v>2963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74"/>
        <v>24</v>
      </c>
      <c r="R1548" s="53" t="str">
        <f t="shared" si="75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3">
        <f t="shared" si="76"/>
        <v>55</v>
      </c>
      <c r="Z1548" s="18">
        <v>46162</v>
      </c>
      <c r="AA1548" s="15"/>
      <c r="AB1548" s="15"/>
    </row>
    <row r="1549" spans="1:28" hidden="1">
      <c r="A1549" s="6">
        <v>46107</v>
      </c>
      <c r="B1549" s="3">
        <v>2026</v>
      </c>
      <c r="C1549" s="3" t="s">
        <v>2963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74"/>
        <v>24</v>
      </c>
      <c r="R1549" s="53" t="str">
        <f t="shared" si="75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3">
        <f t="shared" si="76"/>
        <v>55</v>
      </c>
      <c r="Z1549" s="18">
        <v>46162</v>
      </c>
      <c r="AA1549" s="15"/>
      <c r="AB1549" s="15"/>
    </row>
    <row r="1550" spans="1:28" hidden="1">
      <c r="A1550" s="6">
        <v>46107</v>
      </c>
      <c r="B1550" s="3">
        <v>2026</v>
      </c>
      <c r="C1550" s="3" t="s">
        <v>2963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74"/>
        <v>24</v>
      </c>
      <c r="R1550" s="53" t="str">
        <f t="shared" si="75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3">
        <f t="shared" si="76"/>
        <v>55</v>
      </c>
      <c r="Z1550" s="18">
        <v>46162</v>
      </c>
      <c r="AA1550" s="15"/>
      <c r="AB1550" s="15"/>
    </row>
    <row r="1551" spans="1:28" hidden="1">
      <c r="A1551" s="6">
        <v>46107</v>
      </c>
      <c r="B1551" s="3">
        <v>2026</v>
      </c>
      <c r="C1551" s="3" t="s">
        <v>2963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74"/>
        <v>24</v>
      </c>
      <c r="R1551" s="53" t="str">
        <f t="shared" si="75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3">
        <f t="shared" si="76"/>
        <v>55</v>
      </c>
      <c r="Z1551" s="18">
        <v>46162</v>
      </c>
      <c r="AA1551" s="15"/>
      <c r="AB1551" s="15"/>
    </row>
    <row r="1552" spans="1:28" hidden="1">
      <c r="A1552" s="6">
        <v>46107</v>
      </c>
      <c r="B1552" s="3">
        <v>2026</v>
      </c>
      <c r="C1552" s="3" t="s">
        <v>2963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74"/>
        <v>24</v>
      </c>
      <c r="R1552" s="53" t="str">
        <f t="shared" si="75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3">
        <f t="shared" si="76"/>
        <v>55</v>
      </c>
      <c r="Z1552" s="18">
        <v>46162</v>
      </c>
      <c r="AA1552" s="15"/>
      <c r="AB1552" s="15"/>
    </row>
    <row r="1553" spans="1:28" hidden="1">
      <c r="A1553" s="6">
        <v>46107</v>
      </c>
      <c r="B1553" s="3">
        <v>2026</v>
      </c>
      <c r="C1553" s="3" t="s">
        <v>2963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74"/>
        <v>24</v>
      </c>
      <c r="R1553" s="53" t="str">
        <f t="shared" si="75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3">
        <f t="shared" si="76"/>
        <v>55</v>
      </c>
      <c r="Z1553" s="18">
        <v>46162</v>
      </c>
      <c r="AA1553" s="15"/>
      <c r="AB1553" s="15"/>
    </row>
    <row r="1554" spans="1:28" hidden="1">
      <c r="A1554" s="6">
        <v>46107</v>
      </c>
      <c r="B1554" s="3">
        <v>2026</v>
      </c>
      <c r="C1554" s="3" t="s">
        <v>2963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74"/>
        <v>24</v>
      </c>
      <c r="R1554" s="53" t="str">
        <f t="shared" si="75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3">
        <f t="shared" si="76"/>
        <v>55</v>
      </c>
      <c r="Z1554" s="18">
        <v>46162</v>
      </c>
      <c r="AA1554" s="15"/>
      <c r="AB1554" s="15"/>
    </row>
    <row r="1555" spans="1:28" hidden="1">
      <c r="A1555" s="6">
        <v>46107</v>
      </c>
      <c r="B1555" s="3">
        <v>2026</v>
      </c>
      <c r="C1555" s="3" t="s">
        <v>2963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74"/>
        <v>24</v>
      </c>
      <c r="R1555" s="53" t="str">
        <f t="shared" si="75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3">
        <f t="shared" si="76"/>
        <v>55</v>
      </c>
      <c r="Z1555" s="18">
        <v>46162</v>
      </c>
      <c r="AA1555" s="15"/>
      <c r="AB1555" s="15"/>
    </row>
    <row r="1556" spans="1:28" hidden="1">
      <c r="A1556" s="6">
        <v>46107</v>
      </c>
      <c r="B1556" s="3">
        <v>2026</v>
      </c>
      <c r="C1556" s="3" t="s">
        <v>2963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74"/>
        <v>24</v>
      </c>
      <c r="R1556" s="53" t="str">
        <f t="shared" si="75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3">
        <f t="shared" si="76"/>
        <v>55</v>
      </c>
      <c r="Z1556" s="18">
        <v>46162</v>
      </c>
      <c r="AA1556" s="15"/>
      <c r="AB1556" s="15"/>
    </row>
    <row r="1557" spans="1:28" hidden="1">
      <c r="A1557" s="6">
        <v>46107</v>
      </c>
      <c r="B1557" s="3">
        <v>2026</v>
      </c>
      <c r="C1557" s="3" t="s">
        <v>2963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74"/>
        <v>24</v>
      </c>
      <c r="R1557" s="53" t="str">
        <f t="shared" si="75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3">
        <f t="shared" si="76"/>
        <v>55</v>
      </c>
      <c r="Z1557" s="18">
        <v>46162</v>
      </c>
      <c r="AA1557" s="15"/>
      <c r="AB1557" s="15"/>
    </row>
    <row r="1558" spans="1:28" hidden="1">
      <c r="A1558" s="6">
        <v>46107</v>
      </c>
      <c r="B1558" s="3">
        <v>2026</v>
      </c>
      <c r="C1558" s="3" t="s">
        <v>2963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74"/>
        <v>24</v>
      </c>
      <c r="R1558" s="53" t="str">
        <f t="shared" si="75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3">
        <f t="shared" si="76"/>
        <v>55</v>
      </c>
      <c r="Z1558" s="18">
        <v>46162</v>
      </c>
      <c r="AA1558" s="15"/>
      <c r="AB1558" s="15"/>
    </row>
    <row r="1559" spans="1:28" hidden="1">
      <c r="A1559" s="6">
        <v>46107</v>
      </c>
      <c r="B1559" s="3">
        <v>2026</v>
      </c>
      <c r="C1559" s="3" t="s">
        <v>2963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74"/>
        <v>24</v>
      </c>
      <c r="R1559" s="53" t="str">
        <f t="shared" si="75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3">
        <f t="shared" si="76"/>
        <v>55</v>
      </c>
      <c r="Z1559" s="18">
        <v>46162</v>
      </c>
      <c r="AA1559" s="15"/>
      <c r="AB1559" s="15"/>
    </row>
    <row r="1560" spans="1:28" hidden="1">
      <c r="A1560" s="6">
        <v>46107</v>
      </c>
      <c r="B1560" s="3">
        <v>2026</v>
      </c>
      <c r="C1560" s="3" t="s">
        <v>2963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74"/>
        <v>24</v>
      </c>
      <c r="R1560" s="53" t="str">
        <f t="shared" si="75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3">
        <f t="shared" si="76"/>
        <v>55</v>
      </c>
      <c r="Z1560" s="18">
        <v>46162</v>
      </c>
      <c r="AA1560" s="15"/>
      <c r="AB1560" s="15"/>
    </row>
    <row r="1561" spans="1:28" hidden="1">
      <c r="A1561" s="6">
        <v>46107</v>
      </c>
      <c r="B1561" s="3">
        <v>2026</v>
      </c>
      <c r="C1561" s="3" t="s">
        <v>2963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74"/>
        <v>24</v>
      </c>
      <c r="R1561" s="53" t="str">
        <f t="shared" si="75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3">
        <f t="shared" si="76"/>
        <v>55</v>
      </c>
      <c r="Z1561" s="18">
        <v>46162</v>
      </c>
      <c r="AA1561" s="15"/>
      <c r="AB1561" s="15"/>
    </row>
    <row r="1562" spans="1:28" hidden="1">
      <c r="A1562" s="6">
        <v>46107</v>
      </c>
      <c r="B1562" s="3">
        <v>2026</v>
      </c>
      <c r="C1562" s="3" t="s">
        <v>2963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74"/>
        <v>24</v>
      </c>
      <c r="R1562" s="53" t="str">
        <f t="shared" si="75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3">
        <f t="shared" si="76"/>
        <v>55</v>
      </c>
      <c r="Z1562" s="18">
        <v>46162</v>
      </c>
      <c r="AA1562" s="15"/>
      <c r="AB1562" s="15"/>
    </row>
    <row r="1563" spans="1:28" hidden="1">
      <c r="A1563" s="6">
        <v>46107</v>
      </c>
      <c r="B1563" s="3">
        <v>2026</v>
      </c>
      <c r="C1563" s="3" t="s">
        <v>2963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74"/>
        <v>24</v>
      </c>
      <c r="R1563" s="53" t="str">
        <f t="shared" si="75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3">
        <f t="shared" si="76"/>
        <v>55</v>
      </c>
      <c r="Z1563" s="18">
        <v>46162</v>
      </c>
      <c r="AA1563" s="15"/>
      <c r="AB1563" s="15"/>
    </row>
    <row r="1564" spans="1:28" hidden="1">
      <c r="A1564" s="6">
        <v>46107</v>
      </c>
      <c r="B1564" s="3">
        <v>2026</v>
      </c>
      <c r="C1564" s="3" t="s">
        <v>2963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74"/>
        <v>24</v>
      </c>
      <c r="R1564" s="53" t="str">
        <f t="shared" si="75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3">
        <f t="shared" si="76"/>
        <v>55</v>
      </c>
      <c r="Z1564" s="18">
        <v>46162</v>
      </c>
      <c r="AA1564" s="15"/>
      <c r="AB1564" s="15"/>
    </row>
    <row r="1565" spans="1:28" hidden="1">
      <c r="A1565" s="6">
        <v>46107</v>
      </c>
      <c r="B1565" s="3">
        <v>2026</v>
      </c>
      <c r="C1565" s="3" t="s">
        <v>2963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74"/>
        <v>24</v>
      </c>
      <c r="R1565" s="53" t="str">
        <f t="shared" si="75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3">
        <f t="shared" si="76"/>
        <v>55</v>
      </c>
      <c r="Z1565" s="18">
        <v>46162</v>
      </c>
      <c r="AA1565" s="15"/>
      <c r="AB1565" s="15"/>
    </row>
    <row r="1566" spans="1:28" hidden="1">
      <c r="A1566" s="6">
        <v>46107</v>
      </c>
      <c r="B1566" s="3">
        <v>2026</v>
      </c>
      <c r="C1566" s="3" t="s">
        <v>2963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74"/>
        <v>24</v>
      </c>
      <c r="R1566" s="53" t="str">
        <f t="shared" si="75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3">
        <f t="shared" si="76"/>
        <v>55</v>
      </c>
      <c r="Z1566" s="18">
        <v>46162</v>
      </c>
      <c r="AA1566" s="15"/>
      <c r="AB1566" s="15"/>
    </row>
    <row r="1567" spans="1:28" hidden="1">
      <c r="A1567" s="6">
        <v>46107</v>
      </c>
      <c r="B1567" s="3">
        <v>2026</v>
      </c>
      <c r="C1567" s="3" t="s">
        <v>2963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74"/>
        <v>24</v>
      </c>
      <c r="R1567" s="53" t="str">
        <f t="shared" si="75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3">
        <f t="shared" si="76"/>
        <v>55</v>
      </c>
      <c r="Z1567" s="18">
        <v>46162</v>
      </c>
      <c r="AA1567" s="15"/>
      <c r="AB1567" s="15"/>
    </row>
    <row r="1568" spans="1:28" hidden="1">
      <c r="A1568" s="6">
        <v>46107</v>
      </c>
      <c r="B1568" s="3">
        <v>2026</v>
      </c>
      <c r="C1568" s="3" t="s">
        <v>2963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74"/>
        <v>24</v>
      </c>
      <c r="R1568" s="53" t="str">
        <f t="shared" si="75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3">
        <f t="shared" si="76"/>
        <v>55</v>
      </c>
      <c r="Z1568" s="18">
        <v>46162</v>
      </c>
      <c r="AA1568" s="15"/>
      <c r="AB1568" s="15"/>
    </row>
    <row r="1569" spans="1:28" hidden="1">
      <c r="A1569" s="6">
        <v>46107</v>
      </c>
      <c r="B1569" s="3">
        <v>2026</v>
      </c>
      <c r="C1569" s="3" t="s">
        <v>2963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74"/>
        <v>24</v>
      </c>
      <c r="R1569" s="53" t="str">
        <f t="shared" si="75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3">
        <f t="shared" si="76"/>
        <v>55</v>
      </c>
      <c r="Z1569" s="18">
        <v>46162</v>
      </c>
      <c r="AA1569" s="15"/>
      <c r="AB1569" s="15"/>
    </row>
    <row r="1570" spans="1:28" hidden="1">
      <c r="A1570" s="6">
        <v>46107</v>
      </c>
      <c r="B1570" s="3">
        <v>2026</v>
      </c>
      <c r="C1570" s="3" t="s">
        <v>2963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74"/>
        <v>24</v>
      </c>
      <c r="R1570" s="53" t="str">
        <f t="shared" si="75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3">
        <f t="shared" si="76"/>
        <v>55</v>
      </c>
      <c r="Z1570" s="18">
        <v>46162</v>
      </c>
      <c r="AA1570" s="15"/>
      <c r="AB1570" s="15"/>
    </row>
    <row r="1571" spans="1:28" hidden="1">
      <c r="A1571" s="6">
        <v>46107</v>
      </c>
      <c r="B1571" s="3">
        <v>2026</v>
      </c>
      <c r="C1571" s="3" t="s">
        <v>2963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74"/>
        <v>24</v>
      </c>
      <c r="R1571" s="53" t="str">
        <f t="shared" si="75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3">
        <f t="shared" si="76"/>
        <v>55</v>
      </c>
      <c r="Z1571" s="18">
        <v>46162</v>
      </c>
      <c r="AA1571" s="15"/>
      <c r="AB1571" s="15"/>
    </row>
    <row r="1572" spans="1:28" hidden="1">
      <c r="A1572" s="6">
        <v>46107</v>
      </c>
      <c r="B1572" s="3">
        <v>2026</v>
      </c>
      <c r="C1572" s="3" t="s">
        <v>2963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74"/>
        <v>24</v>
      </c>
      <c r="R1572" s="53" t="str">
        <f t="shared" si="75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3">
        <f t="shared" si="76"/>
        <v>55</v>
      </c>
      <c r="Z1572" s="18">
        <v>46162</v>
      </c>
      <c r="AA1572" s="15"/>
      <c r="AB1572" s="15"/>
    </row>
    <row r="1573" spans="1:28" hidden="1">
      <c r="A1573" s="6">
        <v>46107</v>
      </c>
      <c r="B1573" s="3">
        <v>2026</v>
      </c>
      <c r="C1573" s="3" t="s">
        <v>2963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74"/>
        <v>24</v>
      </c>
      <c r="R1573" s="53" t="str">
        <f t="shared" si="75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3">
        <f t="shared" si="76"/>
        <v>55</v>
      </c>
      <c r="Z1573" s="18">
        <v>46162</v>
      </c>
      <c r="AA1573" s="15"/>
      <c r="AB1573" s="15"/>
    </row>
    <row r="1574" spans="1:28" hidden="1">
      <c r="A1574" s="6">
        <v>46107</v>
      </c>
      <c r="B1574" s="3">
        <v>2026</v>
      </c>
      <c r="C1574" s="3" t="s">
        <v>2963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74"/>
        <v>24</v>
      </c>
      <c r="R1574" s="53" t="str">
        <f t="shared" si="75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3">
        <f t="shared" si="76"/>
        <v>55</v>
      </c>
      <c r="Z1574" s="18">
        <v>46162</v>
      </c>
      <c r="AA1574" s="15"/>
      <c r="AB1574" s="15"/>
    </row>
    <row r="1575" spans="1:28" hidden="1">
      <c r="A1575" s="6">
        <v>46107</v>
      </c>
      <c r="B1575" s="3">
        <v>2026</v>
      </c>
      <c r="C1575" s="3" t="s">
        <v>2963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77">MID(P1575,5,2)</f>
        <v>24</v>
      </c>
      <c r="R1575" s="53" t="str">
        <f t="shared" ref="R1575:R1638" si="78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3">
        <f t="shared" si="76"/>
        <v>55</v>
      </c>
      <c r="Z1575" s="18">
        <v>46162</v>
      </c>
      <c r="AA1575" s="15"/>
      <c r="AB1575" s="15"/>
    </row>
    <row r="1576" spans="1:28" hidden="1">
      <c r="A1576" s="6">
        <v>46107</v>
      </c>
      <c r="B1576" s="3">
        <v>2026</v>
      </c>
      <c r="C1576" s="3" t="s">
        <v>2963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77"/>
        <v>24</v>
      </c>
      <c r="R1576" s="53" t="str">
        <f t="shared" si="78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3">
        <f t="shared" si="76"/>
        <v>55</v>
      </c>
      <c r="Z1576" s="18">
        <v>46162</v>
      </c>
      <c r="AA1576" s="15"/>
      <c r="AB1576" s="15"/>
    </row>
    <row r="1577" spans="1:28" hidden="1">
      <c r="A1577" s="6">
        <v>46107</v>
      </c>
      <c r="B1577" s="3">
        <v>2026</v>
      </c>
      <c r="C1577" s="3" t="s">
        <v>2963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77"/>
        <v>24</v>
      </c>
      <c r="R1577" s="53" t="str">
        <f t="shared" si="78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3">
        <f t="shared" si="76"/>
        <v>55</v>
      </c>
      <c r="Z1577" s="18">
        <v>46162</v>
      </c>
      <c r="AA1577" s="15"/>
      <c r="AB1577" s="15"/>
    </row>
    <row r="1578" spans="1:28" hidden="1">
      <c r="A1578" s="6">
        <v>46107</v>
      </c>
      <c r="B1578" s="3">
        <v>2026</v>
      </c>
      <c r="C1578" s="3" t="s">
        <v>2963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77"/>
        <v>24</v>
      </c>
      <c r="R1578" s="53" t="str">
        <f t="shared" si="78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3">
        <f t="shared" si="76"/>
        <v>55</v>
      </c>
      <c r="Z1578" s="18">
        <v>46162</v>
      </c>
      <c r="AA1578" s="15"/>
      <c r="AB1578" s="15"/>
    </row>
    <row r="1579" spans="1:28" hidden="1">
      <c r="A1579" s="6">
        <v>46107</v>
      </c>
      <c r="B1579" s="3">
        <v>2026</v>
      </c>
      <c r="C1579" s="3" t="s">
        <v>2963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77"/>
        <v>24</v>
      </c>
      <c r="R1579" s="53" t="str">
        <f t="shared" si="78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3">
        <f t="shared" si="76"/>
        <v>55</v>
      </c>
      <c r="Z1579" s="18">
        <v>46162</v>
      </c>
      <c r="AA1579" s="15"/>
      <c r="AB1579" s="15"/>
    </row>
    <row r="1580" spans="1:28" hidden="1">
      <c r="A1580" s="6">
        <v>46107</v>
      </c>
      <c r="B1580" s="3">
        <v>2026</v>
      </c>
      <c r="C1580" s="3" t="s">
        <v>2963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77"/>
        <v>24</v>
      </c>
      <c r="R1580" s="53" t="str">
        <f t="shared" si="78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3">
        <f t="shared" si="76"/>
        <v>55</v>
      </c>
      <c r="Z1580" s="18">
        <v>46162</v>
      </c>
      <c r="AA1580" s="15"/>
      <c r="AB1580" s="15"/>
    </row>
    <row r="1581" spans="1:28" hidden="1">
      <c r="A1581" s="6">
        <v>46107</v>
      </c>
      <c r="B1581" s="3">
        <v>2026</v>
      </c>
      <c r="C1581" s="3" t="s">
        <v>2963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77"/>
        <v>24</v>
      </c>
      <c r="R1581" s="53" t="str">
        <f t="shared" si="78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3">
        <f t="shared" si="76"/>
        <v>55</v>
      </c>
      <c r="Z1581" s="18">
        <v>46162</v>
      </c>
      <c r="AA1581" s="15"/>
      <c r="AB1581" s="15"/>
    </row>
    <row r="1582" spans="1:28" hidden="1">
      <c r="A1582" s="6">
        <v>46107</v>
      </c>
      <c r="B1582" s="3">
        <v>2026</v>
      </c>
      <c r="C1582" s="3" t="s">
        <v>2963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77"/>
        <v>24</v>
      </c>
      <c r="R1582" s="53" t="str">
        <f t="shared" si="78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3">
        <f t="shared" si="76"/>
        <v>55</v>
      </c>
      <c r="Z1582" s="18">
        <v>46162</v>
      </c>
      <c r="AA1582" s="15"/>
      <c r="AB1582" s="15"/>
    </row>
    <row r="1583" spans="1:28" hidden="1">
      <c r="A1583" s="6">
        <v>46107</v>
      </c>
      <c r="B1583" s="3">
        <v>2026</v>
      </c>
      <c r="C1583" s="3" t="s">
        <v>2963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77"/>
        <v>24</v>
      </c>
      <c r="R1583" s="53" t="str">
        <f t="shared" si="78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3">
        <f t="shared" si="76"/>
        <v>55</v>
      </c>
      <c r="Z1583" s="18">
        <v>46162</v>
      </c>
      <c r="AA1583" s="15"/>
      <c r="AB1583" s="15"/>
    </row>
    <row r="1584" spans="1:28" hidden="1">
      <c r="A1584" s="6">
        <v>46107</v>
      </c>
      <c r="B1584" s="3">
        <v>2026</v>
      </c>
      <c r="C1584" s="3" t="s">
        <v>2963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77"/>
        <v>24</v>
      </c>
      <c r="R1584" s="53" t="str">
        <f t="shared" si="78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3">
        <f t="shared" si="76"/>
        <v>55</v>
      </c>
      <c r="Z1584" s="18">
        <v>46162</v>
      </c>
      <c r="AA1584" s="15"/>
      <c r="AB1584" s="15"/>
    </row>
    <row r="1585" spans="1:28" hidden="1">
      <c r="A1585" s="6">
        <v>46107</v>
      </c>
      <c r="B1585" s="3">
        <v>2026</v>
      </c>
      <c r="C1585" s="3" t="s">
        <v>2963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77"/>
        <v>24</v>
      </c>
      <c r="R1585" s="53" t="str">
        <f t="shared" si="78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3">
        <f t="shared" si="76"/>
        <v>55</v>
      </c>
      <c r="Z1585" s="18">
        <v>46162</v>
      </c>
      <c r="AA1585" s="15"/>
      <c r="AB1585" s="15"/>
    </row>
    <row r="1586" spans="1:28" hidden="1">
      <c r="A1586" s="6">
        <v>46107</v>
      </c>
      <c r="B1586" s="3">
        <v>2026</v>
      </c>
      <c r="C1586" s="3" t="s">
        <v>2963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77"/>
        <v>24</v>
      </c>
      <c r="R1586" s="53" t="str">
        <f t="shared" si="78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3">
        <f t="shared" si="76"/>
        <v>55</v>
      </c>
      <c r="Z1586" s="18">
        <v>46162</v>
      </c>
      <c r="AA1586" s="15"/>
      <c r="AB1586" s="15"/>
    </row>
    <row r="1587" spans="1:28" hidden="1">
      <c r="A1587" s="6">
        <v>46107</v>
      </c>
      <c r="B1587" s="3">
        <v>2026</v>
      </c>
      <c r="C1587" s="3" t="s">
        <v>2963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77"/>
        <v>24</v>
      </c>
      <c r="R1587" s="53" t="str">
        <f t="shared" si="78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3">
        <f t="shared" si="76"/>
        <v>55</v>
      </c>
      <c r="Z1587" s="18">
        <v>46162</v>
      </c>
      <c r="AA1587" s="15"/>
      <c r="AB1587" s="15"/>
    </row>
    <row r="1588" spans="1:28" hidden="1">
      <c r="A1588" s="6">
        <v>46107</v>
      </c>
      <c r="B1588" s="3">
        <v>2026</v>
      </c>
      <c r="C1588" s="3" t="s">
        <v>2963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77"/>
        <v>24</v>
      </c>
      <c r="R1588" s="53" t="str">
        <f t="shared" si="78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3">
        <f t="shared" si="76"/>
        <v>55</v>
      </c>
      <c r="Z1588" s="18">
        <v>46162</v>
      </c>
      <c r="AA1588" s="15"/>
      <c r="AB1588" s="15"/>
    </row>
    <row r="1589" spans="1:28" hidden="1">
      <c r="A1589" s="6">
        <v>46107</v>
      </c>
      <c r="B1589" s="3">
        <v>2026</v>
      </c>
      <c r="C1589" s="3" t="s">
        <v>2963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77"/>
        <v>24</v>
      </c>
      <c r="R1589" s="53" t="str">
        <f t="shared" si="78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3">
        <f t="shared" si="76"/>
        <v>55</v>
      </c>
      <c r="Z1589" s="18">
        <v>46162</v>
      </c>
      <c r="AA1589" s="15"/>
      <c r="AB1589" s="15"/>
    </row>
    <row r="1590" spans="1:28" hidden="1">
      <c r="A1590" s="6">
        <v>46107</v>
      </c>
      <c r="B1590" s="3">
        <v>2026</v>
      </c>
      <c r="C1590" s="3" t="s">
        <v>2963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77"/>
        <v>24</v>
      </c>
      <c r="R1590" s="53" t="str">
        <f t="shared" si="78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3">
        <f t="shared" si="76"/>
        <v>55</v>
      </c>
      <c r="Z1590" s="18">
        <v>46162</v>
      </c>
      <c r="AA1590" s="15"/>
      <c r="AB1590" s="15"/>
    </row>
    <row r="1591" spans="1:28" hidden="1">
      <c r="A1591" s="6">
        <v>46107</v>
      </c>
      <c r="B1591" s="3">
        <v>2026</v>
      </c>
      <c r="C1591" s="3" t="s">
        <v>2963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77"/>
        <v>24</v>
      </c>
      <c r="R1591" s="53" t="str">
        <f t="shared" si="78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3">
        <f t="shared" si="76"/>
        <v>55</v>
      </c>
      <c r="Z1591" s="18">
        <v>46162</v>
      </c>
      <c r="AA1591" s="15"/>
      <c r="AB1591" s="15"/>
    </row>
    <row r="1592" spans="1:28" hidden="1">
      <c r="A1592" s="6">
        <v>46107</v>
      </c>
      <c r="B1592" s="3">
        <v>2026</v>
      </c>
      <c r="C1592" s="3" t="s">
        <v>2963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77"/>
        <v>24</v>
      </c>
      <c r="R1592" s="53" t="str">
        <f t="shared" si="78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3">
        <f t="shared" si="76"/>
        <v>55</v>
      </c>
      <c r="Z1592" s="18">
        <v>46162</v>
      </c>
      <c r="AA1592" s="15"/>
      <c r="AB1592" s="15"/>
    </row>
    <row r="1593" spans="1:28" hidden="1">
      <c r="A1593" s="6">
        <v>46107</v>
      </c>
      <c r="B1593" s="3">
        <v>2026</v>
      </c>
      <c r="C1593" s="3" t="s">
        <v>2963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77"/>
        <v>24</v>
      </c>
      <c r="R1593" s="53" t="str">
        <f t="shared" si="78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3">
        <f t="shared" si="76"/>
        <v>55</v>
      </c>
      <c r="Z1593" s="18">
        <v>46162</v>
      </c>
      <c r="AA1593" s="15"/>
      <c r="AB1593" s="15"/>
    </row>
    <row r="1594" spans="1:28" hidden="1">
      <c r="A1594" s="6">
        <v>46107</v>
      </c>
      <c r="B1594" s="3">
        <v>2026</v>
      </c>
      <c r="C1594" s="3" t="s">
        <v>2963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77"/>
        <v>24</v>
      </c>
      <c r="R1594" s="53" t="str">
        <f t="shared" si="78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3">
        <f t="shared" si="76"/>
        <v>55</v>
      </c>
      <c r="Z1594" s="18">
        <v>46162</v>
      </c>
      <c r="AA1594" s="15"/>
      <c r="AB1594" s="15"/>
    </row>
    <row r="1595" spans="1:28" hidden="1">
      <c r="A1595" s="6">
        <v>46107</v>
      </c>
      <c r="B1595" s="3">
        <v>2026</v>
      </c>
      <c r="C1595" s="3" t="s">
        <v>2963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77"/>
        <v>24</v>
      </c>
      <c r="R1595" s="53" t="str">
        <f t="shared" si="78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3">
        <f t="shared" si="76"/>
        <v>55</v>
      </c>
      <c r="Z1595" s="18">
        <v>46162</v>
      </c>
      <c r="AA1595" s="15"/>
      <c r="AB1595" s="15"/>
    </row>
    <row r="1596" spans="1:28" hidden="1">
      <c r="A1596" s="6">
        <v>46107</v>
      </c>
      <c r="B1596" s="3">
        <v>2026</v>
      </c>
      <c r="C1596" s="3" t="s">
        <v>2963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77"/>
        <v>24</v>
      </c>
      <c r="R1596" s="53" t="str">
        <f t="shared" si="78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3">
        <f t="shared" si="76"/>
        <v>55</v>
      </c>
      <c r="Z1596" s="18">
        <v>46162</v>
      </c>
      <c r="AA1596" s="15"/>
      <c r="AB1596" s="15"/>
    </row>
    <row r="1597" spans="1:28" hidden="1">
      <c r="A1597" s="6">
        <v>46107</v>
      </c>
      <c r="B1597" s="3">
        <v>2026</v>
      </c>
      <c r="C1597" s="3" t="s">
        <v>2963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77"/>
        <v>24</v>
      </c>
      <c r="R1597" s="53" t="str">
        <f t="shared" si="78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3">
        <f t="shared" si="76"/>
        <v>55</v>
      </c>
      <c r="Z1597" s="18">
        <v>46162</v>
      </c>
      <c r="AA1597" s="15"/>
      <c r="AB1597" s="15"/>
    </row>
    <row r="1598" spans="1:28" hidden="1">
      <c r="A1598" s="6">
        <v>46107</v>
      </c>
      <c r="B1598" s="3">
        <v>2026</v>
      </c>
      <c r="C1598" s="3" t="s">
        <v>2963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77"/>
        <v>24</v>
      </c>
      <c r="R1598" s="53" t="str">
        <f t="shared" si="78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3">
        <f t="shared" si="76"/>
        <v>55</v>
      </c>
      <c r="Z1598" s="18">
        <v>46162</v>
      </c>
      <c r="AA1598" s="15"/>
      <c r="AB1598" s="15"/>
    </row>
    <row r="1599" spans="1:28" hidden="1">
      <c r="A1599" s="6">
        <v>46107</v>
      </c>
      <c r="B1599" s="3">
        <v>2026</v>
      </c>
      <c r="C1599" s="3" t="s">
        <v>2963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77"/>
        <v>24</v>
      </c>
      <c r="R1599" s="53" t="str">
        <f t="shared" si="78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3">
        <f t="shared" si="76"/>
        <v>55</v>
      </c>
      <c r="Z1599" s="18">
        <v>46162</v>
      </c>
      <c r="AA1599" s="15"/>
      <c r="AB1599" s="15"/>
    </row>
    <row r="1600" spans="1:28" hidden="1">
      <c r="A1600" s="6">
        <v>46107</v>
      </c>
      <c r="B1600" s="3">
        <v>2026</v>
      </c>
      <c r="C1600" s="3" t="s">
        <v>2963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77"/>
        <v>24</v>
      </c>
      <c r="R1600" s="53" t="str">
        <f t="shared" si="78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3">
        <f t="shared" si="76"/>
        <v>55</v>
      </c>
      <c r="Z1600" s="18">
        <v>46162</v>
      </c>
      <c r="AA1600" s="15"/>
      <c r="AB1600" s="15"/>
    </row>
    <row r="1601" spans="1:28" hidden="1">
      <c r="A1601" s="6">
        <v>46107</v>
      </c>
      <c r="B1601" s="3">
        <v>2026</v>
      </c>
      <c r="C1601" s="3" t="s">
        <v>2963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77"/>
        <v>24</v>
      </c>
      <c r="R1601" s="53" t="str">
        <f t="shared" si="78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3">
        <f t="shared" si="76"/>
        <v>55</v>
      </c>
      <c r="Z1601" s="18">
        <v>46162</v>
      </c>
      <c r="AA1601" s="15"/>
      <c r="AB1601" s="15"/>
    </row>
    <row r="1602" spans="1:28" hidden="1">
      <c r="A1602" s="6">
        <v>46107</v>
      </c>
      <c r="B1602" s="3">
        <v>2026</v>
      </c>
      <c r="C1602" s="3" t="s">
        <v>2963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77"/>
        <v>24</v>
      </c>
      <c r="R1602" s="53" t="str">
        <f t="shared" si="78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3">
        <f t="shared" ref="Y1602:Y1665" si="79">X1602-A1602</f>
        <v>55</v>
      </c>
      <c r="Z1602" s="18">
        <v>46162</v>
      </c>
      <c r="AA1602" s="15"/>
      <c r="AB1602" s="15"/>
    </row>
    <row r="1603" spans="1:28" hidden="1">
      <c r="A1603" s="6">
        <v>46107</v>
      </c>
      <c r="B1603" s="3">
        <v>2026</v>
      </c>
      <c r="C1603" s="3" t="s">
        <v>2963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77"/>
        <v>24</v>
      </c>
      <c r="R1603" s="53" t="str">
        <f t="shared" si="78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3">
        <f t="shared" si="79"/>
        <v>55</v>
      </c>
      <c r="Z1603" s="18">
        <v>46162</v>
      </c>
      <c r="AA1603" s="15"/>
      <c r="AB1603" s="15"/>
    </row>
    <row r="1604" spans="1:28" hidden="1">
      <c r="A1604" s="6">
        <v>46107</v>
      </c>
      <c r="B1604" s="3">
        <v>2026</v>
      </c>
      <c r="C1604" s="3" t="s">
        <v>2963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77"/>
        <v>24</v>
      </c>
      <c r="R1604" s="53" t="str">
        <f t="shared" si="78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3">
        <f t="shared" si="79"/>
        <v>55</v>
      </c>
      <c r="Z1604" s="18">
        <v>46162</v>
      </c>
      <c r="AA1604" s="15"/>
      <c r="AB1604" s="15"/>
    </row>
    <row r="1605" spans="1:28" hidden="1">
      <c r="A1605" s="6">
        <v>46107</v>
      </c>
      <c r="B1605" s="3">
        <v>2026</v>
      </c>
      <c r="C1605" s="3" t="s">
        <v>2963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77"/>
        <v>24</v>
      </c>
      <c r="R1605" s="53" t="str">
        <f t="shared" si="78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3">
        <f t="shared" si="79"/>
        <v>55</v>
      </c>
      <c r="Z1605" s="18">
        <v>46162</v>
      </c>
      <c r="AA1605" s="15"/>
      <c r="AB1605" s="15"/>
    </row>
    <row r="1606" spans="1:28" hidden="1">
      <c r="A1606" s="6">
        <v>46107</v>
      </c>
      <c r="B1606" s="3">
        <v>2026</v>
      </c>
      <c r="C1606" s="3" t="s">
        <v>2963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77"/>
        <v>24</v>
      </c>
      <c r="R1606" s="53" t="str">
        <f t="shared" si="78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3">
        <f t="shared" si="79"/>
        <v>55</v>
      </c>
      <c r="Z1606" s="18">
        <v>46162</v>
      </c>
      <c r="AA1606" s="15"/>
      <c r="AB1606" s="15"/>
    </row>
    <row r="1607" spans="1:28" hidden="1">
      <c r="A1607" s="6">
        <v>46107</v>
      </c>
      <c r="B1607" s="3">
        <v>2026</v>
      </c>
      <c r="C1607" s="3" t="s">
        <v>2963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77"/>
        <v>24</v>
      </c>
      <c r="R1607" s="53" t="str">
        <f t="shared" si="78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3">
        <f t="shared" si="79"/>
        <v>55</v>
      </c>
      <c r="Z1607" s="18">
        <v>46162</v>
      </c>
      <c r="AA1607" s="15"/>
      <c r="AB1607" s="15"/>
    </row>
    <row r="1608" spans="1:28" hidden="1">
      <c r="A1608" s="6">
        <v>46107</v>
      </c>
      <c r="B1608" s="3">
        <v>2026</v>
      </c>
      <c r="C1608" s="3" t="s">
        <v>2963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77"/>
        <v>24</v>
      </c>
      <c r="R1608" s="53" t="str">
        <f t="shared" si="78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3">
        <f t="shared" si="79"/>
        <v>55</v>
      </c>
      <c r="Z1608" s="18">
        <v>46162</v>
      </c>
      <c r="AA1608" s="15"/>
      <c r="AB1608" s="15"/>
    </row>
    <row r="1609" spans="1:28" hidden="1">
      <c r="A1609" s="6">
        <v>46107</v>
      </c>
      <c r="B1609" s="3">
        <v>2026</v>
      </c>
      <c r="C1609" s="3" t="s">
        <v>2963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77"/>
        <v>24</v>
      </c>
      <c r="R1609" s="53" t="str">
        <f t="shared" si="78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3">
        <f t="shared" si="79"/>
        <v>55</v>
      </c>
      <c r="Z1609" s="18">
        <v>46162</v>
      </c>
      <c r="AA1609" s="15"/>
      <c r="AB1609" s="15"/>
    </row>
    <row r="1610" spans="1:28" hidden="1">
      <c r="A1610" s="6">
        <v>46107</v>
      </c>
      <c r="B1610" s="3">
        <v>2026</v>
      </c>
      <c r="C1610" s="3" t="s">
        <v>2963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77"/>
        <v>24</v>
      </c>
      <c r="R1610" s="53" t="str">
        <f t="shared" si="78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3">
        <f t="shared" si="79"/>
        <v>55</v>
      </c>
      <c r="Z1610" s="18">
        <v>46162</v>
      </c>
      <c r="AA1610" s="15"/>
      <c r="AB1610" s="15"/>
    </row>
    <row r="1611" spans="1:28" hidden="1">
      <c r="A1611" s="6">
        <v>46107</v>
      </c>
      <c r="B1611" s="3">
        <v>2026</v>
      </c>
      <c r="C1611" s="3" t="s">
        <v>2963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77"/>
        <v>24</v>
      </c>
      <c r="R1611" s="53" t="str">
        <f t="shared" si="78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3">
        <f t="shared" si="79"/>
        <v>55</v>
      </c>
      <c r="Z1611" s="18">
        <v>46162</v>
      </c>
      <c r="AA1611" s="15"/>
      <c r="AB1611" s="15"/>
    </row>
    <row r="1612" spans="1:28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77"/>
        <v>24</v>
      </c>
      <c r="R1612" s="53" t="str">
        <f t="shared" si="78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3">
        <f t="shared" si="79"/>
        <v>19</v>
      </c>
      <c r="Z1612" s="18">
        <v>46162</v>
      </c>
      <c r="AA1612" s="15"/>
      <c r="AB1612" s="15"/>
    </row>
    <row r="1613" spans="1:28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77"/>
        <v>24</v>
      </c>
      <c r="R1613" s="53" t="str">
        <f t="shared" si="78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3">
        <f t="shared" si="79"/>
        <v>19</v>
      </c>
      <c r="Z1613" s="18">
        <v>46162</v>
      </c>
      <c r="AA1613" s="15"/>
      <c r="AB1613" s="15"/>
    </row>
    <row r="1614" spans="1:28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77"/>
        <v>24</v>
      </c>
      <c r="R1614" s="53" t="str">
        <f t="shared" si="78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3">
        <f t="shared" si="79"/>
        <v>19</v>
      </c>
      <c r="Z1614" s="18">
        <v>46162</v>
      </c>
      <c r="AA1614" s="15"/>
      <c r="AB1614" s="15"/>
    </row>
    <row r="1615" spans="1:28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77"/>
        <v>24</v>
      </c>
      <c r="R1615" s="53" t="str">
        <f t="shared" si="78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3">
        <f t="shared" si="79"/>
        <v>19</v>
      </c>
      <c r="Z1615" s="18">
        <v>46162</v>
      </c>
      <c r="AA1615" s="15"/>
      <c r="AB1615" s="15"/>
    </row>
    <row r="1616" spans="1:28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77"/>
        <v>24</v>
      </c>
      <c r="R1616" s="53" t="str">
        <f t="shared" si="78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3">
        <f t="shared" si="79"/>
        <v>19</v>
      </c>
      <c r="Z1616" s="18">
        <v>46162</v>
      </c>
      <c r="AA1616" s="15"/>
      <c r="AB1616" s="15"/>
    </row>
    <row r="1617" spans="1:28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77"/>
        <v>24</v>
      </c>
      <c r="R1617" s="53" t="str">
        <f t="shared" si="78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3">
        <f t="shared" si="79"/>
        <v>19</v>
      </c>
      <c r="Z1617" s="18">
        <v>46162</v>
      </c>
      <c r="AA1617" s="15"/>
      <c r="AB1617" s="15"/>
    </row>
    <row r="1618" spans="1:28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77"/>
        <v>24</v>
      </c>
      <c r="R1618" s="53" t="str">
        <f t="shared" si="78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3">
        <f t="shared" si="79"/>
        <v>19</v>
      </c>
      <c r="Z1618" s="18">
        <v>46162</v>
      </c>
      <c r="AA1618" s="15"/>
      <c r="AB1618" s="15"/>
    </row>
    <row r="1619" spans="1:28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77"/>
        <v>24</v>
      </c>
      <c r="R1619" s="53" t="str">
        <f t="shared" si="78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3">
        <f t="shared" si="79"/>
        <v>19</v>
      </c>
      <c r="Z1619" s="18">
        <v>46162</v>
      </c>
      <c r="AA1619" s="15"/>
      <c r="AB1619" s="15"/>
    </row>
    <row r="1620" spans="1:28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77"/>
        <v>24</v>
      </c>
      <c r="R1620" s="53" t="str">
        <f t="shared" si="78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3">
        <f t="shared" si="79"/>
        <v>19</v>
      </c>
      <c r="Z1620" s="18">
        <v>46162</v>
      </c>
      <c r="AA1620" s="15"/>
      <c r="AB1620" s="15"/>
    </row>
    <row r="1621" spans="1:28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77"/>
        <v>24</v>
      </c>
      <c r="R1621" s="53" t="str">
        <f t="shared" si="78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3">
        <f t="shared" si="79"/>
        <v>19</v>
      </c>
      <c r="Z1621" s="18">
        <v>46162</v>
      </c>
      <c r="AA1621" s="15"/>
      <c r="AB1621" s="15"/>
    </row>
    <row r="1622" spans="1:28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77"/>
        <v>24</v>
      </c>
      <c r="R1622" s="53" t="str">
        <f t="shared" si="78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3">
        <f t="shared" si="79"/>
        <v>19</v>
      </c>
      <c r="Z1622" s="18">
        <v>46162</v>
      </c>
      <c r="AA1622" s="15"/>
      <c r="AB1622" s="15"/>
    </row>
    <row r="1623" spans="1:28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77"/>
        <v>24</v>
      </c>
      <c r="R1623" s="53" t="str">
        <f t="shared" si="78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3">
        <f t="shared" si="79"/>
        <v>19</v>
      </c>
      <c r="Z1623" s="18">
        <v>46162</v>
      </c>
      <c r="AA1623" s="15"/>
      <c r="AB1623" s="15"/>
    </row>
    <row r="1624" spans="1:28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77"/>
        <v>24</v>
      </c>
      <c r="R1624" s="53" t="str">
        <f t="shared" si="78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3">
        <f t="shared" si="79"/>
        <v>19</v>
      </c>
      <c r="Z1624" s="18">
        <v>46162</v>
      </c>
      <c r="AA1624" s="15"/>
      <c r="AB1624" s="15"/>
    </row>
    <row r="1625" spans="1:28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77"/>
        <v>24</v>
      </c>
      <c r="R1625" s="53" t="str">
        <f t="shared" si="78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3">
        <f t="shared" si="79"/>
        <v>19</v>
      </c>
      <c r="Z1625" s="18">
        <v>46162</v>
      </c>
      <c r="AA1625" s="15"/>
      <c r="AB1625" s="15"/>
    </row>
    <row r="1626" spans="1:28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77"/>
        <v>24</v>
      </c>
      <c r="R1626" s="53" t="str">
        <f t="shared" si="78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3">
        <f t="shared" si="79"/>
        <v>19</v>
      </c>
      <c r="Z1626" s="18">
        <v>46162</v>
      </c>
      <c r="AA1626" s="15"/>
      <c r="AB1626" s="15"/>
    </row>
    <row r="1627" spans="1:28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77"/>
        <v>24</v>
      </c>
      <c r="R1627" s="53" t="str">
        <f t="shared" si="78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3">
        <f t="shared" si="79"/>
        <v>19</v>
      </c>
      <c r="Z1627" s="18">
        <v>46162</v>
      </c>
      <c r="AA1627" s="15"/>
      <c r="AB1627" s="15"/>
    </row>
    <row r="1628" spans="1:28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77"/>
        <v>24</v>
      </c>
      <c r="R1628" s="53" t="str">
        <f t="shared" si="78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3">
        <f t="shared" si="79"/>
        <v>19</v>
      </c>
      <c r="Z1628" s="18">
        <v>46162</v>
      </c>
      <c r="AA1628" s="15"/>
      <c r="AB1628" s="15"/>
    </row>
    <row r="1629" spans="1:28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77"/>
        <v>24</v>
      </c>
      <c r="R1629" s="53" t="str">
        <f t="shared" si="78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3">
        <f t="shared" si="79"/>
        <v>19</v>
      </c>
      <c r="Z1629" s="18">
        <v>46162</v>
      </c>
      <c r="AA1629" s="15"/>
      <c r="AB1629" s="15"/>
    </row>
    <row r="1630" spans="1:28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77"/>
        <v>24</v>
      </c>
      <c r="R1630" s="53" t="str">
        <f t="shared" si="78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3">
        <f t="shared" si="79"/>
        <v>19</v>
      </c>
      <c r="Z1630" s="18">
        <v>46162</v>
      </c>
      <c r="AA1630" s="15"/>
      <c r="AB1630" s="15"/>
    </row>
    <row r="1631" spans="1:28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77"/>
        <v>24</v>
      </c>
      <c r="R1631" s="53" t="str">
        <f t="shared" si="78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3">
        <f t="shared" si="79"/>
        <v>19</v>
      </c>
      <c r="Z1631" s="18">
        <v>46162</v>
      </c>
      <c r="AA1631" s="15"/>
      <c r="AB1631" s="15"/>
    </row>
    <row r="1632" spans="1:28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77"/>
        <v>24</v>
      </c>
      <c r="R1632" s="53" t="str">
        <f t="shared" si="78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3">
        <f t="shared" si="79"/>
        <v>19</v>
      </c>
      <c r="Z1632" s="18">
        <v>46162</v>
      </c>
      <c r="AA1632" s="15"/>
      <c r="AB1632" s="15"/>
    </row>
    <row r="1633" spans="1:28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77"/>
        <v>24</v>
      </c>
      <c r="R1633" s="53" t="str">
        <f t="shared" si="78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3">
        <f t="shared" si="79"/>
        <v>19</v>
      </c>
      <c r="Z1633" s="18">
        <v>46162</v>
      </c>
      <c r="AA1633" s="15"/>
      <c r="AB1633" s="15"/>
    </row>
    <row r="1634" spans="1:28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77"/>
        <v>24</v>
      </c>
      <c r="R1634" s="53" t="str">
        <f t="shared" si="78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3">
        <f t="shared" si="79"/>
        <v>19</v>
      </c>
      <c r="Z1634" s="18">
        <v>46162</v>
      </c>
      <c r="AA1634" s="15"/>
      <c r="AB1634" s="15"/>
    </row>
    <row r="1635" spans="1:28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77"/>
        <v>24</v>
      </c>
      <c r="R1635" s="53" t="str">
        <f t="shared" si="78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3">
        <f t="shared" si="79"/>
        <v>19</v>
      </c>
      <c r="Z1635" s="18">
        <v>46162</v>
      </c>
      <c r="AA1635" s="15"/>
      <c r="AB1635" s="15"/>
    </row>
    <row r="1636" spans="1:28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77"/>
        <v>24</v>
      </c>
      <c r="R1636" s="53" t="str">
        <f t="shared" si="78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3">
        <f t="shared" si="79"/>
        <v>19</v>
      </c>
      <c r="Z1636" s="18">
        <v>46162</v>
      </c>
      <c r="AA1636" s="15"/>
      <c r="AB1636" s="15"/>
    </row>
    <row r="1637" spans="1:28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77"/>
        <v>24</v>
      </c>
      <c r="R1637" s="53" t="str">
        <f t="shared" si="78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3">
        <f t="shared" si="79"/>
        <v>19</v>
      </c>
      <c r="Z1637" s="18">
        <v>46162</v>
      </c>
      <c r="AA1637" s="15"/>
      <c r="AB1637" s="15"/>
    </row>
    <row r="1638" spans="1:28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77"/>
        <v>24</v>
      </c>
      <c r="R1638" s="53" t="str">
        <f t="shared" si="78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3">
        <f t="shared" si="79"/>
        <v>19</v>
      </c>
      <c r="Z1638" s="18">
        <v>46162</v>
      </c>
      <c r="AA1638" s="15"/>
      <c r="AB1638" s="15"/>
    </row>
    <row r="1639" spans="1:28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80">MID(P1639,5,2)</f>
        <v>24</v>
      </c>
      <c r="R1639" s="53" t="str">
        <f t="shared" ref="R1639:R1702" si="81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3">
        <f t="shared" si="79"/>
        <v>19</v>
      </c>
      <c r="Z1639" s="18">
        <v>46162</v>
      </c>
      <c r="AA1639" s="15"/>
      <c r="AB1639" s="15"/>
    </row>
    <row r="1640" spans="1:28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80"/>
        <v>24</v>
      </c>
      <c r="R1640" s="53" t="str">
        <f t="shared" si="81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3">
        <f t="shared" si="79"/>
        <v>19</v>
      </c>
      <c r="Z1640" s="18">
        <v>46162</v>
      </c>
      <c r="AA1640" s="15"/>
      <c r="AB1640" s="15"/>
    </row>
    <row r="1641" spans="1:28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80"/>
        <v>24</v>
      </c>
      <c r="R1641" s="53" t="str">
        <f t="shared" si="81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3">
        <f t="shared" si="79"/>
        <v>19</v>
      </c>
      <c r="Z1641" s="18">
        <v>46162</v>
      </c>
      <c r="AA1641" s="15"/>
      <c r="AB1641" s="15"/>
    </row>
    <row r="1642" spans="1:28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80"/>
        <v>24</v>
      </c>
      <c r="R1642" s="53" t="str">
        <f t="shared" si="81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3">
        <f t="shared" si="79"/>
        <v>19</v>
      </c>
      <c r="Z1642" s="18">
        <v>46162</v>
      </c>
      <c r="AA1642" s="15"/>
      <c r="AB1642" s="15"/>
    </row>
    <row r="1643" spans="1:28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80"/>
        <v>24</v>
      </c>
      <c r="R1643" s="53" t="str">
        <f t="shared" si="81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3">
        <f t="shared" si="79"/>
        <v>19</v>
      </c>
      <c r="Z1643" s="18">
        <v>46162</v>
      </c>
      <c r="AA1643" s="15"/>
      <c r="AB1643" s="15"/>
    </row>
    <row r="1644" spans="1:28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80"/>
        <v>24</v>
      </c>
      <c r="R1644" s="53" t="str">
        <f t="shared" si="81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3">
        <f t="shared" si="79"/>
        <v>19</v>
      </c>
      <c r="Z1644" s="18">
        <v>46162</v>
      </c>
      <c r="AA1644" s="15"/>
      <c r="AB1644" s="15"/>
    </row>
    <row r="1645" spans="1:28" hidden="1">
      <c r="A1645" s="6">
        <v>46107</v>
      </c>
      <c r="B1645" s="3">
        <v>2026</v>
      </c>
      <c r="C1645" s="3" t="s">
        <v>2963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80"/>
        <v>24</v>
      </c>
      <c r="R1645" s="53" t="str">
        <f t="shared" si="81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3">
        <f t="shared" si="79"/>
        <v>56</v>
      </c>
      <c r="Z1645" s="18">
        <v>46163</v>
      </c>
      <c r="AA1645" s="15"/>
      <c r="AB1645" s="15"/>
    </row>
    <row r="1646" spans="1:28" hidden="1">
      <c r="A1646" s="6">
        <v>46107</v>
      </c>
      <c r="B1646" s="3">
        <v>2026</v>
      </c>
      <c r="C1646" s="3" t="s">
        <v>2963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80"/>
        <v>24</v>
      </c>
      <c r="R1646" s="53" t="str">
        <f t="shared" si="81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3">
        <f t="shared" si="79"/>
        <v>56</v>
      </c>
      <c r="Z1646" s="18">
        <v>46163</v>
      </c>
      <c r="AA1646" s="15"/>
      <c r="AB1646" s="15"/>
    </row>
    <row r="1647" spans="1:28" hidden="1">
      <c r="A1647" s="6">
        <v>46107</v>
      </c>
      <c r="B1647" s="3">
        <v>2026</v>
      </c>
      <c r="C1647" s="3" t="s">
        <v>2963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80"/>
        <v>24</v>
      </c>
      <c r="R1647" s="53" t="str">
        <f t="shared" si="81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3">
        <f t="shared" si="79"/>
        <v>56</v>
      </c>
      <c r="Z1647" s="18">
        <v>46163</v>
      </c>
      <c r="AA1647" s="15"/>
      <c r="AB1647" s="15"/>
    </row>
    <row r="1648" spans="1:28" hidden="1">
      <c r="A1648" s="6">
        <v>46107</v>
      </c>
      <c r="B1648" s="3">
        <v>2026</v>
      </c>
      <c r="C1648" s="3" t="s">
        <v>2963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80"/>
        <v>24</v>
      </c>
      <c r="R1648" s="53" t="str">
        <f t="shared" si="81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3">
        <f t="shared" si="79"/>
        <v>56</v>
      </c>
      <c r="Z1648" s="18">
        <v>46163</v>
      </c>
      <c r="AA1648" s="15"/>
      <c r="AB1648" s="15"/>
    </row>
    <row r="1649" spans="1:28" hidden="1">
      <c r="A1649" s="6">
        <v>46107</v>
      </c>
      <c r="B1649" s="3">
        <v>2026</v>
      </c>
      <c r="C1649" s="3" t="s">
        <v>2963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80"/>
        <v>24</v>
      </c>
      <c r="R1649" s="53" t="str">
        <f t="shared" si="81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3">
        <f t="shared" si="79"/>
        <v>56</v>
      </c>
      <c r="Z1649" s="18">
        <v>46163</v>
      </c>
      <c r="AA1649" s="15"/>
      <c r="AB1649" s="15"/>
    </row>
    <row r="1650" spans="1:28" hidden="1">
      <c r="A1650" s="6">
        <v>46107</v>
      </c>
      <c r="B1650" s="3">
        <v>2026</v>
      </c>
      <c r="C1650" s="3" t="s">
        <v>2963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80"/>
        <v>24</v>
      </c>
      <c r="R1650" s="53" t="str">
        <f t="shared" si="81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3">
        <f t="shared" si="79"/>
        <v>56</v>
      </c>
      <c r="Z1650" s="18">
        <v>46163</v>
      </c>
      <c r="AA1650" s="15"/>
      <c r="AB1650" s="15"/>
    </row>
    <row r="1651" spans="1:28" hidden="1">
      <c r="A1651" s="6">
        <v>46107</v>
      </c>
      <c r="B1651" s="3">
        <v>2026</v>
      </c>
      <c r="C1651" s="3" t="s">
        <v>2963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80"/>
        <v>24</v>
      </c>
      <c r="R1651" s="53" t="str">
        <f t="shared" si="81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3">
        <f t="shared" si="79"/>
        <v>56</v>
      </c>
      <c r="Z1651" s="18">
        <v>46163</v>
      </c>
      <c r="AA1651" s="15"/>
      <c r="AB1651" s="15"/>
    </row>
    <row r="1652" spans="1:28" hidden="1">
      <c r="A1652" s="6">
        <v>46107</v>
      </c>
      <c r="B1652" s="3">
        <v>2026</v>
      </c>
      <c r="C1652" s="3" t="s">
        <v>2963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80"/>
        <v>24</v>
      </c>
      <c r="R1652" s="53" t="str">
        <f t="shared" si="81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3">
        <f t="shared" si="79"/>
        <v>56</v>
      </c>
      <c r="Z1652" s="18">
        <v>46163</v>
      </c>
      <c r="AA1652" s="15"/>
      <c r="AB1652" s="15"/>
    </row>
    <row r="1653" spans="1:28" hidden="1">
      <c r="A1653" s="6">
        <v>46107</v>
      </c>
      <c r="B1653" s="3">
        <v>2026</v>
      </c>
      <c r="C1653" s="3" t="s">
        <v>2963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80"/>
        <v>24</v>
      </c>
      <c r="R1653" s="53" t="str">
        <f t="shared" si="81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3">
        <f t="shared" si="79"/>
        <v>56</v>
      </c>
      <c r="Z1653" s="18">
        <v>46163</v>
      </c>
      <c r="AA1653" s="15"/>
      <c r="AB1653" s="15"/>
    </row>
    <row r="1654" spans="1:28" hidden="1">
      <c r="A1654" s="6">
        <v>46107</v>
      </c>
      <c r="B1654" s="3">
        <v>2026</v>
      </c>
      <c r="C1654" s="3" t="s">
        <v>2963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80"/>
        <v>24</v>
      </c>
      <c r="R1654" s="53" t="str">
        <f t="shared" si="81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3">
        <f t="shared" si="79"/>
        <v>56</v>
      </c>
      <c r="Z1654" s="18">
        <v>46163</v>
      </c>
      <c r="AA1654" s="15"/>
      <c r="AB1654" s="15"/>
    </row>
    <row r="1655" spans="1:28" hidden="1">
      <c r="A1655" s="6">
        <v>46107</v>
      </c>
      <c r="B1655" s="3">
        <v>2026</v>
      </c>
      <c r="C1655" s="3" t="s">
        <v>2963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80"/>
        <v>24</v>
      </c>
      <c r="R1655" s="53" t="str">
        <f t="shared" si="81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3">
        <f t="shared" si="79"/>
        <v>56</v>
      </c>
      <c r="Z1655" s="18">
        <v>46163</v>
      </c>
      <c r="AA1655" s="15"/>
      <c r="AB1655" s="15"/>
    </row>
    <row r="1656" spans="1:28" hidden="1">
      <c r="A1656" s="6">
        <v>46107</v>
      </c>
      <c r="B1656" s="3">
        <v>2026</v>
      </c>
      <c r="C1656" s="3" t="s">
        <v>2963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80"/>
        <v>24</v>
      </c>
      <c r="R1656" s="53" t="str">
        <f t="shared" si="81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3">
        <f t="shared" si="79"/>
        <v>56</v>
      </c>
      <c r="Z1656" s="18">
        <v>46163</v>
      </c>
      <c r="AA1656" s="15"/>
      <c r="AB1656" s="15"/>
    </row>
    <row r="1657" spans="1:28" hidden="1">
      <c r="A1657" s="6">
        <v>46107</v>
      </c>
      <c r="B1657" s="3">
        <v>2026</v>
      </c>
      <c r="C1657" s="3" t="s">
        <v>2963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80"/>
        <v>24</v>
      </c>
      <c r="R1657" s="53" t="str">
        <f t="shared" si="81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3">
        <f t="shared" si="79"/>
        <v>56</v>
      </c>
      <c r="Z1657" s="18">
        <v>46163</v>
      </c>
      <c r="AA1657" s="15"/>
      <c r="AB1657" s="15"/>
    </row>
    <row r="1658" spans="1:28" hidden="1">
      <c r="A1658" s="6">
        <v>46107</v>
      </c>
      <c r="B1658" s="3">
        <v>2026</v>
      </c>
      <c r="C1658" s="3" t="s">
        <v>2963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80"/>
        <v>24</v>
      </c>
      <c r="R1658" s="53" t="str">
        <f t="shared" si="81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3">
        <f t="shared" si="79"/>
        <v>56</v>
      </c>
      <c r="Z1658" s="18">
        <v>46163</v>
      </c>
      <c r="AA1658" s="15"/>
      <c r="AB1658" s="15"/>
    </row>
    <row r="1659" spans="1:28" hidden="1">
      <c r="A1659" s="6">
        <v>46107</v>
      </c>
      <c r="B1659" s="3">
        <v>2026</v>
      </c>
      <c r="C1659" s="3" t="s">
        <v>2963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80"/>
        <v>24</v>
      </c>
      <c r="R1659" s="53" t="str">
        <f t="shared" si="81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3">
        <f t="shared" si="79"/>
        <v>56</v>
      </c>
      <c r="Z1659" s="18">
        <v>46163</v>
      </c>
      <c r="AA1659" s="15"/>
      <c r="AB1659" s="15"/>
    </row>
    <row r="1660" spans="1:28" hidden="1">
      <c r="A1660" s="6">
        <v>46107</v>
      </c>
      <c r="B1660" s="3">
        <v>2026</v>
      </c>
      <c r="C1660" s="3" t="s">
        <v>2963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80"/>
        <v>24</v>
      </c>
      <c r="R1660" s="53" t="str">
        <f t="shared" si="81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3">
        <f t="shared" si="79"/>
        <v>56</v>
      </c>
      <c r="Z1660" s="18">
        <v>46163</v>
      </c>
      <c r="AA1660" s="15"/>
      <c r="AB1660" s="15"/>
    </row>
    <row r="1661" spans="1:28" hidden="1">
      <c r="A1661" s="6">
        <v>46107</v>
      </c>
      <c r="B1661" s="3">
        <v>2026</v>
      </c>
      <c r="C1661" s="3" t="s">
        <v>2963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80"/>
        <v>24</v>
      </c>
      <c r="R1661" s="53" t="str">
        <f t="shared" si="81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3">
        <f t="shared" si="79"/>
        <v>56</v>
      </c>
      <c r="Z1661" s="18">
        <v>46163</v>
      </c>
      <c r="AA1661" s="15"/>
      <c r="AB1661" s="15"/>
    </row>
    <row r="1662" spans="1:28" hidden="1">
      <c r="A1662" s="6">
        <v>46107</v>
      </c>
      <c r="B1662" s="3">
        <v>2026</v>
      </c>
      <c r="C1662" s="3" t="s">
        <v>2963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80"/>
        <v>24</v>
      </c>
      <c r="R1662" s="53" t="str">
        <f t="shared" si="81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3">
        <f t="shared" si="79"/>
        <v>56</v>
      </c>
      <c r="Z1662" s="18">
        <v>46163</v>
      </c>
      <c r="AA1662" s="15"/>
      <c r="AB1662" s="15"/>
    </row>
    <row r="1663" spans="1:28" hidden="1">
      <c r="A1663" s="6">
        <v>46107</v>
      </c>
      <c r="B1663" s="3">
        <v>2026</v>
      </c>
      <c r="C1663" s="3" t="s">
        <v>2963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80"/>
        <v>24</v>
      </c>
      <c r="R1663" s="53" t="str">
        <f t="shared" si="81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3">
        <f t="shared" si="79"/>
        <v>56</v>
      </c>
      <c r="Z1663" s="18">
        <v>46163</v>
      </c>
      <c r="AA1663" s="15"/>
      <c r="AB1663" s="15"/>
    </row>
    <row r="1664" spans="1:28" hidden="1">
      <c r="A1664" s="6">
        <v>46107</v>
      </c>
      <c r="B1664" s="3">
        <v>2026</v>
      </c>
      <c r="C1664" s="3" t="s">
        <v>2963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80"/>
        <v>24</v>
      </c>
      <c r="R1664" s="53" t="str">
        <f t="shared" si="81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3">
        <f t="shared" si="79"/>
        <v>56</v>
      </c>
      <c r="Z1664" s="18">
        <v>46163</v>
      </c>
      <c r="AA1664" s="15"/>
      <c r="AB1664" s="15"/>
    </row>
    <row r="1665" spans="1:28" hidden="1">
      <c r="A1665" s="6">
        <v>46107</v>
      </c>
      <c r="B1665" s="3">
        <v>2026</v>
      </c>
      <c r="C1665" s="3" t="s">
        <v>2963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80"/>
        <v>24</v>
      </c>
      <c r="R1665" s="53" t="str">
        <f t="shared" si="81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3">
        <f t="shared" si="79"/>
        <v>56</v>
      </c>
      <c r="Z1665" s="18">
        <v>46163</v>
      </c>
      <c r="AA1665" s="15"/>
      <c r="AB1665" s="15"/>
    </row>
    <row r="1666" spans="1:28" hidden="1">
      <c r="A1666" s="6">
        <v>46107</v>
      </c>
      <c r="B1666" s="3">
        <v>2026</v>
      </c>
      <c r="C1666" s="3" t="s">
        <v>2963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80"/>
        <v>24</v>
      </c>
      <c r="R1666" s="53" t="str">
        <f t="shared" si="81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3">
        <f t="shared" ref="Y1666:Y1729" si="82">X1666-A1666</f>
        <v>56</v>
      </c>
      <c r="Z1666" s="18">
        <v>46163</v>
      </c>
      <c r="AA1666" s="15"/>
      <c r="AB1666" s="15"/>
    </row>
    <row r="1667" spans="1:28" hidden="1">
      <c r="A1667" s="6">
        <v>46107</v>
      </c>
      <c r="B1667" s="3">
        <v>2026</v>
      </c>
      <c r="C1667" s="3" t="s">
        <v>2963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80"/>
        <v>24</v>
      </c>
      <c r="R1667" s="53" t="str">
        <f t="shared" si="81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3">
        <f t="shared" si="82"/>
        <v>56</v>
      </c>
      <c r="Z1667" s="18">
        <v>46163</v>
      </c>
      <c r="AA1667" s="15"/>
      <c r="AB1667" s="15"/>
    </row>
    <row r="1668" spans="1:28" hidden="1">
      <c r="A1668" s="6">
        <v>46107</v>
      </c>
      <c r="B1668" s="3">
        <v>2026</v>
      </c>
      <c r="C1668" s="3" t="s">
        <v>2963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80"/>
        <v>24</v>
      </c>
      <c r="R1668" s="53" t="str">
        <f t="shared" si="81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3">
        <f t="shared" si="82"/>
        <v>56</v>
      </c>
      <c r="Z1668" s="18">
        <v>46163</v>
      </c>
      <c r="AA1668" s="15"/>
      <c r="AB1668" s="15"/>
    </row>
    <row r="1669" spans="1:28" hidden="1">
      <c r="A1669" s="6">
        <v>46107</v>
      </c>
      <c r="B1669" s="3">
        <v>2026</v>
      </c>
      <c r="C1669" s="3" t="s">
        <v>2963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80"/>
        <v>24</v>
      </c>
      <c r="R1669" s="53" t="str">
        <f t="shared" si="81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3">
        <f t="shared" si="82"/>
        <v>56</v>
      </c>
      <c r="Z1669" s="18">
        <v>46163</v>
      </c>
      <c r="AA1669" s="15"/>
      <c r="AB1669" s="15"/>
    </row>
    <row r="1670" spans="1:28" hidden="1">
      <c r="A1670" s="6">
        <v>46107</v>
      </c>
      <c r="B1670" s="3">
        <v>2026</v>
      </c>
      <c r="C1670" s="3" t="s">
        <v>2963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80"/>
        <v>24</v>
      </c>
      <c r="R1670" s="53" t="str">
        <f t="shared" si="81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3">
        <f t="shared" si="82"/>
        <v>56</v>
      </c>
      <c r="Z1670" s="18">
        <v>46163</v>
      </c>
      <c r="AA1670" s="15"/>
      <c r="AB1670" s="15"/>
    </row>
    <row r="1671" spans="1:28" hidden="1">
      <c r="A1671" s="6">
        <v>46107</v>
      </c>
      <c r="B1671" s="3">
        <v>2026</v>
      </c>
      <c r="C1671" s="3" t="s">
        <v>2963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80"/>
        <v>24</v>
      </c>
      <c r="R1671" s="53" t="str">
        <f t="shared" si="81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3">
        <f t="shared" si="82"/>
        <v>56</v>
      </c>
      <c r="Z1671" s="18">
        <v>46163</v>
      </c>
      <c r="AA1671" s="15"/>
      <c r="AB1671" s="15"/>
    </row>
    <row r="1672" spans="1:28" hidden="1">
      <c r="A1672" s="6">
        <v>46107</v>
      </c>
      <c r="B1672" s="3">
        <v>2026</v>
      </c>
      <c r="C1672" s="3" t="s">
        <v>2963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80"/>
        <v>24</v>
      </c>
      <c r="R1672" s="53" t="str">
        <f t="shared" si="81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3">
        <f t="shared" si="82"/>
        <v>56</v>
      </c>
      <c r="Z1672" s="18">
        <v>46163</v>
      </c>
      <c r="AA1672" s="15"/>
      <c r="AB1672" s="15"/>
    </row>
    <row r="1673" spans="1:28" hidden="1">
      <c r="A1673" s="6">
        <v>46107</v>
      </c>
      <c r="B1673" s="3">
        <v>2026</v>
      </c>
      <c r="C1673" s="3" t="s">
        <v>2963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80"/>
        <v>24</v>
      </c>
      <c r="R1673" s="53" t="str">
        <f t="shared" si="81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3">
        <f t="shared" si="82"/>
        <v>56</v>
      </c>
      <c r="Z1673" s="18">
        <v>46163</v>
      </c>
      <c r="AA1673" s="15"/>
      <c r="AB1673" s="15"/>
    </row>
    <row r="1674" spans="1:28" hidden="1">
      <c r="A1674" s="6">
        <v>46107</v>
      </c>
      <c r="B1674" s="3">
        <v>2026</v>
      </c>
      <c r="C1674" s="3" t="s">
        <v>2963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80"/>
        <v>24</v>
      </c>
      <c r="R1674" s="53" t="str">
        <f t="shared" si="81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3">
        <f t="shared" si="82"/>
        <v>56</v>
      </c>
      <c r="Z1674" s="18">
        <v>46163</v>
      </c>
      <c r="AA1674" s="15"/>
      <c r="AB1674" s="15"/>
    </row>
    <row r="1675" spans="1:28" hidden="1">
      <c r="A1675" s="6">
        <v>46107</v>
      </c>
      <c r="B1675" s="3">
        <v>2026</v>
      </c>
      <c r="C1675" s="3" t="s">
        <v>2963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80"/>
        <v>24</v>
      </c>
      <c r="R1675" s="53" t="str">
        <f t="shared" si="81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3">
        <f t="shared" si="82"/>
        <v>56</v>
      </c>
      <c r="Z1675" s="18">
        <v>46163</v>
      </c>
      <c r="AA1675" s="15"/>
      <c r="AB1675" s="15"/>
    </row>
    <row r="1676" spans="1:28" hidden="1">
      <c r="A1676" s="6">
        <v>46107</v>
      </c>
      <c r="B1676" s="3">
        <v>2026</v>
      </c>
      <c r="C1676" s="3" t="s">
        <v>2963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80"/>
        <v>24</v>
      </c>
      <c r="R1676" s="53" t="str">
        <f t="shared" si="81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3">
        <f t="shared" si="82"/>
        <v>56</v>
      </c>
      <c r="Z1676" s="18">
        <v>46163</v>
      </c>
      <c r="AA1676" s="15"/>
      <c r="AB1676" s="15"/>
    </row>
    <row r="1677" spans="1:28" hidden="1">
      <c r="A1677" s="6">
        <v>46107</v>
      </c>
      <c r="B1677" s="3">
        <v>2026</v>
      </c>
      <c r="C1677" s="3" t="s">
        <v>2963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80"/>
        <v>24</v>
      </c>
      <c r="R1677" s="53" t="str">
        <f t="shared" si="81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3">
        <f t="shared" si="82"/>
        <v>56</v>
      </c>
      <c r="Z1677" s="18">
        <v>46163</v>
      </c>
      <c r="AA1677" s="15"/>
      <c r="AB1677" s="15"/>
    </row>
    <row r="1678" spans="1:28" hidden="1">
      <c r="A1678" s="6">
        <v>46107</v>
      </c>
      <c r="B1678" s="3">
        <v>2026</v>
      </c>
      <c r="C1678" s="3" t="s">
        <v>2963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80"/>
        <v>24</v>
      </c>
      <c r="R1678" s="53" t="str">
        <f t="shared" si="81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3">
        <f t="shared" si="82"/>
        <v>56</v>
      </c>
      <c r="Z1678" s="18">
        <v>46163</v>
      </c>
      <c r="AA1678" s="15"/>
      <c r="AB1678" s="15"/>
    </row>
    <row r="1679" spans="1:28" hidden="1">
      <c r="A1679" s="6">
        <v>46107</v>
      </c>
      <c r="B1679" s="3">
        <v>2026</v>
      </c>
      <c r="C1679" s="3" t="s">
        <v>2963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80"/>
        <v>24</v>
      </c>
      <c r="R1679" s="53" t="str">
        <f t="shared" si="81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3">
        <f t="shared" si="82"/>
        <v>56</v>
      </c>
      <c r="Z1679" s="18">
        <v>46163</v>
      </c>
      <c r="AA1679" s="15"/>
      <c r="AB1679" s="15"/>
    </row>
    <row r="1680" spans="1:28" hidden="1">
      <c r="A1680" s="6">
        <v>46107</v>
      </c>
      <c r="B1680" s="3">
        <v>2026</v>
      </c>
      <c r="C1680" s="3" t="s">
        <v>2963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80"/>
        <v>24</v>
      </c>
      <c r="R1680" s="53" t="str">
        <f t="shared" si="81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3">
        <f t="shared" si="82"/>
        <v>56</v>
      </c>
      <c r="Z1680" s="18">
        <v>46163</v>
      </c>
      <c r="AA1680" s="15"/>
      <c r="AB1680" s="15"/>
    </row>
    <row r="1681" spans="1:28" hidden="1">
      <c r="A1681" s="6">
        <v>46107</v>
      </c>
      <c r="B1681" s="3">
        <v>2026</v>
      </c>
      <c r="C1681" s="3" t="s">
        <v>2963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80"/>
        <v>24</v>
      </c>
      <c r="R1681" s="53" t="str">
        <f t="shared" si="81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3">
        <f t="shared" si="82"/>
        <v>56</v>
      </c>
      <c r="Z1681" s="18">
        <v>46163</v>
      </c>
      <c r="AA1681" s="15"/>
      <c r="AB1681" s="15"/>
    </row>
    <row r="1682" spans="1:28" hidden="1">
      <c r="A1682" s="6">
        <v>46107</v>
      </c>
      <c r="B1682" s="3">
        <v>2026</v>
      </c>
      <c r="C1682" s="3" t="s">
        <v>2963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80"/>
        <v>24</v>
      </c>
      <c r="R1682" s="53" t="str">
        <f t="shared" si="81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3">
        <f t="shared" si="82"/>
        <v>56</v>
      </c>
      <c r="Z1682" s="18">
        <v>46163</v>
      </c>
      <c r="AA1682" s="15"/>
      <c r="AB1682" s="15"/>
    </row>
    <row r="1683" spans="1:28" hidden="1">
      <c r="A1683" s="6">
        <v>46107</v>
      </c>
      <c r="B1683" s="3">
        <v>2026</v>
      </c>
      <c r="C1683" s="3" t="s">
        <v>2963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80"/>
        <v>24</v>
      </c>
      <c r="R1683" s="53" t="str">
        <f t="shared" si="81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3">
        <f t="shared" si="82"/>
        <v>56</v>
      </c>
      <c r="Z1683" s="18">
        <v>46163</v>
      </c>
      <c r="AA1683" s="15"/>
      <c r="AB1683" s="15"/>
    </row>
    <row r="1684" spans="1:28" hidden="1">
      <c r="A1684" s="6">
        <v>46107</v>
      </c>
      <c r="B1684" s="3">
        <v>2026</v>
      </c>
      <c r="C1684" s="3" t="s">
        <v>2963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80"/>
        <v>24</v>
      </c>
      <c r="R1684" s="53" t="str">
        <f t="shared" si="81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3">
        <f t="shared" si="82"/>
        <v>56</v>
      </c>
      <c r="Z1684" s="18">
        <v>46163</v>
      </c>
      <c r="AA1684" s="15"/>
      <c r="AB1684" s="15"/>
    </row>
    <row r="1685" spans="1:28" hidden="1">
      <c r="A1685" s="6">
        <v>46107</v>
      </c>
      <c r="B1685" s="3">
        <v>2026</v>
      </c>
      <c r="C1685" s="3" t="s">
        <v>2963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80"/>
        <v>24</v>
      </c>
      <c r="R1685" s="53" t="str">
        <f t="shared" si="81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3">
        <f t="shared" si="82"/>
        <v>56</v>
      </c>
      <c r="Z1685" s="18">
        <v>46163</v>
      </c>
      <c r="AA1685" s="15"/>
      <c r="AB1685" s="15"/>
    </row>
    <row r="1686" spans="1:28" hidden="1">
      <c r="A1686" s="6">
        <v>46107</v>
      </c>
      <c r="B1686" s="3">
        <v>2026</v>
      </c>
      <c r="C1686" s="3" t="s">
        <v>2963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80"/>
        <v>24</v>
      </c>
      <c r="R1686" s="53" t="str">
        <f t="shared" si="81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3">
        <f t="shared" si="82"/>
        <v>56</v>
      </c>
      <c r="Z1686" s="18">
        <v>46163</v>
      </c>
      <c r="AA1686" s="15"/>
      <c r="AB1686" s="15"/>
    </row>
    <row r="1687" spans="1:28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80"/>
        <v>24</v>
      </c>
      <c r="R1687" s="53" t="str">
        <f t="shared" si="81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3">
        <f t="shared" si="82"/>
        <v>20</v>
      </c>
      <c r="Z1687" s="18">
        <v>46163</v>
      </c>
      <c r="AA1687" s="15"/>
      <c r="AB1687" s="15"/>
    </row>
    <row r="1688" spans="1:28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80"/>
        <v>24</v>
      </c>
      <c r="R1688" s="53" t="str">
        <f t="shared" si="81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3">
        <f t="shared" si="82"/>
        <v>20</v>
      </c>
      <c r="Z1688" s="18">
        <v>46163</v>
      </c>
      <c r="AA1688" s="15"/>
      <c r="AB1688" s="15"/>
    </row>
    <row r="1689" spans="1:28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80"/>
        <v>24</v>
      </c>
      <c r="R1689" s="53" t="str">
        <f t="shared" si="81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3">
        <f t="shared" si="82"/>
        <v>20</v>
      </c>
      <c r="Z1689" s="18">
        <v>46163</v>
      </c>
      <c r="AA1689" s="15"/>
      <c r="AB1689" s="15"/>
    </row>
    <row r="1690" spans="1:28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80"/>
        <v>24</v>
      </c>
      <c r="R1690" s="53" t="str">
        <f t="shared" si="81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3">
        <f t="shared" si="82"/>
        <v>20</v>
      </c>
      <c r="Z1690" s="18">
        <v>46163</v>
      </c>
      <c r="AA1690" s="15"/>
      <c r="AB1690" s="15"/>
    </row>
    <row r="1691" spans="1:28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80"/>
        <v>24</v>
      </c>
      <c r="R1691" s="53" t="str">
        <f t="shared" si="81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3">
        <f t="shared" si="82"/>
        <v>20</v>
      </c>
      <c r="Z1691" s="18">
        <v>46163</v>
      </c>
      <c r="AA1691" s="15"/>
      <c r="AB1691" s="15"/>
    </row>
    <row r="1692" spans="1:28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80"/>
        <v>24</v>
      </c>
      <c r="R1692" s="53" t="str">
        <f t="shared" si="81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3">
        <f t="shared" si="82"/>
        <v>20</v>
      </c>
      <c r="Z1692" s="18">
        <v>46163</v>
      </c>
      <c r="AA1692" s="15"/>
      <c r="AB1692" s="15"/>
    </row>
    <row r="1693" spans="1:28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80"/>
        <v>24</v>
      </c>
      <c r="R1693" s="53" t="str">
        <f t="shared" si="81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3">
        <f t="shared" si="82"/>
        <v>20</v>
      </c>
      <c r="Z1693" s="18">
        <v>46163</v>
      </c>
      <c r="AA1693" s="15"/>
      <c r="AB1693" s="15"/>
    </row>
    <row r="1694" spans="1:28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80"/>
        <v>24</v>
      </c>
      <c r="R1694" s="53" t="str">
        <f t="shared" si="81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3">
        <f t="shared" si="82"/>
        <v>20</v>
      </c>
      <c r="Z1694" s="18">
        <v>46163</v>
      </c>
      <c r="AA1694" s="15"/>
      <c r="AB1694" s="15"/>
    </row>
    <row r="1695" spans="1:28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80"/>
        <v>24</v>
      </c>
      <c r="R1695" s="53" t="str">
        <f t="shared" si="81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3">
        <f t="shared" si="82"/>
        <v>20</v>
      </c>
      <c r="Z1695" s="18">
        <v>46163</v>
      </c>
      <c r="AA1695" s="15"/>
      <c r="AB1695" s="15"/>
    </row>
    <row r="1696" spans="1:28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80"/>
        <v>24</v>
      </c>
      <c r="R1696" s="53" t="str">
        <f t="shared" si="81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3">
        <f t="shared" si="82"/>
        <v>20</v>
      </c>
      <c r="Z1696" s="18">
        <v>46163</v>
      </c>
      <c r="AA1696" s="15"/>
      <c r="AB1696" s="15"/>
    </row>
    <row r="1697" spans="1:28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80"/>
        <v>24</v>
      </c>
      <c r="R1697" s="53" t="str">
        <f t="shared" si="81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3">
        <f t="shared" si="82"/>
        <v>20</v>
      </c>
      <c r="Z1697" s="18">
        <v>46163</v>
      </c>
      <c r="AA1697" s="15"/>
      <c r="AB1697" s="15"/>
    </row>
    <row r="1698" spans="1:28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80"/>
        <v>24</v>
      </c>
      <c r="R1698" s="53" t="str">
        <f t="shared" si="81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3">
        <f t="shared" si="82"/>
        <v>20</v>
      </c>
      <c r="Z1698" s="18">
        <v>46163</v>
      </c>
      <c r="AA1698" s="15"/>
      <c r="AB1698" s="15"/>
    </row>
    <row r="1699" spans="1:28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80"/>
        <v>24</v>
      </c>
      <c r="R1699" s="53" t="str">
        <f t="shared" si="81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3">
        <f t="shared" si="82"/>
        <v>20</v>
      </c>
      <c r="Z1699" s="18">
        <v>46163</v>
      </c>
      <c r="AA1699" s="15"/>
      <c r="AB1699" s="15"/>
    </row>
    <row r="1700" spans="1:28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80"/>
        <v>24</v>
      </c>
      <c r="R1700" s="53" t="str">
        <f t="shared" si="81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3">
        <f t="shared" si="82"/>
        <v>20</v>
      </c>
      <c r="Z1700" s="18">
        <v>46163</v>
      </c>
      <c r="AA1700" s="15"/>
      <c r="AB1700" s="15"/>
    </row>
    <row r="1701" spans="1:28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80"/>
        <v>24</v>
      </c>
      <c r="R1701" s="53" t="str">
        <f t="shared" si="81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3">
        <f t="shared" si="82"/>
        <v>20</v>
      </c>
      <c r="Z1701" s="18">
        <v>46163</v>
      </c>
      <c r="AA1701" s="15"/>
      <c r="AB1701" s="15"/>
    </row>
    <row r="1702" spans="1:28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80"/>
        <v>24</v>
      </c>
      <c r="R1702" s="53" t="str">
        <f t="shared" si="81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3">
        <f t="shared" si="82"/>
        <v>20</v>
      </c>
      <c r="Z1702" s="18">
        <v>46163</v>
      </c>
      <c r="AA1702" s="15"/>
      <c r="AB1702" s="15"/>
    </row>
    <row r="1703" spans="1:28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83">MID(P1703,5,2)</f>
        <v>24</v>
      </c>
      <c r="R1703" s="53" t="str">
        <f t="shared" ref="R1703:R1766" si="84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3">
        <f t="shared" si="82"/>
        <v>20</v>
      </c>
      <c r="Z1703" s="18">
        <v>46163</v>
      </c>
      <c r="AA1703" s="15"/>
      <c r="AB1703" s="15"/>
    </row>
    <row r="1704" spans="1:28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83"/>
        <v>24</v>
      </c>
      <c r="R1704" s="53" t="str">
        <f t="shared" si="84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3">
        <f t="shared" si="82"/>
        <v>20</v>
      </c>
      <c r="Z1704" s="18">
        <v>46163</v>
      </c>
      <c r="AA1704" s="15"/>
      <c r="AB1704" s="15"/>
    </row>
    <row r="1705" spans="1:28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83"/>
        <v>24</v>
      </c>
      <c r="R1705" s="53" t="str">
        <f t="shared" si="84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3">
        <f t="shared" si="82"/>
        <v>20</v>
      </c>
      <c r="Z1705" s="18">
        <v>46163</v>
      </c>
      <c r="AA1705" s="15"/>
      <c r="AB1705" s="15"/>
    </row>
    <row r="1706" spans="1:28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83"/>
        <v>24</v>
      </c>
      <c r="R1706" s="53" t="str">
        <f t="shared" si="84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3">
        <f t="shared" si="82"/>
        <v>20</v>
      </c>
      <c r="Z1706" s="18">
        <v>46163</v>
      </c>
      <c r="AA1706" s="15"/>
      <c r="AB1706" s="15"/>
    </row>
    <row r="1707" spans="1:28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83"/>
        <v>24</v>
      </c>
      <c r="R1707" s="53" t="str">
        <f t="shared" si="84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3">
        <f t="shared" si="82"/>
        <v>20</v>
      </c>
      <c r="Z1707" s="18">
        <v>46163</v>
      </c>
      <c r="AA1707" s="15"/>
      <c r="AB1707" s="15"/>
    </row>
    <row r="1708" spans="1:28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83"/>
        <v>24</v>
      </c>
      <c r="R1708" s="53" t="str">
        <f t="shared" si="84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3">
        <f t="shared" si="82"/>
        <v>20</v>
      </c>
      <c r="Z1708" s="18">
        <v>46163</v>
      </c>
      <c r="AA1708" s="15"/>
      <c r="AB1708" s="15"/>
    </row>
    <row r="1709" spans="1:28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83"/>
        <v>24</v>
      </c>
      <c r="R1709" s="53" t="str">
        <f t="shared" si="84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3">
        <f t="shared" si="82"/>
        <v>20</v>
      </c>
      <c r="Z1709" s="18">
        <v>46163</v>
      </c>
      <c r="AA1709" s="15"/>
      <c r="AB1709" s="15"/>
    </row>
    <row r="1710" spans="1:28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83"/>
        <v>24</v>
      </c>
      <c r="R1710" s="53" t="str">
        <f t="shared" si="84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3">
        <f t="shared" si="82"/>
        <v>20</v>
      </c>
      <c r="Z1710" s="18">
        <v>46163</v>
      </c>
      <c r="AA1710" s="15"/>
      <c r="AB1710" s="15"/>
    </row>
    <row r="1711" spans="1:28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83"/>
        <v>24</v>
      </c>
      <c r="R1711" s="53" t="str">
        <f t="shared" si="84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3">
        <f t="shared" si="82"/>
        <v>20</v>
      </c>
      <c r="Z1711" s="18">
        <v>46163</v>
      </c>
      <c r="AA1711" s="15"/>
      <c r="AB1711" s="15"/>
    </row>
    <row r="1712" spans="1:28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83"/>
        <v>24</v>
      </c>
      <c r="R1712" s="53" t="str">
        <f t="shared" si="84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3">
        <f t="shared" si="82"/>
        <v>20</v>
      </c>
      <c r="Z1712" s="18">
        <v>46163</v>
      </c>
      <c r="AA1712" s="15"/>
      <c r="AB1712" s="15"/>
    </row>
    <row r="1713" spans="1:28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83"/>
        <v>24</v>
      </c>
      <c r="R1713" s="53" t="str">
        <f t="shared" si="84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3">
        <f t="shared" si="82"/>
        <v>20</v>
      </c>
      <c r="Z1713" s="18">
        <v>46163</v>
      </c>
      <c r="AA1713" s="15"/>
      <c r="AB1713" s="15"/>
    </row>
    <row r="1714" spans="1:28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83"/>
        <v>24</v>
      </c>
      <c r="R1714" s="53" t="str">
        <f t="shared" si="84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3">
        <f t="shared" si="82"/>
        <v>20</v>
      </c>
      <c r="Z1714" s="18">
        <v>46163</v>
      </c>
      <c r="AA1714" s="15"/>
      <c r="AB1714" s="15"/>
    </row>
    <row r="1715" spans="1:28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83"/>
        <v>24</v>
      </c>
      <c r="R1715" s="53" t="str">
        <f t="shared" si="84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3">
        <f t="shared" si="82"/>
        <v>20</v>
      </c>
      <c r="Z1715" s="18">
        <v>46163</v>
      </c>
      <c r="AA1715" s="15"/>
      <c r="AB1715" s="15"/>
    </row>
    <row r="1716" spans="1:28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83"/>
        <v>24</v>
      </c>
      <c r="R1716" s="53" t="str">
        <f t="shared" si="84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3">
        <f t="shared" si="82"/>
        <v>20</v>
      </c>
      <c r="Z1716" s="18">
        <v>46163</v>
      </c>
      <c r="AA1716" s="15"/>
      <c r="AB1716" s="15"/>
    </row>
    <row r="1717" spans="1:28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83"/>
        <v>24</v>
      </c>
      <c r="R1717" s="53" t="str">
        <f t="shared" si="84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3">
        <f t="shared" si="82"/>
        <v>20</v>
      </c>
      <c r="Z1717" s="18">
        <v>46163</v>
      </c>
      <c r="AA1717" s="15"/>
      <c r="AB1717" s="15"/>
    </row>
    <row r="1718" spans="1:28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83"/>
        <v>24</v>
      </c>
      <c r="R1718" s="53" t="str">
        <f t="shared" si="84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3">
        <f t="shared" si="82"/>
        <v>20</v>
      </c>
      <c r="Z1718" s="18">
        <v>46163</v>
      </c>
      <c r="AA1718" s="15"/>
      <c r="AB1718" s="15"/>
    </row>
    <row r="1719" spans="1:28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83"/>
        <v>24</v>
      </c>
      <c r="R1719" s="53" t="str">
        <f t="shared" si="84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3">
        <f t="shared" si="82"/>
        <v>20</v>
      </c>
      <c r="Z1719" s="18">
        <v>46163</v>
      </c>
      <c r="AA1719" s="15"/>
      <c r="AB1719" s="15"/>
    </row>
    <row r="1720" spans="1:28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83"/>
        <v>24</v>
      </c>
      <c r="R1720" s="53" t="str">
        <f t="shared" si="84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3">
        <f t="shared" si="82"/>
        <v>20</v>
      </c>
      <c r="Z1720" s="18">
        <v>46163</v>
      </c>
      <c r="AA1720" s="15"/>
      <c r="AB1720" s="15"/>
    </row>
    <row r="1721" spans="1:28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83"/>
        <v>24</v>
      </c>
      <c r="R1721" s="53" t="str">
        <f t="shared" si="84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3">
        <f t="shared" si="82"/>
        <v>20</v>
      </c>
      <c r="Z1721" s="18">
        <v>46163</v>
      </c>
      <c r="AA1721" s="15"/>
      <c r="AB1721" s="15"/>
    </row>
    <row r="1722" spans="1:28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83"/>
        <v>24</v>
      </c>
      <c r="R1722" s="53" t="str">
        <f t="shared" si="84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3">
        <f t="shared" si="82"/>
        <v>20</v>
      </c>
      <c r="Z1722" s="18">
        <v>46163</v>
      </c>
      <c r="AA1722" s="15"/>
      <c r="AB1722" s="15"/>
    </row>
    <row r="1723" spans="1:28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83"/>
        <v>24</v>
      </c>
      <c r="R1723" s="53" t="str">
        <f t="shared" si="84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3">
        <f t="shared" si="82"/>
        <v>20</v>
      </c>
      <c r="Z1723" s="18">
        <v>46163</v>
      </c>
      <c r="AA1723" s="15"/>
      <c r="AB1723" s="15"/>
    </row>
    <row r="1724" spans="1:28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83"/>
        <v>24</v>
      </c>
      <c r="R1724" s="53" t="str">
        <f t="shared" si="84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3">
        <f t="shared" si="82"/>
        <v>20</v>
      </c>
      <c r="Z1724" s="18">
        <v>46163</v>
      </c>
      <c r="AA1724" s="15"/>
      <c r="AB1724" s="15"/>
    </row>
    <row r="1725" spans="1:28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83"/>
        <v>24</v>
      </c>
      <c r="R1725" s="53" t="str">
        <f t="shared" si="84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3">
        <f t="shared" si="82"/>
        <v>20</v>
      </c>
      <c r="Z1725" s="18">
        <v>46163</v>
      </c>
      <c r="AA1725" s="15"/>
      <c r="AB1725" s="15"/>
    </row>
    <row r="1726" spans="1:28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83"/>
        <v>24</v>
      </c>
      <c r="R1726" s="53" t="str">
        <f t="shared" si="84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3">
        <f t="shared" si="82"/>
        <v>20</v>
      </c>
      <c r="Z1726" s="18">
        <v>46163</v>
      </c>
      <c r="AA1726" s="15"/>
      <c r="AB1726" s="15"/>
    </row>
    <row r="1727" spans="1:28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83"/>
        <v>24</v>
      </c>
      <c r="R1727" s="53" t="str">
        <f t="shared" si="84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3">
        <f t="shared" si="82"/>
        <v>20</v>
      </c>
      <c r="Z1727" s="18">
        <v>46163</v>
      </c>
      <c r="AA1727" s="15"/>
      <c r="AB1727" s="15"/>
    </row>
    <row r="1728" spans="1:28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83"/>
        <v>24</v>
      </c>
      <c r="R1728" s="53" t="str">
        <f t="shared" si="84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3">
        <f t="shared" si="82"/>
        <v>20</v>
      </c>
      <c r="Z1728" s="18">
        <v>46163</v>
      </c>
      <c r="AA1728" s="15"/>
      <c r="AB1728" s="15"/>
    </row>
    <row r="1729" spans="1:28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83"/>
        <v>24</v>
      </c>
      <c r="R1729" s="53" t="str">
        <f t="shared" si="84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3">
        <f t="shared" si="82"/>
        <v>20</v>
      </c>
      <c r="Z1729" s="18">
        <v>46163</v>
      </c>
      <c r="AA1729" s="15"/>
      <c r="AB1729" s="15"/>
    </row>
    <row r="1730" spans="1:28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83"/>
        <v>24</v>
      </c>
      <c r="R1730" s="53" t="str">
        <f t="shared" si="84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3">
        <f t="shared" ref="Y1730:Y1793" si="85">X1730-A1730</f>
        <v>20</v>
      </c>
      <c r="Z1730" s="18">
        <v>46163</v>
      </c>
      <c r="AA1730" s="15"/>
      <c r="AB1730" s="15"/>
    </row>
    <row r="1731" spans="1:28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83"/>
        <v>24</v>
      </c>
      <c r="R1731" s="53" t="str">
        <f t="shared" si="84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3">
        <f t="shared" si="85"/>
        <v>20</v>
      </c>
      <c r="Z1731" s="18">
        <v>46163</v>
      </c>
      <c r="AA1731" s="15"/>
      <c r="AB1731" s="15"/>
    </row>
    <row r="1732" spans="1:28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83"/>
        <v>24</v>
      </c>
      <c r="R1732" s="53" t="str">
        <f t="shared" si="84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3">
        <f t="shared" si="85"/>
        <v>20</v>
      </c>
      <c r="Z1732" s="18">
        <v>46163</v>
      </c>
      <c r="AA1732" s="15"/>
      <c r="AB1732" s="15"/>
    </row>
    <row r="1733" spans="1:28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83"/>
        <v>24</v>
      </c>
      <c r="R1733" s="53" t="str">
        <f t="shared" si="84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3">
        <f t="shared" si="85"/>
        <v>20</v>
      </c>
      <c r="Z1733" s="18">
        <v>46163</v>
      </c>
      <c r="AA1733" s="15"/>
      <c r="AB1733" s="15"/>
    </row>
    <row r="1734" spans="1:28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83"/>
        <v>24</v>
      </c>
      <c r="R1734" s="53" t="str">
        <f t="shared" si="84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3">
        <f t="shared" si="85"/>
        <v>20</v>
      </c>
      <c r="Z1734" s="18">
        <v>46163</v>
      </c>
      <c r="AA1734" s="15"/>
      <c r="AB1734" s="15"/>
    </row>
    <row r="1735" spans="1:28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83"/>
        <v>24</v>
      </c>
      <c r="R1735" s="53" t="str">
        <f t="shared" si="84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3">
        <f t="shared" si="85"/>
        <v>20</v>
      </c>
      <c r="Z1735" s="18">
        <v>46163</v>
      </c>
      <c r="AA1735" s="15"/>
      <c r="AB1735" s="15"/>
    </row>
    <row r="1736" spans="1:28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83"/>
        <v>24</v>
      </c>
      <c r="R1736" s="53" t="str">
        <f t="shared" si="84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3">
        <f t="shared" si="85"/>
        <v>20</v>
      </c>
      <c r="Z1736" s="18">
        <v>46163</v>
      </c>
      <c r="AA1736" s="15"/>
      <c r="AB1736" s="15"/>
    </row>
    <row r="1737" spans="1:28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83"/>
        <v>24</v>
      </c>
      <c r="R1737" s="53" t="str">
        <f t="shared" si="84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3">
        <f t="shared" si="85"/>
        <v>20</v>
      </c>
      <c r="Z1737" s="18">
        <v>46163</v>
      </c>
      <c r="AA1737" s="15"/>
      <c r="AB1737" s="15"/>
    </row>
    <row r="1738" spans="1:28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83"/>
        <v>24</v>
      </c>
      <c r="R1738" s="53" t="str">
        <f t="shared" si="84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3">
        <f t="shared" si="85"/>
        <v>20</v>
      </c>
      <c r="Z1738" s="18">
        <v>46163</v>
      </c>
      <c r="AA1738" s="15"/>
      <c r="AB1738" s="15"/>
    </row>
    <row r="1739" spans="1:28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83"/>
        <v>24</v>
      </c>
      <c r="R1739" s="53" t="str">
        <f t="shared" si="84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3">
        <f t="shared" si="85"/>
        <v>20</v>
      </c>
      <c r="Z1739" s="18">
        <v>46163</v>
      </c>
      <c r="AA1739" s="15"/>
      <c r="AB1739" s="15"/>
    </row>
    <row r="1740" spans="1:28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83"/>
        <v>24</v>
      </c>
      <c r="R1740" s="53" t="str">
        <f t="shared" si="84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3">
        <f t="shared" si="85"/>
        <v>20</v>
      </c>
      <c r="Z1740" s="18">
        <v>46163</v>
      </c>
      <c r="AA1740" s="15"/>
      <c r="AB1740" s="15"/>
    </row>
    <row r="1741" spans="1:28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83"/>
        <v>24</v>
      </c>
      <c r="R1741" s="53" t="str">
        <f t="shared" si="84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3">
        <f t="shared" si="85"/>
        <v>20</v>
      </c>
      <c r="Z1741" s="18">
        <v>46163</v>
      </c>
      <c r="AA1741" s="15"/>
      <c r="AB1741" s="15"/>
    </row>
    <row r="1742" spans="1:28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83"/>
        <v>24</v>
      </c>
      <c r="R1742" s="53" t="str">
        <f t="shared" si="84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3">
        <f t="shared" si="85"/>
        <v>20</v>
      </c>
      <c r="Z1742" s="18">
        <v>46163</v>
      </c>
      <c r="AA1742" s="15"/>
      <c r="AB1742" s="15"/>
    </row>
    <row r="1743" spans="1:28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83"/>
        <v>24</v>
      </c>
      <c r="R1743" s="53" t="str">
        <f t="shared" si="84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3">
        <f t="shared" si="85"/>
        <v>20</v>
      </c>
      <c r="Z1743" s="18">
        <v>46163</v>
      </c>
      <c r="AA1743" s="15"/>
      <c r="AB1743" s="15"/>
    </row>
    <row r="1744" spans="1:28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83"/>
        <v>24</v>
      </c>
      <c r="R1744" s="53" t="str">
        <f t="shared" si="84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3">
        <f t="shared" si="85"/>
        <v>20</v>
      </c>
      <c r="Z1744" s="18">
        <v>46163</v>
      </c>
      <c r="AA1744" s="15"/>
      <c r="AB1744" s="15"/>
    </row>
    <row r="1745" spans="1:28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83"/>
        <v>24</v>
      </c>
      <c r="R1745" s="53" t="str">
        <f t="shared" si="84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3">
        <f t="shared" si="85"/>
        <v>20</v>
      </c>
      <c r="Z1745" s="18">
        <v>46163</v>
      </c>
      <c r="AA1745" s="15"/>
      <c r="AB1745" s="15"/>
    </row>
    <row r="1746" spans="1:28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83"/>
        <v>24</v>
      </c>
      <c r="R1746" s="53" t="str">
        <f t="shared" si="84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3">
        <f t="shared" si="85"/>
        <v>20</v>
      </c>
      <c r="Z1746" s="18">
        <v>46163</v>
      </c>
      <c r="AA1746" s="15"/>
      <c r="AB1746" s="15"/>
    </row>
    <row r="1747" spans="1:28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83"/>
        <v>24</v>
      </c>
      <c r="R1747" s="53" t="str">
        <f t="shared" si="84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3">
        <f t="shared" si="85"/>
        <v>20</v>
      </c>
      <c r="Z1747" s="18">
        <v>46163</v>
      </c>
      <c r="AA1747" s="15"/>
      <c r="AB1747" s="15"/>
    </row>
    <row r="1748" spans="1:28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83"/>
        <v>24</v>
      </c>
      <c r="R1748" s="53" t="str">
        <f t="shared" si="84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3">
        <f t="shared" si="85"/>
        <v>20</v>
      </c>
      <c r="Z1748" s="18">
        <v>46163</v>
      </c>
      <c r="AA1748" s="15"/>
      <c r="AB1748" s="15"/>
    </row>
    <row r="1749" spans="1:28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83"/>
        <v>24</v>
      </c>
      <c r="R1749" s="53" t="str">
        <f t="shared" si="84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3">
        <f t="shared" si="85"/>
        <v>21</v>
      </c>
      <c r="Z1749" s="18">
        <v>46164</v>
      </c>
      <c r="AA1749" s="15"/>
      <c r="AB1749" s="15"/>
    </row>
    <row r="1750" spans="1:28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83"/>
        <v>24</v>
      </c>
      <c r="R1750" s="53" t="str">
        <f t="shared" si="84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3">
        <f t="shared" si="85"/>
        <v>21</v>
      </c>
      <c r="Z1750" s="18">
        <v>46164</v>
      </c>
      <c r="AA1750" s="15"/>
      <c r="AB1750" s="15"/>
    </row>
    <row r="1751" spans="1:28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83"/>
        <v>24</v>
      </c>
      <c r="R1751" s="53" t="str">
        <f t="shared" si="84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3">
        <f t="shared" si="85"/>
        <v>21</v>
      </c>
      <c r="Z1751" s="18">
        <v>46164</v>
      </c>
      <c r="AA1751" s="15"/>
      <c r="AB1751" s="15"/>
    </row>
    <row r="1752" spans="1:28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83"/>
        <v>24</v>
      </c>
      <c r="R1752" s="53" t="str">
        <f t="shared" si="84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3">
        <f t="shared" si="85"/>
        <v>21</v>
      </c>
      <c r="Z1752" s="18">
        <v>46164</v>
      </c>
      <c r="AA1752" s="15"/>
      <c r="AB1752" s="15"/>
    </row>
    <row r="1753" spans="1:28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83"/>
        <v>24</v>
      </c>
      <c r="R1753" s="53" t="str">
        <f t="shared" si="84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3">
        <f t="shared" si="85"/>
        <v>21</v>
      </c>
      <c r="Z1753" s="18">
        <v>46164</v>
      </c>
      <c r="AA1753" s="15"/>
      <c r="AB1753" s="15"/>
    </row>
    <row r="1754" spans="1:28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83"/>
        <v>24</v>
      </c>
      <c r="R1754" s="53" t="str">
        <f t="shared" si="84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3">
        <f t="shared" si="85"/>
        <v>21</v>
      </c>
      <c r="Z1754" s="18">
        <v>46164</v>
      </c>
      <c r="AA1754" s="15"/>
      <c r="AB1754" s="15"/>
    </row>
    <row r="1755" spans="1:28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83"/>
        <v>24</v>
      </c>
      <c r="R1755" s="53" t="str">
        <f t="shared" si="84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3">
        <f t="shared" si="85"/>
        <v>21</v>
      </c>
      <c r="Z1755" s="18">
        <v>46164</v>
      </c>
      <c r="AA1755" s="15"/>
      <c r="AB1755" s="15"/>
    </row>
    <row r="1756" spans="1:28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83"/>
        <v>24</v>
      </c>
      <c r="R1756" s="53" t="str">
        <f t="shared" si="84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3">
        <f t="shared" si="85"/>
        <v>21</v>
      </c>
      <c r="Z1756" s="18">
        <v>46164</v>
      </c>
      <c r="AA1756" s="15"/>
      <c r="AB1756" s="15"/>
    </row>
    <row r="1757" spans="1:28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83"/>
        <v>24</v>
      </c>
      <c r="R1757" s="53" t="str">
        <f t="shared" si="84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3">
        <f t="shared" si="85"/>
        <v>21</v>
      </c>
      <c r="Z1757" s="18">
        <v>46164</v>
      </c>
      <c r="AA1757" s="15"/>
      <c r="AB1757" s="15"/>
    </row>
    <row r="1758" spans="1:28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83"/>
        <v>24</v>
      </c>
      <c r="R1758" s="53" t="str">
        <f t="shared" si="84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3">
        <f t="shared" si="85"/>
        <v>21</v>
      </c>
      <c r="Z1758" s="18">
        <v>46164</v>
      </c>
      <c r="AA1758" s="15"/>
      <c r="AB1758" s="15"/>
    </row>
    <row r="1759" spans="1:28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83"/>
        <v>24</v>
      </c>
      <c r="R1759" s="53" t="str">
        <f t="shared" si="84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3">
        <f t="shared" si="85"/>
        <v>21</v>
      </c>
      <c r="Z1759" s="18">
        <v>46164</v>
      </c>
      <c r="AA1759" s="15"/>
      <c r="AB1759" s="15"/>
    </row>
    <row r="1760" spans="1:28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83"/>
        <v>24</v>
      </c>
      <c r="R1760" s="53" t="str">
        <f t="shared" si="84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3">
        <f t="shared" si="85"/>
        <v>21</v>
      </c>
      <c r="Z1760" s="18">
        <v>46164</v>
      </c>
      <c r="AA1760" s="15"/>
      <c r="AB1760" s="15"/>
    </row>
    <row r="1761" spans="1:28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83"/>
        <v>24</v>
      </c>
      <c r="R1761" s="53" t="str">
        <f t="shared" si="84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3">
        <f t="shared" si="85"/>
        <v>21</v>
      </c>
      <c r="Z1761" s="18">
        <v>46164</v>
      </c>
      <c r="AA1761" s="15"/>
      <c r="AB1761" s="15"/>
    </row>
    <row r="1762" spans="1:28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83"/>
        <v>24</v>
      </c>
      <c r="R1762" s="53" t="str">
        <f t="shared" si="84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3">
        <f t="shared" si="85"/>
        <v>21</v>
      </c>
      <c r="Z1762" s="18">
        <v>46164</v>
      </c>
      <c r="AA1762" s="15"/>
      <c r="AB1762" s="15"/>
    </row>
    <row r="1763" spans="1:28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83"/>
        <v>24</v>
      </c>
      <c r="R1763" s="53" t="str">
        <f t="shared" si="84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3">
        <f t="shared" si="85"/>
        <v>21</v>
      </c>
      <c r="Z1763" s="18">
        <v>46164</v>
      </c>
      <c r="AA1763" s="15"/>
      <c r="AB1763" s="15"/>
    </row>
    <row r="1764" spans="1:28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83"/>
        <v>24</v>
      </c>
      <c r="R1764" s="53" t="str">
        <f t="shared" si="84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3">
        <f t="shared" si="85"/>
        <v>21</v>
      </c>
      <c r="Z1764" s="18">
        <v>46164</v>
      </c>
      <c r="AA1764" s="15"/>
      <c r="AB1764" s="15"/>
    </row>
    <row r="1765" spans="1:28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83"/>
        <v>24</v>
      </c>
      <c r="R1765" s="53" t="str">
        <f t="shared" si="84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3">
        <f t="shared" si="85"/>
        <v>21</v>
      </c>
      <c r="Z1765" s="18">
        <v>46164</v>
      </c>
      <c r="AA1765" s="15"/>
      <c r="AB1765" s="15"/>
    </row>
    <row r="1766" spans="1:28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83"/>
        <v>24</v>
      </c>
      <c r="R1766" s="53" t="str">
        <f t="shared" si="84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3">
        <f t="shared" si="85"/>
        <v>21</v>
      </c>
      <c r="Z1766" s="18">
        <v>46164</v>
      </c>
      <c r="AA1766" s="15"/>
      <c r="AB1766" s="15"/>
    </row>
    <row r="1767" spans="1:28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86">MID(P1767,5,2)</f>
        <v>24</v>
      </c>
      <c r="R1767" s="53" t="str">
        <f t="shared" ref="R1767:R1830" si="87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3">
        <f t="shared" si="85"/>
        <v>21</v>
      </c>
      <c r="Z1767" s="18">
        <v>46164</v>
      </c>
      <c r="AA1767" s="15"/>
      <c r="AB1767" s="15"/>
    </row>
    <row r="1768" spans="1:28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86"/>
        <v>24</v>
      </c>
      <c r="R1768" s="53" t="str">
        <f t="shared" si="87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3">
        <f t="shared" si="85"/>
        <v>21</v>
      </c>
      <c r="Z1768" s="18">
        <v>46164</v>
      </c>
      <c r="AA1768" s="15"/>
      <c r="AB1768" s="15"/>
    </row>
    <row r="1769" spans="1:28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86"/>
        <v>24</v>
      </c>
      <c r="R1769" s="53" t="str">
        <f t="shared" si="87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3">
        <f t="shared" si="85"/>
        <v>21</v>
      </c>
      <c r="Z1769" s="18">
        <v>46164</v>
      </c>
      <c r="AA1769" s="15"/>
      <c r="AB1769" s="15"/>
    </row>
    <row r="1770" spans="1:28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86"/>
        <v>24</v>
      </c>
      <c r="R1770" s="53" t="str">
        <f t="shared" si="87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3">
        <f t="shared" si="85"/>
        <v>21</v>
      </c>
      <c r="Z1770" s="18">
        <v>46164</v>
      </c>
      <c r="AA1770" s="15"/>
      <c r="AB1770" s="15"/>
    </row>
    <row r="1771" spans="1:28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86"/>
        <v>24</v>
      </c>
      <c r="R1771" s="53" t="str">
        <f t="shared" si="87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3">
        <f t="shared" si="85"/>
        <v>21</v>
      </c>
      <c r="Z1771" s="18">
        <v>46164</v>
      </c>
      <c r="AA1771" s="15"/>
      <c r="AB1771" s="15"/>
    </row>
    <row r="1772" spans="1:28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86"/>
        <v>24</v>
      </c>
      <c r="R1772" s="53" t="str">
        <f t="shared" si="87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3">
        <f t="shared" si="85"/>
        <v>21</v>
      </c>
      <c r="Z1772" s="18">
        <v>46164</v>
      </c>
      <c r="AA1772" s="15"/>
      <c r="AB1772" s="15"/>
    </row>
    <row r="1773" spans="1:28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86"/>
        <v>24</v>
      </c>
      <c r="R1773" s="53" t="str">
        <f t="shared" si="87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3">
        <f t="shared" si="85"/>
        <v>21</v>
      </c>
      <c r="Z1773" s="18">
        <v>46164</v>
      </c>
      <c r="AA1773" s="15"/>
      <c r="AB1773" s="15"/>
    </row>
    <row r="1774" spans="1:28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86"/>
        <v>24</v>
      </c>
      <c r="R1774" s="53" t="str">
        <f t="shared" si="87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3">
        <f t="shared" si="85"/>
        <v>21</v>
      </c>
      <c r="Z1774" s="18">
        <v>46164</v>
      </c>
      <c r="AA1774" s="15"/>
      <c r="AB1774" s="15"/>
    </row>
    <row r="1775" spans="1:28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86"/>
        <v>24</v>
      </c>
      <c r="R1775" s="53" t="str">
        <f t="shared" si="87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3">
        <f t="shared" si="85"/>
        <v>21</v>
      </c>
      <c r="Z1775" s="18">
        <v>46164</v>
      </c>
      <c r="AA1775" s="15"/>
      <c r="AB1775" s="15"/>
    </row>
    <row r="1776" spans="1:28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86"/>
        <v>23</v>
      </c>
      <c r="R1776" s="53" t="str">
        <f t="shared" si="87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3">
        <f t="shared" si="85"/>
        <v>17</v>
      </c>
      <c r="Z1776" s="18">
        <v>46165</v>
      </c>
      <c r="AA1776" s="15"/>
      <c r="AB1776" s="15"/>
    </row>
    <row r="1777" spans="1:28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86"/>
        <v>23</v>
      </c>
      <c r="R1777" s="53" t="str">
        <f t="shared" si="87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3">
        <f t="shared" si="85"/>
        <v>17</v>
      </c>
      <c r="Z1777" s="18">
        <v>46165</v>
      </c>
      <c r="AA1777" s="15"/>
      <c r="AB1777" s="15"/>
    </row>
    <row r="1778" spans="1:28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86"/>
        <v>23</v>
      </c>
      <c r="R1778" s="53" t="str">
        <f t="shared" si="87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3">
        <f t="shared" si="85"/>
        <v>17</v>
      </c>
      <c r="Z1778" s="18">
        <v>46165</v>
      </c>
      <c r="AA1778" s="15"/>
      <c r="AB1778" s="15"/>
    </row>
    <row r="1779" spans="1:28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86"/>
        <v>23</v>
      </c>
      <c r="R1779" s="53" t="str">
        <f t="shared" si="87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3">
        <f t="shared" si="85"/>
        <v>17</v>
      </c>
      <c r="Z1779" s="18">
        <v>46165</v>
      </c>
      <c r="AA1779" s="15"/>
      <c r="AB1779" s="15"/>
    </row>
    <row r="1780" spans="1:28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86"/>
        <v>23</v>
      </c>
      <c r="R1780" s="53" t="str">
        <f t="shared" si="87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3">
        <f t="shared" si="85"/>
        <v>17</v>
      </c>
      <c r="Z1780" s="18">
        <v>46165</v>
      </c>
      <c r="AA1780" s="15"/>
      <c r="AB1780" s="15"/>
    </row>
    <row r="1781" spans="1:28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86"/>
        <v>23</v>
      </c>
      <c r="R1781" s="53" t="str">
        <f t="shared" si="87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3">
        <f t="shared" si="85"/>
        <v>17</v>
      </c>
      <c r="Z1781" s="18">
        <v>46165</v>
      </c>
      <c r="AA1781" s="15"/>
      <c r="AB1781" s="15"/>
    </row>
    <row r="1782" spans="1:28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86"/>
        <v>23</v>
      </c>
      <c r="R1782" s="53" t="str">
        <f t="shared" si="87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3">
        <f t="shared" si="85"/>
        <v>17</v>
      </c>
      <c r="Z1782" s="18">
        <v>46165</v>
      </c>
      <c r="AA1782" s="15"/>
      <c r="AB1782" s="15"/>
    </row>
    <row r="1783" spans="1:28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86"/>
        <v>23</v>
      </c>
      <c r="R1783" s="53" t="str">
        <f t="shared" si="87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3">
        <f t="shared" si="85"/>
        <v>17</v>
      </c>
      <c r="Z1783" s="18">
        <v>46165</v>
      </c>
      <c r="AA1783" s="15"/>
      <c r="AB1783" s="15"/>
    </row>
    <row r="1784" spans="1:28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86"/>
        <v>23</v>
      </c>
      <c r="R1784" s="53" t="str">
        <f t="shared" si="87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3">
        <f t="shared" si="85"/>
        <v>17</v>
      </c>
      <c r="Z1784" s="18">
        <v>46165</v>
      </c>
      <c r="AA1784" s="15"/>
      <c r="AB1784" s="15"/>
    </row>
    <row r="1785" spans="1:28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86"/>
        <v>23</v>
      </c>
      <c r="R1785" s="53" t="str">
        <f t="shared" si="87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3">
        <f t="shared" si="85"/>
        <v>17</v>
      </c>
      <c r="Z1785" s="18">
        <v>46165</v>
      </c>
      <c r="AA1785" s="15"/>
      <c r="AB1785" s="15"/>
    </row>
    <row r="1786" spans="1:28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86"/>
        <v>23</v>
      </c>
      <c r="R1786" s="53" t="str">
        <f t="shared" si="87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3">
        <f t="shared" si="85"/>
        <v>17</v>
      </c>
      <c r="Z1786" s="18">
        <v>46165</v>
      </c>
      <c r="AA1786" s="15"/>
      <c r="AB1786" s="15"/>
    </row>
    <row r="1787" spans="1:28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86"/>
        <v>23</v>
      </c>
      <c r="R1787" s="53" t="str">
        <f t="shared" si="87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3">
        <f t="shared" si="85"/>
        <v>17</v>
      </c>
      <c r="Z1787" s="18">
        <v>46165</v>
      </c>
      <c r="AA1787" s="15"/>
      <c r="AB1787" s="15"/>
    </row>
    <row r="1788" spans="1:28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86"/>
        <v>23</v>
      </c>
      <c r="R1788" s="53" t="str">
        <f t="shared" si="87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3">
        <f t="shared" si="85"/>
        <v>17</v>
      </c>
      <c r="Z1788" s="18">
        <v>46165</v>
      </c>
      <c r="AA1788" s="15"/>
      <c r="AB1788" s="15"/>
    </row>
    <row r="1789" spans="1:28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86"/>
        <v>23</v>
      </c>
      <c r="R1789" s="53" t="str">
        <f t="shared" si="87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3">
        <f t="shared" si="85"/>
        <v>17</v>
      </c>
      <c r="Z1789" s="18">
        <v>46165</v>
      </c>
      <c r="AA1789" s="15"/>
      <c r="AB1789" s="15"/>
    </row>
    <row r="1790" spans="1:28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86"/>
        <v>23</v>
      </c>
      <c r="R1790" s="53" t="str">
        <f t="shared" si="87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3">
        <f t="shared" si="85"/>
        <v>17</v>
      </c>
      <c r="Z1790" s="18">
        <v>46165</v>
      </c>
      <c r="AA1790" s="15"/>
      <c r="AB1790" s="15"/>
    </row>
    <row r="1791" spans="1:28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86"/>
        <v>23</v>
      </c>
      <c r="R1791" s="53" t="str">
        <f t="shared" si="87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3">
        <f t="shared" si="85"/>
        <v>17</v>
      </c>
      <c r="Z1791" s="18">
        <v>46165</v>
      </c>
      <c r="AA1791" s="15"/>
      <c r="AB1791" s="15"/>
    </row>
    <row r="1792" spans="1:28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86"/>
        <v>23</v>
      </c>
      <c r="R1792" s="53" t="str">
        <f t="shared" si="87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3">
        <f t="shared" si="85"/>
        <v>17</v>
      </c>
      <c r="Z1792" s="18">
        <v>46165</v>
      </c>
      <c r="AA1792" s="15"/>
      <c r="AB1792" s="15"/>
    </row>
    <row r="1793" spans="1:28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86"/>
        <v>23</v>
      </c>
      <c r="R1793" s="53" t="str">
        <f t="shared" si="87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3">
        <f t="shared" si="85"/>
        <v>17</v>
      </c>
      <c r="Z1793" s="18">
        <v>46165</v>
      </c>
      <c r="AA1793" s="15"/>
      <c r="AB1793" s="15"/>
    </row>
    <row r="1794" spans="1:28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86"/>
        <v>23</v>
      </c>
      <c r="R1794" s="53" t="str">
        <f t="shared" si="87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3">
        <f t="shared" ref="Y1794:Y1857" si="88">X1794-A1794</f>
        <v>17</v>
      </c>
      <c r="Z1794" s="18">
        <v>46165</v>
      </c>
      <c r="AA1794" s="15"/>
      <c r="AB1794" s="15"/>
    </row>
    <row r="1795" spans="1:28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86"/>
        <v>23</v>
      </c>
      <c r="R1795" s="53" t="str">
        <f t="shared" si="87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3">
        <f t="shared" si="88"/>
        <v>17</v>
      </c>
      <c r="Z1795" s="18">
        <v>46165</v>
      </c>
      <c r="AA1795" s="15"/>
      <c r="AB1795" s="15"/>
    </row>
    <row r="1796" spans="1:28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86"/>
        <v>23</v>
      </c>
      <c r="R1796" s="53" t="str">
        <f t="shared" si="87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3">
        <f t="shared" si="88"/>
        <v>17</v>
      </c>
      <c r="Z1796" s="18">
        <v>46165</v>
      </c>
      <c r="AA1796" s="15"/>
      <c r="AB1796" s="15"/>
    </row>
    <row r="1797" spans="1:28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86"/>
        <v>23</v>
      </c>
      <c r="R1797" s="53" t="str">
        <f t="shared" si="87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3">
        <f t="shared" si="88"/>
        <v>17</v>
      </c>
      <c r="Z1797" s="18">
        <v>46165</v>
      </c>
      <c r="AA1797" s="15"/>
      <c r="AB1797" s="15"/>
    </row>
    <row r="1798" spans="1:28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86"/>
        <v>23</v>
      </c>
      <c r="R1798" s="53" t="str">
        <f t="shared" si="87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3">
        <f t="shared" si="88"/>
        <v>17</v>
      </c>
      <c r="Z1798" s="18">
        <v>46165</v>
      </c>
      <c r="AA1798" s="15"/>
      <c r="AB1798" s="15"/>
    </row>
    <row r="1799" spans="1:28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86"/>
        <v>23</v>
      </c>
      <c r="R1799" s="53" t="str">
        <f t="shared" si="87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3">
        <f t="shared" si="88"/>
        <v>17</v>
      </c>
      <c r="Z1799" s="18">
        <v>46165</v>
      </c>
      <c r="AA1799" s="15"/>
      <c r="AB1799" s="15"/>
    </row>
    <row r="1800" spans="1:28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86"/>
        <v>23</v>
      </c>
      <c r="R1800" s="53" t="str">
        <f t="shared" si="87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3">
        <f t="shared" si="88"/>
        <v>17</v>
      </c>
      <c r="Z1800" s="18">
        <v>46165</v>
      </c>
      <c r="AA1800" s="15"/>
      <c r="AB1800" s="15"/>
    </row>
    <row r="1801" spans="1:28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86"/>
        <v>23</v>
      </c>
      <c r="R1801" s="53" t="str">
        <f t="shared" si="87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3">
        <f t="shared" si="88"/>
        <v>17</v>
      </c>
      <c r="Z1801" s="18">
        <v>46165</v>
      </c>
      <c r="AA1801" s="15"/>
      <c r="AB1801" s="15"/>
    </row>
    <row r="1802" spans="1:28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86"/>
        <v>23</v>
      </c>
      <c r="R1802" s="53" t="str">
        <f t="shared" si="87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3">
        <f t="shared" si="88"/>
        <v>17</v>
      </c>
      <c r="Z1802" s="18">
        <v>46165</v>
      </c>
      <c r="AA1802" s="15"/>
      <c r="AB1802" s="15"/>
    </row>
    <row r="1803" spans="1:28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86"/>
        <v>23</v>
      </c>
      <c r="R1803" s="53" t="str">
        <f t="shared" si="87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3">
        <f t="shared" si="88"/>
        <v>17</v>
      </c>
      <c r="Z1803" s="18">
        <v>46165</v>
      </c>
      <c r="AA1803" s="15"/>
      <c r="AB1803" s="15"/>
    </row>
    <row r="1804" spans="1:28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86"/>
        <v>23</v>
      </c>
      <c r="R1804" s="53" t="str">
        <f t="shared" si="87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3">
        <f t="shared" si="88"/>
        <v>17</v>
      </c>
      <c r="Z1804" s="18">
        <v>46165</v>
      </c>
      <c r="AA1804" s="15"/>
      <c r="AB1804" s="15"/>
    </row>
    <row r="1805" spans="1:28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86"/>
        <v>23</v>
      </c>
      <c r="R1805" s="53" t="str">
        <f t="shared" si="87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3">
        <f t="shared" si="88"/>
        <v>17</v>
      </c>
      <c r="Z1805" s="18">
        <v>46165</v>
      </c>
      <c r="AA1805" s="15"/>
      <c r="AB1805" s="15"/>
    </row>
    <row r="1806" spans="1:28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86"/>
        <v>23</v>
      </c>
      <c r="R1806" s="53" t="str">
        <f t="shared" si="87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3">
        <f t="shared" si="88"/>
        <v>17</v>
      </c>
      <c r="Z1806" s="18">
        <v>46165</v>
      </c>
      <c r="AA1806" s="15"/>
      <c r="AB1806" s="15"/>
    </row>
    <row r="1807" spans="1:28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86"/>
        <v>23</v>
      </c>
      <c r="R1807" s="53" t="str">
        <f t="shared" si="87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3">
        <f t="shared" si="88"/>
        <v>17</v>
      </c>
      <c r="Z1807" s="18">
        <v>46165</v>
      </c>
      <c r="AA1807" s="15"/>
      <c r="AB1807" s="15"/>
    </row>
    <row r="1808" spans="1:28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86"/>
        <v>23</v>
      </c>
      <c r="R1808" s="53" t="str">
        <f t="shared" si="87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3">
        <f t="shared" si="88"/>
        <v>17</v>
      </c>
      <c r="Z1808" s="18">
        <v>46165</v>
      </c>
      <c r="AA1808" s="15"/>
      <c r="AB1808" s="15"/>
    </row>
    <row r="1809" spans="1:28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86"/>
        <v>23</v>
      </c>
      <c r="R1809" s="53" t="str">
        <f t="shared" si="87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3">
        <f t="shared" si="88"/>
        <v>17</v>
      </c>
      <c r="Z1809" s="18">
        <v>46165</v>
      </c>
      <c r="AA1809" s="15"/>
      <c r="AB1809" s="15"/>
    </row>
    <row r="1810" spans="1:28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86"/>
        <v>23</v>
      </c>
      <c r="R1810" s="53" t="str">
        <f t="shared" si="87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3">
        <f t="shared" si="88"/>
        <v>17</v>
      </c>
      <c r="Z1810" s="18">
        <v>46165</v>
      </c>
      <c r="AA1810" s="15"/>
      <c r="AB1810" s="15"/>
    </row>
    <row r="1811" spans="1:28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86"/>
        <v>23</v>
      </c>
      <c r="R1811" s="53" t="str">
        <f t="shared" si="87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3">
        <f t="shared" si="88"/>
        <v>17</v>
      </c>
      <c r="Z1811" s="18">
        <v>46165</v>
      </c>
      <c r="AA1811" s="15"/>
      <c r="AB1811" s="15"/>
    </row>
    <row r="1812" spans="1:28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86"/>
        <v>23</v>
      </c>
      <c r="R1812" s="53" t="str">
        <f t="shared" si="87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3">
        <f t="shared" si="88"/>
        <v>17</v>
      </c>
      <c r="Z1812" s="18">
        <v>46165</v>
      </c>
      <c r="AA1812" s="15"/>
      <c r="AB1812" s="15"/>
    </row>
    <row r="1813" spans="1:28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86"/>
        <v>23</v>
      </c>
      <c r="R1813" s="53" t="str">
        <f t="shared" si="87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3">
        <f t="shared" si="88"/>
        <v>17</v>
      </c>
      <c r="Z1813" s="18">
        <v>46165</v>
      </c>
      <c r="AA1813" s="15"/>
      <c r="AB1813" s="15"/>
    </row>
    <row r="1814" spans="1:28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86"/>
        <v>23</v>
      </c>
      <c r="R1814" s="53" t="str">
        <f t="shared" si="87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3">
        <f t="shared" si="88"/>
        <v>17</v>
      </c>
      <c r="Z1814" s="18">
        <v>46165</v>
      </c>
      <c r="AA1814" s="15"/>
      <c r="AB1814" s="15"/>
    </row>
    <row r="1815" spans="1:28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86"/>
        <v>23</v>
      </c>
      <c r="R1815" s="53" t="str">
        <f t="shared" si="87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3">
        <f t="shared" si="88"/>
        <v>17</v>
      </c>
      <c r="Z1815" s="18">
        <v>46165</v>
      </c>
      <c r="AA1815" s="15"/>
      <c r="AB1815" s="15"/>
    </row>
    <row r="1816" spans="1:28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86"/>
        <v>23</v>
      </c>
      <c r="R1816" s="53" t="str">
        <f t="shared" si="87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3">
        <f t="shared" si="88"/>
        <v>17</v>
      </c>
      <c r="Z1816" s="18">
        <v>46165</v>
      </c>
      <c r="AA1816" s="15"/>
      <c r="AB1816" s="15"/>
    </row>
    <row r="1817" spans="1:28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86"/>
        <v>24</v>
      </c>
      <c r="R1817" s="77" t="str">
        <f t="shared" si="87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88"/>
        <v>22</v>
      </c>
      <c r="Z1817" s="85">
        <v>46165</v>
      </c>
      <c r="AA1817" s="86"/>
      <c r="AB1817" s="86"/>
    </row>
    <row r="1818" spans="1:28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86"/>
        <v>24</v>
      </c>
      <c r="R1818" s="53" t="str">
        <f t="shared" si="87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3">
        <f t="shared" si="88"/>
        <v>22</v>
      </c>
      <c r="Z1818" s="18">
        <v>46165</v>
      </c>
      <c r="AA1818" s="15"/>
      <c r="AB1818" s="15"/>
    </row>
    <row r="1819" spans="1:28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86"/>
        <v>24</v>
      </c>
      <c r="R1819" s="53" t="str">
        <f t="shared" si="87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3">
        <f t="shared" si="88"/>
        <v>22</v>
      </c>
      <c r="Z1819" s="18">
        <v>46165</v>
      </c>
      <c r="AA1819" s="15"/>
      <c r="AB1819" s="15"/>
    </row>
    <row r="1820" spans="1:28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86"/>
        <v>24</v>
      </c>
      <c r="R1820" s="53" t="str">
        <f t="shared" si="87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3">
        <f t="shared" si="88"/>
        <v>22</v>
      </c>
      <c r="Z1820" s="18">
        <v>46165</v>
      </c>
      <c r="AA1820" s="15"/>
      <c r="AB1820" s="15"/>
    </row>
    <row r="1821" spans="1:28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86"/>
        <v>24</v>
      </c>
      <c r="R1821" s="53" t="str">
        <f t="shared" si="87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3">
        <f t="shared" si="88"/>
        <v>22</v>
      </c>
      <c r="Z1821" s="18">
        <v>46165</v>
      </c>
      <c r="AA1821" s="15"/>
      <c r="AB1821" s="15"/>
    </row>
    <row r="1822" spans="1:28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86"/>
        <v>24</v>
      </c>
      <c r="R1822" s="53" t="str">
        <f t="shared" si="87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3">
        <f t="shared" si="88"/>
        <v>22</v>
      </c>
      <c r="Z1822" s="18">
        <v>46165</v>
      </c>
      <c r="AA1822" s="15"/>
      <c r="AB1822" s="15"/>
    </row>
    <row r="1823" spans="1:28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86"/>
        <v>24</v>
      </c>
      <c r="R1823" s="53" t="str">
        <f t="shared" si="87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3">
        <f t="shared" si="88"/>
        <v>22</v>
      </c>
      <c r="Z1823" s="18">
        <v>46165</v>
      </c>
      <c r="AA1823" s="15"/>
      <c r="AB1823" s="15"/>
    </row>
    <row r="1824" spans="1:28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86"/>
        <v>24</v>
      </c>
      <c r="R1824" s="53" t="str">
        <f t="shared" si="87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3">
        <f t="shared" si="88"/>
        <v>22</v>
      </c>
      <c r="Z1824" s="18">
        <v>46165</v>
      </c>
      <c r="AA1824" s="15"/>
      <c r="AB1824" s="15"/>
    </row>
    <row r="1825" spans="1:28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86"/>
        <v>24</v>
      </c>
      <c r="R1825" s="53" t="str">
        <f t="shared" si="87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3">
        <f t="shared" si="88"/>
        <v>22</v>
      </c>
      <c r="Z1825" s="18">
        <v>46165</v>
      </c>
      <c r="AA1825" s="15"/>
      <c r="AB1825" s="15"/>
    </row>
    <row r="1826" spans="1:28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86"/>
        <v>24</v>
      </c>
      <c r="R1826" s="53" t="str">
        <f t="shared" si="87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3">
        <f t="shared" si="88"/>
        <v>22</v>
      </c>
      <c r="Z1826" s="18">
        <v>46165</v>
      </c>
      <c r="AA1826" s="15"/>
      <c r="AB1826" s="15"/>
    </row>
    <row r="1827" spans="1:28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86"/>
        <v>24</v>
      </c>
      <c r="R1827" s="53" t="str">
        <f t="shared" si="87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3">
        <f t="shared" si="88"/>
        <v>22</v>
      </c>
      <c r="Z1827" s="18">
        <v>46165</v>
      </c>
      <c r="AA1827" s="15"/>
      <c r="AB1827" s="15"/>
    </row>
    <row r="1828" spans="1:28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86"/>
        <v>24</v>
      </c>
      <c r="R1828" s="53" t="str">
        <f t="shared" si="87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3">
        <f t="shared" si="88"/>
        <v>22</v>
      </c>
      <c r="Z1828" s="18">
        <v>46165</v>
      </c>
      <c r="AA1828" s="15"/>
      <c r="AB1828" s="15"/>
    </row>
    <row r="1829" spans="1:28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86"/>
        <v>24</v>
      </c>
      <c r="R1829" s="53" t="str">
        <f t="shared" si="87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3">
        <f t="shared" si="88"/>
        <v>22</v>
      </c>
      <c r="Z1829" s="18">
        <v>46165</v>
      </c>
      <c r="AA1829" s="15"/>
      <c r="AB1829" s="15"/>
    </row>
    <row r="1830" spans="1:28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86"/>
        <v>24</v>
      </c>
      <c r="R1830" s="53" t="str">
        <f t="shared" si="87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3">
        <f t="shared" si="88"/>
        <v>22</v>
      </c>
      <c r="Z1830" s="18">
        <v>46165</v>
      </c>
      <c r="AA1830" s="15"/>
      <c r="AB1830" s="15"/>
    </row>
    <row r="1831" spans="1:28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89">MID(P1831,5,2)</f>
        <v>24</v>
      </c>
      <c r="R1831" s="53" t="str">
        <f t="shared" ref="R1831:R1894" si="90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3">
        <f t="shared" si="88"/>
        <v>22</v>
      </c>
      <c r="Z1831" s="18">
        <v>46165</v>
      </c>
      <c r="AA1831" s="15"/>
      <c r="AB1831" s="15"/>
    </row>
    <row r="1832" spans="1:28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89"/>
        <v>24</v>
      </c>
      <c r="R1832" s="53" t="str">
        <f t="shared" si="90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3">
        <f t="shared" si="88"/>
        <v>22</v>
      </c>
      <c r="Z1832" s="18">
        <v>46165</v>
      </c>
      <c r="AA1832" s="15"/>
      <c r="AB1832" s="15"/>
    </row>
    <row r="1833" spans="1:28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89"/>
        <v>24</v>
      </c>
      <c r="R1833" s="53" t="str">
        <f t="shared" si="90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3">
        <f t="shared" si="88"/>
        <v>22</v>
      </c>
      <c r="Z1833" s="18">
        <v>46165</v>
      </c>
      <c r="AA1833" s="15"/>
      <c r="AB1833" s="15"/>
    </row>
    <row r="1834" spans="1:28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89"/>
        <v>24</v>
      </c>
      <c r="R1834" s="53" t="str">
        <f t="shared" si="90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3">
        <f t="shared" si="88"/>
        <v>22</v>
      </c>
      <c r="Z1834" s="18">
        <v>46165</v>
      </c>
      <c r="AA1834" s="15"/>
      <c r="AB1834" s="15"/>
    </row>
    <row r="1835" spans="1:28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89"/>
        <v>24</v>
      </c>
      <c r="R1835" s="53" t="str">
        <f t="shared" si="90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3">
        <f t="shared" si="88"/>
        <v>22</v>
      </c>
      <c r="Z1835" s="18">
        <v>46165</v>
      </c>
      <c r="AA1835" s="15"/>
      <c r="AB1835" s="15"/>
    </row>
    <row r="1836" spans="1:28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89"/>
        <v>24</v>
      </c>
      <c r="R1836" s="53" t="str">
        <f t="shared" si="90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3">
        <f t="shared" si="88"/>
        <v>22</v>
      </c>
      <c r="Z1836" s="18">
        <v>46165</v>
      </c>
      <c r="AA1836" s="15"/>
      <c r="AB1836" s="15"/>
    </row>
    <row r="1837" spans="1:28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89"/>
        <v>24</v>
      </c>
      <c r="R1837" s="53" t="str">
        <f t="shared" si="90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3">
        <f t="shared" si="88"/>
        <v>22</v>
      </c>
      <c r="Z1837" s="18">
        <v>46165</v>
      </c>
      <c r="AA1837" s="15"/>
      <c r="AB1837" s="15"/>
    </row>
    <row r="1838" spans="1:28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89"/>
        <v>24</v>
      </c>
      <c r="R1838" s="53" t="str">
        <f t="shared" si="90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3">
        <f t="shared" si="88"/>
        <v>22</v>
      </c>
      <c r="Z1838" s="18">
        <v>46165</v>
      </c>
      <c r="AA1838" s="15"/>
      <c r="AB1838" s="15"/>
    </row>
    <row r="1839" spans="1:28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89"/>
        <v>24</v>
      </c>
      <c r="R1839" s="53" t="str">
        <f t="shared" si="90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3">
        <f t="shared" si="88"/>
        <v>22</v>
      </c>
      <c r="Z1839" s="18">
        <v>46165</v>
      </c>
      <c r="AA1839" s="15"/>
      <c r="AB1839" s="15"/>
    </row>
    <row r="1840" spans="1:28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89"/>
        <v>24</v>
      </c>
      <c r="R1840" s="53" t="str">
        <f t="shared" si="90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3">
        <f t="shared" si="88"/>
        <v>22</v>
      </c>
      <c r="Z1840" s="18">
        <v>46165</v>
      </c>
      <c r="AA1840" s="15"/>
      <c r="AB1840" s="15"/>
    </row>
    <row r="1841" spans="1:28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89"/>
        <v>24</v>
      </c>
      <c r="R1841" s="53" t="str">
        <f t="shared" si="90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3">
        <f t="shared" si="88"/>
        <v>22</v>
      </c>
      <c r="Z1841" s="18">
        <v>46165</v>
      </c>
      <c r="AA1841" s="15"/>
      <c r="AB1841" s="15"/>
    </row>
    <row r="1842" spans="1:28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89"/>
        <v>24</v>
      </c>
      <c r="R1842" s="53" t="str">
        <f t="shared" si="90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3">
        <f t="shared" si="88"/>
        <v>22</v>
      </c>
      <c r="Z1842" s="18">
        <v>46165</v>
      </c>
      <c r="AA1842" s="15"/>
      <c r="AB1842" s="15"/>
    </row>
    <row r="1843" spans="1:28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89"/>
        <v>24</v>
      </c>
      <c r="R1843" s="53" t="str">
        <f t="shared" si="90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3">
        <f t="shared" si="88"/>
        <v>22</v>
      </c>
      <c r="Z1843" s="18">
        <v>46165</v>
      </c>
      <c r="AA1843" s="15"/>
      <c r="AB1843" s="15"/>
    </row>
    <row r="1844" spans="1:28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89"/>
        <v>24</v>
      </c>
      <c r="R1844" s="53" t="str">
        <f t="shared" si="90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3">
        <f t="shared" si="88"/>
        <v>22</v>
      </c>
      <c r="Z1844" s="18">
        <v>46165</v>
      </c>
      <c r="AA1844" s="15"/>
      <c r="AB1844" s="15"/>
    </row>
    <row r="1845" spans="1:28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89"/>
        <v>24</v>
      </c>
      <c r="R1845" s="53" t="str">
        <f t="shared" si="90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3">
        <f t="shared" si="88"/>
        <v>22</v>
      </c>
      <c r="Z1845" s="18">
        <v>46165</v>
      </c>
      <c r="AA1845" s="15"/>
      <c r="AB1845" s="15"/>
    </row>
    <row r="1846" spans="1:28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89"/>
        <v>24</v>
      </c>
      <c r="R1846" s="53" t="str">
        <f t="shared" si="90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3">
        <f t="shared" si="88"/>
        <v>22</v>
      </c>
      <c r="Z1846" s="18">
        <v>46165</v>
      </c>
      <c r="AA1846" s="15"/>
      <c r="AB1846" s="15"/>
    </row>
    <row r="1847" spans="1:28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89"/>
        <v>24</v>
      </c>
      <c r="R1847" s="53" t="str">
        <f t="shared" si="90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3">
        <f t="shared" si="88"/>
        <v>22</v>
      </c>
      <c r="Z1847" s="18">
        <v>46165</v>
      </c>
      <c r="AA1847" s="15"/>
      <c r="AB1847" s="15"/>
    </row>
    <row r="1848" spans="1:28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89"/>
        <v>24</v>
      </c>
      <c r="R1848" s="53" t="str">
        <f t="shared" si="90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3">
        <f t="shared" si="88"/>
        <v>22</v>
      </c>
      <c r="Z1848" s="18">
        <v>46165</v>
      </c>
      <c r="AA1848" s="15"/>
      <c r="AB1848" s="15"/>
    </row>
    <row r="1849" spans="1:28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89"/>
        <v>24</v>
      </c>
      <c r="R1849" s="53" t="str">
        <f t="shared" si="90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3">
        <f t="shared" si="88"/>
        <v>22</v>
      </c>
      <c r="Z1849" s="18">
        <v>46165</v>
      </c>
      <c r="AA1849" s="15"/>
      <c r="AB1849" s="15"/>
    </row>
    <row r="1850" spans="1:28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89"/>
        <v>24</v>
      </c>
      <c r="R1850" s="53" t="str">
        <f t="shared" si="90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3">
        <f t="shared" si="88"/>
        <v>22</v>
      </c>
      <c r="Z1850" s="18">
        <v>46165</v>
      </c>
      <c r="AA1850" s="15"/>
      <c r="AB1850" s="15"/>
    </row>
    <row r="1851" spans="1:28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89"/>
        <v>24</v>
      </c>
      <c r="R1851" s="53" t="str">
        <f t="shared" si="90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3">
        <f t="shared" si="88"/>
        <v>22</v>
      </c>
      <c r="Z1851" s="18">
        <v>46165</v>
      </c>
      <c r="AA1851" s="15"/>
      <c r="AB1851" s="15"/>
    </row>
    <row r="1852" spans="1:28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89"/>
        <v>24</v>
      </c>
      <c r="R1852" s="53" t="str">
        <f t="shared" si="90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3">
        <f t="shared" si="88"/>
        <v>22</v>
      </c>
      <c r="Z1852" s="18">
        <v>46165</v>
      </c>
      <c r="AA1852" s="15"/>
      <c r="AB1852" s="15"/>
    </row>
    <row r="1853" spans="1:28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89"/>
        <v>24</v>
      </c>
      <c r="R1853" s="53" t="str">
        <f t="shared" si="90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3">
        <f t="shared" si="88"/>
        <v>22</v>
      </c>
      <c r="Z1853" s="18">
        <v>46165</v>
      </c>
      <c r="AA1853" s="15"/>
      <c r="AB1853" s="15"/>
    </row>
    <row r="1854" spans="1:28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89"/>
        <v>24</v>
      </c>
      <c r="R1854" s="53" t="str">
        <f t="shared" si="90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3">
        <f t="shared" si="88"/>
        <v>22</v>
      </c>
      <c r="Z1854" s="18">
        <v>46165</v>
      </c>
      <c r="AA1854" s="15"/>
      <c r="AB1854" s="15"/>
    </row>
    <row r="1855" spans="1:28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89"/>
        <v>24</v>
      </c>
      <c r="R1855" s="53" t="str">
        <f t="shared" si="90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3">
        <f t="shared" si="88"/>
        <v>22</v>
      </c>
      <c r="Z1855" s="18">
        <v>46165</v>
      </c>
      <c r="AA1855" s="15"/>
      <c r="AB1855" s="15"/>
    </row>
    <row r="1856" spans="1:28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89"/>
        <v>24</v>
      </c>
      <c r="R1856" s="53" t="str">
        <f t="shared" si="90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3">
        <f t="shared" si="88"/>
        <v>22</v>
      </c>
      <c r="Z1856" s="18">
        <v>46165</v>
      </c>
      <c r="AA1856" s="15"/>
      <c r="AB1856" s="15"/>
    </row>
    <row r="1857" spans="1:28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89"/>
        <v>24</v>
      </c>
      <c r="R1857" s="53" t="str">
        <f t="shared" si="90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3">
        <f t="shared" si="88"/>
        <v>22</v>
      </c>
      <c r="Z1857" s="18">
        <v>46165</v>
      </c>
      <c r="AA1857" s="15"/>
      <c r="AB1857" s="15"/>
    </row>
    <row r="1858" spans="1:28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89"/>
        <v>24</v>
      </c>
      <c r="R1858" s="53" t="str">
        <f t="shared" si="90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3">
        <f t="shared" ref="Y1858:Y1921" si="91">X1858-A1858</f>
        <v>22</v>
      </c>
      <c r="Z1858" s="18">
        <v>46165</v>
      </c>
      <c r="AA1858" s="15"/>
      <c r="AB1858" s="15"/>
    </row>
    <row r="1859" spans="1:28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89"/>
        <v>24</v>
      </c>
      <c r="R1859" s="53" t="str">
        <f t="shared" si="90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3">
        <f t="shared" si="91"/>
        <v>22</v>
      </c>
      <c r="Z1859" s="18">
        <v>46165</v>
      </c>
      <c r="AA1859" s="15"/>
      <c r="AB1859" s="15"/>
    </row>
    <row r="1860" spans="1:28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89"/>
        <v>24</v>
      </c>
      <c r="R1860" s="53" t="str">
        <f t="shared" si="90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3">
        <f t="shared" si="91"/>
        <v>22</v>
      </c>
      <c r="Z1860" s="18">
        <v>46165</v>
      </c>
      <c r="AA1860" s="15"/>
      <c r="AB1860" s="15"/>
    </row>
    <row r="1861" spans="1:28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89"/>
        <v>24</v>
      </c>
      <c r="R1861" s="53" t="str">
        <f t="shared" si="90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3">
        <f t="shared" si="91"/>
        <v>22</v>
      </c>
      <c r="Z1861" s="18">
        <v>46165</v>
      </c>
      <c r="AA1861" s="15"/>
      <c r="AB1861" s="15"/>
    </row>
    <row r="1862" spans="1:28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89"/>
        <v>24</v>
      </c>
      <c r="R1862" s="53" t="str">
        <f t="shared" si="90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3">
        <f t="shared" si="91"/>
        <v>22</v>
      </c>
      <c r="Z1862" s="18">
        <v>46165</v>
      </c>
      <c r="AA1862" s="15"/>
      <c r="AB1862" s="15"/>
    </row>
    <row r="1863" spans="1:28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89"/>
        <v>24</v>
      </c>
      <c r="R1863" s="53" t="str">
        <f t="shared" si="90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3">
        <f t="shared" si="91"/>
        <v>22</v>
      </c>
      <c r="Z1863" s="18">
        <v>46165</v>
      </c>
      <c r="AA1863" s="15"/>
      <c r="AB1863" s="15"/>
    </row>
    <row r="1864" spans="1:28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89"/>
        <v>24</v>
      </c>
      <c r="R1864" s="53" t="str">
        <f t="shared" si="90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3">
        <f t="shared" si="91"/>
        <v>22</v>
      </c>
      <c r="Z1864" s="18">
        <v>46165</v>
      </c>
      <c r="AA1864" s="15"/>
      <c r="AB1864" s="15"/>
    </row>
    <row r="1865" spans="1:28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89"/>
        <v>24</v>
      </c>
      <c r="R1865" s="53" t="str">
        <f t="shared" si="90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3">
        <f t="shared" si="91"/>
        <v>22</v>
      </c>
      <c r="Z1865" s="18">
        <v>46165</v>
      </c>
      <c r="AA1865" s="15"/>
      <c r="AB1865" s="15"/>
    </row>
    <row r="1866" spans="1:28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89"/>
        <v>24</v>
      </c>
      <c r="R1866" s="53" t="str">
        <f t="shared" si="90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3">
        <f t="shared" si="91"/>
        <v>22</v>
      </c>
      <c r="Z1866" s="18">
        <v>46165</v>
      </c>
      <c r="AA1866" s="15"/>
      <c r="AB1866" s="15"/>
    </row>
    <row r="1867" spans="1:28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89"/>
        <v>24</v>
      </c>
      <c r="R1867" s="53" t="str">
        <f t="shared" si="90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3">
        <f t="shared" si="91"/>
        <v>22</v>
      </c>
      <c r="Z1867" s="18">
        <v>46165</v>
      </c>
      <c r="AA1867" s="15"/>
      <c r="AB1867" s="15"/>
    </row>
    <row r="1868" spans="1:28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89"/>
        <v>24</v>
      </c>
      <c r="R1868" s="53" t="str">
        <f t="shared" si="90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3">
        <f t="shared" si="91"/>
        <v>22</v>
      </c>
      <c r="Z1868" s="18">
        <v>46165</v>
      </c>
      <c r="AA1868" s="15"/>
      <c r="AB1868" s="15"/>
    </row>
    <row r="1869" spans="1:28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89"/>
        <v>24</v>
      </c>
      <c r="R1869" s="53" t="str">
        <f t="shared" si="90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3">
        <f t="shared" si="91"/>
        <v>23</v>
      </c>
      <c r="Z1869" s="18">
        <v>46166</v>
      </c>
      <c r="AA1869" s="15"/>
      <c r="AB1869" s="15"/>
    </row>
    <row r="1870" spans="1:28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89"/>
        <v>24</v>
      </c>
      <c r="R1870" s="53" t="str">
        <f t="shared" si="90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3">
        <f t="shared" si="91"/>
        <v>23</v>
      </c>
      <c r="Z1870" s="18">
        <v>46166</v>
      </c>
      <c r="AA1870" s="15"/>
      <c r="AB1870" s="15"/>
    </row>
    <row r="1871" spans="1:28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89"/>
        <v>24</v>
      </c>
      <c r="R1871" s="53" t="str">
        <f t="shared" si="90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3">
        <f t="shared" si="91"/>
        <v>23</v>
      </c>
      <c r="Z1871" s="18">
        <v>46166</v>
      </c>
      <c r="AA1871" s="15"/>
      <c r="AB1871" s="15"/>
    </row>
    <row r="1872" spans="1:28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89"/>
        <v>24</v>
      </c>
      <c r="R1872" s="53" t="str">
        <f t="shared" si="90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3">
        <f t="shared" si="91"/>
        <v>23</v>
      </c>
      <c r="Z1872" s="18">
        <v>46166</v>
      </c>
      <c r="AA1872" s="15"/>
      <c r="AB1872" s="15"/>
    </row>
    <row r="1873" spans="1:28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89"/>
        <v>24</v>
      </c>
      <c r="R1873" s="53" t="str">
        <f t="shared" si="90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3">
        <f t="shared" si="91"/>
        <v>23</v>
      </c>
      <c r="Z1873" s="18">
        <v>46166</v>
      </c>
      <c r="AA1873" s="15"/>
      <c r="AB1873" s="15"/>
    </row>
    <row r="1874" spans="1:28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89"/>
        <v>24</v>
      </c>
      <c r="R1874" s="53" t="str">
        <f t="shared" si="90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3">
        <f t="shared" si="91"/>
        <v>23</v>
      </c>
      <c r="Z1874" s="18">
        <v>46166</v>
      </c>
      <c r="AA1874" s="15"/>
      <c r="AB1874" s="15"/>
    </row>
    <row r="1875" spans="1:28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89"/>
        <v>24</v>
      </c>
      <c r="R1875" s="53" t="str">
        <f t="shared" si="90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3">
        <f t="shared" si="91"/>
        <v>23</v>
      </c>
      <c r="Z1875" s="18">
        <v>46166</v>
      </c>
      <c r="AA1875" s="15"/>
      <c r="AB1875" s="15"/>
    </row>
    <row r="1876" spans="1:28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89"/>
        <v>24</v>
      </c>
      <c r="R1876" s="53" t="str">
        <f t="shared" si="90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3">
        <f t="shared" si="91"/>
        <v>23</v>
      </c>
      <c r="Z1876" s="18">
        <v>46166</v>
      </c>
      <c r="AA1876" s="15"/>
      <c r="AB1876" s="15"/>
    </row>
    <row r="1877" spans="1:28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89"/>
        <v>24</v>
      </c>
      <c r="R1877" s="53" t="str">
        <f t="shared" si="90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3">
        <f t="shared" si="91"/>
        <v>23</v>
      </c>
      <c r="Z1877" s="18">
        <v>46166</v>
      </c>
      <c r="AA1877" s="15"/>
      <c r="AB1877" s="15"/>
    </row>
    <row r="1878" spans="1:28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89"/>
        <v>24</v>
      </c>
      <c r="R1878" s="53" t="str">
        <f t="shared" si="90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3">
        <f t="shared" si="91"/>
        <v>23</v>
      </c>
      <c r="Z1878" s="18">
        <v>46166</v>
      </c>
      <c r="AA1878" s="15"/>
      <c r="AB1878" s="15"/>
    </row>
    <row r="1879" spans="1:28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89"/>
        <v>24</v>
      </c>
      <c r="R1879" s="53" t="str">
        <f t="shared" si="90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3">
        <f t="shared" si="91"/>
        <v>23</v>
      </c>
      <c r="Z1879" s="18">
        <v>46166</v>
      </c>
      <c r="AA1879" s="15"/>
      <c r="AB1879" s="15"/>
    </row>
    <row r="1880" spans="1:28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89"/>
        <v>24</v>
      </c>
      <c r="R1880" s="53" t="str">
        <f t="shared" si="90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3">
        <f t="shared" si="91"/>
        <v>23</v>
      </c>
      <c r="Z1880" s="18">
        <v>46166</v>
      </c>
      <c r="AA1880" s="15"/>
      <c r="AB1880" s="15"/>
    </row>
    <row r="1881" spans="1:28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89"/>
        <v>24</v>
      </c>
      <c r="R1881" s="53" t="str">
        <f t="shared" si="90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3">
        <f t="shared" si="91"/>
        <v>23</v>
      </c>
      <c r="Z1881" s="18">
        <v>46166</v>
      </c>
      <c r="AA1881" s="15"/>
      <c r="AB1881" s="15"/>
    </row>
    <row r="1882" spans="1:28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89"/>
        <v>24</v>
      </c>
      <c r="R1882" s="53" t="str">
        <f t="shared" si="90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3">
        <f t="shared" si="91"/>
        <v>23</v>
      </c>
      <c r="Z1882" s="18">
        <v>46166</v>
      </c>
      <c r="AA1882" s="15"/>
      <c r="AB1882" s="15"/>
    </row>
    <row r="1883" spans="1:28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89"/>
        <v>24</v>
      </c>
      <c r="R1883" s="53" t="str">
        <f t="shared" si="90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3">
        <f t="shared" si="91"/>
        <v>23</v>
      </c>
      <c r="Z1883" s="18">
        <v>46166</v>
      </c>
      <c r="AA1883" s="15"/>
      <c r="AB1883" s="15"/>
    </row>
    <row r="1884" spans="1:28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89"/>
        <v>24</v>
      </c>
      <c r="R1884" s="53" t="str">
        <f t="shared" si="90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3">
        <f t="shared" si="91"/>
        <v>23</v>
      </c>
      <c r="Z1884" s="18">
        <v>46166</v>
      </c>
      <c r="AA1884" s="15"/>
      <c r="AB1884" s="15"/>
    </row>
    <row r="1885" spans="1:28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89"/>
        <v>24</v>
      </c>
      <c r="R1885" s="53" t="str">
        <f t="shared" si="90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3">
        <f t="shared" si="91"/>
        <v>23</v>
      </c>
      <c r="Z1885" s="18">
        <v>46166</v>
      </c>
      <c r="AA1885" s="15"/>
      <c r="AB1885" s="15"/>
    </row>
    <row r="1886" spans="1:28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89"/>
        <v>24</v>
      </c>
      <c r="R1886" s="53" t="str">
        <f t="shared" si="90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3">
        <f t="shared" si="91"/>
        <v>23</v>
      </c>
      <c r="Z1886" s="18">
        <v>46166</v>
      </c>
      <c r="AA1886" s="15"/>
      <c r="AB1886" s="15"/>
    </row>
    <row r="1887" spans="1:28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89"/>
        <v>24</v>
      </c>
      <c r="R1887" s="53" t="str">
        <f t="shared" si="90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3">
        <f t="shared" si="91"/>
        <v>23</v>
      </c>
      <c r="Z1887" s="18">
        <v>46166</v>
      </c>
      <c r="AA1887" s="15"/>
      <c r="AB1887" s="15"/>
    </row>
    <row r="1888" spans="1:28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89"/>
        <v>24</v>
      </c>
      <c r="R1888" s="53" t="str">
        <f t="shared" si="90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3">
        <f t="shared" si="91"/>
        <v>23</v>
      </c>
      <c r="Z1888" s="18">
        <v>46166</v>
      </c>
      <c r="AA1888" s="15"/>
      <c r="AB1888" s="15"/>
    </row>
    <row r="1889" spans="1:28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89"/>
        <v>24</v>
      </c>
      <c r="R1889" s="53" t="str">
        <f t="shared" si="90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3">
        <f t="shared" si="91"/>
        <v>23</v>
      </c>
      <c r="Z1889" s="18">
        <v>46166</v>
      </c>
      <c r="AA1889" s="15"/>
      <c r="AB1889" s="15"/>
    </row>
    <row r="1890" spans="1:28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89"/>
        <v>24</v>
      </c>
      <c r="R1890" s="53" t="str">
        <f t="shared" si="90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3">
        <f t="shared" si="91"/>
        <v>23</v>
      </c>
      <c r="Z1890" s="18">
        <v>46166</v>
      </c>
      <c r="AA1890" s="15"/>
      <c r="AB1890" s="15"/>
    </row>
    <row r="1891" spans="1:28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89"/>
        <v>24</v>
      </c>
      <c r="R1891" s="53" t="str">
        <f t="shared" si="90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3">
        <f t="shared" si="91"/>
        <v>23</v>
      </c>
      <c r="Z1891" s="18">
        <v>46166</v>
      </c>
      <c r="AA1891" s="15"/>
      <c r="AB1891" s="15"/>
    </row>
    <row r="1892" spans="1:28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89"/>
        <v>24</v>
      </c>
      <c r="R1892" s="53" t="str">
        <f t="shared" si="90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3">
        <f t="shared" si="91"/>
        <v>23</v>
      </c>
      <c r="Z1892" s="18">
        <v>46166</v>
      </c>
      <c r="AA1892" s="15"/>
      <c r="AB1892" s="15"/>
    </row>
    <row r="1893" spans="1:28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89"/>
        <v>24</v>
      </c>
      <c r="R1893" s="53" t="str">
        <f t="shared" si="90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3">
        <f t="shared" si="91"/>
        <v>23</v>
      </c>
      <c r="Z1893" s="18">
        <v>46166</v>
      </c>
      <c r="AA1893" s="15"/>
      <c r="AB1893" s="15"/>
    </row>
    <row r="1894" spans="1:28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89"/>
        <v>24</v>
      </c>
      <c r="R1894" s="53" t="str">
        <f t="shared" si="90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3">
        <f t="shared" si="91"/>
        <v>23</v>
      </c>
      <c r="Z1894" s="18">
        <v>46166</v>
      </c>
      <c r="AA1894" s="15"/>
      <c r="AB1894" s="15"/>
    </row>
    <row r="1895" spans="1:28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92">MID(P1895,5,2)</f>
        <v>24</v>
      </c>
      <c r="R1895" s="53" t="str">
        <f t="shared" ref="R1895:R1958" si="93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3">
        <f t="shared" si="91"/>
        <v>23</v>
      </c>
      <c r="Z1895" s="18">
        <v>46166</v>
      </c>
      <c r="AA1895" s="15"/>
      <c r="AB1895" s="15"/>
    </row>
    <row r="1896" spans="1:28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92"/>
        <v>24</v>
      </c>
      <c r="R1896" s="53" t="str">
        <f t="shared" si="93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3">
        <f t="shared" si="91"/>
        <v>23</v>
      </c>
      <c r="Z1896" s="18">
        <v>46166</v>
      </c>
      <c r="AA1896" s="15"/>
      <c r="AB1896" s="15"/>
    </row>
    <row r="1897" spans="1:28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92"/>
        <v>24</v>
      </c>
      <c r="R1897" s="53" t="str">
        <f t="shared" si="93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3">
        <f t="shared" si="91"/>
        <v>23</v>
      </c>
      <c r="Z1897" s="18">
        <v>46166</v>
      </c>
      <c r="AA1897" s="15"/>
      <c r="AB1897" s="15"/>
    </row>
    <row r="1898" spans="1:28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92"/>
        <v>24</v>
      </c>
      <c r="R1898" s="53" t="str">
        <f t="shared" si="93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3">
        <f t="shared" si="91"/>
        <v>23</v>
      </c>
      <c r="Z1898" s="18">
        <v>46166</v>
      </c>
      <c r="AA1898" s="15"/>
      <c r="AB1898" s="15"/>
    </row>
    <row r="1899" spans="1:28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92"/>
        <v>24</v>
      </c>
      <c r="R1899" s="53" t="str">
        <f t="shared" si="93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3">
        <f t="shared" si="91"/>
        <v>23</v>
      </c>
      <c r="Z1899" s="18">
        <v>46166</v>
      </c>
      <c r="AA1899" s="15"/>
      <c r="AB1899" s="15"/>
    </row>
    <row r="1900" spans="1:28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92"/>
        <v>24</v>
      </c>
      <c r="R1900" s="53" t="str">
        <f t="shared" si="93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3">
        <f t="shared" si="91"/>
        <v>23</v>
      </c>
      <c r="Z1900" s="18">
        <v>46166</v>
      </c>
      <c r="AA1900" s="15"/>
      <c r="AB1900" s="15"/>
    </row>
    <row r="1901" spans="1:28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92"/>
        <v>24</v>
      </c>
      <c r="R1901" s="53" t="str">
        <f t="shared" si="93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3">
        <f t="shared" si="91"/>
        <v>23</v>
      </c>
      <c r="Z1901" s="18">
        <v>46166</v>
      </c>
      <c r="AA1901" s="15"/>
      <c r="AB1901" s="15"/>
    </row>
    <row r="1902" spans="1:28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92"/>
        <v>24</v>
      </c>
      <c r="R1902" s="53" t="str">
        <f t="shared" si="93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3">
        <f t="shared" si="91"/>
        <v>23</v>
      </c>
      <c r="Z1902" s="18">
        <v>46166</v>
      </c>
      <c r="AA1902" s="15"/>
      <c r="AB1902" s="15"/>
    </row>
    <row r="1903" spans="1:28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92"/>
        <v>24</v>
      </c>
      <c r="R1903" s="53" t="str">
        <f t="shared" si="93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3">
        <f t="shared" si="91"/>
        <v>23</v>
      </c>
      <c r="Z1903" s="18">
        <v>46166</v>
      </c>
      <c r="AA1903" s="15"/>
      <c r="AB1903" s="15"/>
    </row>
    <row r="1904" spans="1:28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92"/>
        <v>24</v>
      </c>
      <c r="R1904" s="53" t="str">
        <f t="shared" si="93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3">
        <f t="shared" si="91"/>
        <v>23</v>
      </c>
      <c r="Z1904" s="18">
        <v>46166</v>
      </c>
      <c r="AA1904" s="15"/>
      <c r="AB1904" s="15"/>
    </row>
    <row r="1905" spans="1:28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92"/>
        <v>24</v>
      </c>
      <c r="R1905" s="53" t="str">
        <f t="shared" si="93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3">
        <f t="shared" si="91"/>
        <v>23</v>
      </c>
      <c r="Z1905" s="18">
        <v>46166</v>
      </c>
      <c r="AA1905" s="15"/>
      <c r="AB1905" s="15"/>
    </row>
    <row r="1906" spans="1:28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92"/>
        <v>24</v>
      </c>
      <c r="R1906" s="53" t="str">
        <f t="shared" si="93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3">
        <f t="shared" si="91"/>
        <v>23</v>
      </c>
      <c r="Z1906" s="18">
        <v>46166</v>
      </c>
      <c r="AA1906" s="15"/>
      <c r="AB1906" s="15"/>
    </row>
    <row r="1907" spans="1:28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92"/>
        <v>24</v>
      </c>
      <c r="R1907" s="53" t="str">
        <f t="shared" si="93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3">
        <f t="shared" si="91"/>
        <v>23</v>
      </c>
      <c r="Z1907" s="18">
        <v>46166</v>
      </c>
      <c r="AA1907" s="15"/>
      <c r="AB1907" s="15"/>
    </row>
    <row r="1908" spans="1:28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92"/>
        <v>24</v>
      </c>
      <c r="R1908" s="53" t="str">
        <f t="shared" si="93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3">
        <f t="shared" si="91"/>
        <v>23</v>
      </c>
      <c r="Z1908" s="18">
        <v>46166</v>
      </c>
      <c r="AA1908" s="15"/>
      <c r="AB1908" s="15"/>
    </row>
    <row r="1909" spans="1:28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92"/>
        <v>24</v>
      </c>
      <c r="R1909" s="53" t="str">
        <f t="shared" si="93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3">
        <f t="shared" si="91"/>
        <v>23</v>
      </c>
      <c r="Z1909" s="18">
        <v>46166</v>
      </c>
      <c r="AA1909" s="15"/>
      <c r="AB1909" s="15"/>
    </row>
    <row r="1910" spans="1:28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92"/>
        <v>24</v>
      </c>
      <c r="R1910" s="53" t="str">
        <f t="shared" si="93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3">
        <f t="shared" si="91"/>
        <v>23</v>
      </c>
      <c r="Z1910" s="18">
        <v>46166</v>
      </c>
      <c r="AA1910" s="15"/>
      <c r="AB1910" s="15"/>
    </row>
    <row r="1911" spans="1:28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92"/>
        <v>24</v>
      </c>
      <c r="R1911" s="53" t="str">
        <f t="shared" si="93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3">
        <f t="shared" si="91"/>
        <v>23</v>
      </c>
      <c r="Z1911" s="18">
        <v>46166</v>
      </c>
      <c r="AA1911" s="15"/>
      <c r="AB1911" s="15"/>
    </row>
    <row r="1912" spans="1:28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92"/>
        <v>24</v>
      </c>
      <c r="R1912" s="53" t="str">
        <f t="shared" si="93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3">
        <f t="shared" si="91"/>
        <v>23</v>
      </c>
      <c r="Z1912" s="18">
        <v>46166</v>
      </c>
      <c r="AA1912" s="15"/>
      <c r="AB1912" s="15"/>
    </row>
    <row r="1913" spans="1:28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92"/>
        <v>24</v>
      </c>
      <c r="R1913" s="53" t="str">
        <f t="shared" si="93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3">
        <f t="shared" si="91"/>
        <v>23</v>
      </c>
      <c r="Z1913" s="18">
        <v>46166</v>
      </c>
      <c r="AA1913" s="15"/>
      <c r="AB1913" s="15"/>
    </row>
    <row r="1914" spans="1:28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92"/>
        <v>24</v>
      </c>
      <c r="R1914" s="53" t="str">
        <f t="shared" si="93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3">
        <f t="shared" si="91"/>
        <v>23</v>
      </c>
      <c r="Z1914" s="18">
        <v>46166</v>
      </c>
      <c r="AA1914" s="15"/>
      <c r="AB1914" s="15"/>
    </row>
    <row r="1915" spans="1:28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92"/>
        <v>24</v>
      </c>
      <c r="R1915" s="53" t="str">
        <f t="shared" si="93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3">
        <f t="shared" si="91"/>
        <v>23</v>
      </c>
      <c r="Z1915" s="18">
        <v>46166</v>
      </c>
      <c r="AA1915" s="15"/>
      <c r="AB1915" s="15"/>
    </row>
    <row r="1916" spans="1:28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92"/>
        <v>24</v>
      </c>
      <c r="R1916" s="53" t="str">
        <f t="shared" si="93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3">
        <f t="shared" si="91"/>
        <v>23</v>
      </c>
      <c r="Z1916" s="18">
        <v>46166</v>
      </c>
      <c r="AA1916" s="15"/>
      <c r="AB1916" s="15"/>
    </row>
    <row r="1917" spans="1:28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92"/>
        <v>24</v>
      </c>
      <c r="R1917" s="53" t="str">
        <f t="shared" si="93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3">
        <f t="shared" si="91"/>
        <v>23</v>
      </c>
      <c r="Z1917" s="18">
        <v>46166</v>
      </c>
      <c r="AA1917" s="15"/>
      <c r="AB1917" s="15"/>
    </row>
    <row r="1918" spans="1:28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92"/>
        <v>24</v>
      </c>
      <c r="R1918" s="53" t="str">
        <f t="shared" si="93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3">
        <f t="shared" si="91"/>
        <v>23</v>
      </c>
      <c r="Z1918" s="18">
        <v>46166</v>
      </c>
      <c r="AA1918" s="15"/>
      <c r="AB1918" s="15"/>
    </row>
    <row r="1919" spans="1:28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92"/>
        <v>24</v>
      </c>
      <c r="R1919" s="53" t="str">
        <f t="shared" si="93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3">
        <f t="shared" si="91"/>
        <v>23</v>
      </c>
      <c r="Z1919" s="18">
        <v>46166</v>
      </c>
      <c r="AA1919" s="15"/>
      <c r="AB1919" s="15"/>
    </row>
    <row r="1920" spans="1:28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92"/>
        <v>24</v>
      </c>
      <c r="R1920" s="53" t="str">
        <f t="shared" si="93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3">
        <f t="shared" si="91"/>
        <v>23</v>
      </c>
      <c r="Z1920" s="18">
        <v>46166</v>
      </c>
      <c r="AA1920" s="15"/>
      <c r="AB1920" s="15"/>
    </row>
    <row r="1921" spans="1:28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92"/>
        <v>24</v>
      </c>
      <c r="R1921" s="53" t="str">
        <f t="shared" si="93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3">
        <f t="shared" si="91"/>
        <v>23</v>
      </c>
      <c r="Z1921" s="18">
        <v>46166</v>
      </c>
      <c r="AA1921" s="15"/>
      <c r="AB1921" s="15"/>
    </row>
    <row r="1922" spans="1:28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92"/>
        <v>24</v>
      </c>
      <c r="R1922" s="53" t="str">
        <f t="shared" si="93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3">
        <f t="shared" ref="Y1922:Y1985" si="94">X1922-A1922</f>
        <v>23</v>
      </c>
      <c r="Z1922" s="18">
        <v>46166</v>
      </c>
      <c r="AA1922" s="15"/>
      <c r="AB1922" s="15"/>
    </row>
    <row r="1923" spans="1:28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92"/>
        <v>24</v>
      </c>
      <c r="R1923" s="53" t="str">
        <f t="shared" si="93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3">
        <f t="shared" si="94"/>
        <v>23</v>
      </c>
      <c r="Z1923" s="18">
        <v>46166</v>
      </c>
      <c r="AA1923" s="15"/>
      <c r="AB1923" s="15"/>
    </row>
    <row r="1924" spans="1:28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92"/>
        <v>24</v>
      </c>
      <c r="R1924" s="53" t="str">
        <f t="shared" si="93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3">
        <f t="shared" si="94"/>
        <v>23</v>
      </c>
      <c r="Z1924" s="18">
        <v>46166</v>
      </c>
      <c r="AA1924" s="15"/>
      <c r="AB1924" s="15"/>
    </row>
    <row r="1925" spans="1:28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92"/>
        <v>24</v>
      </c>
      <c r="R1925" s="53" t="str">
        <f t="shared" si="93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3">
        <f t="shared" si="94"/>
        <v>23</v>
      </c>
      <c r="Z1925" s="18">
        <v>46166</v>
      </c>
      <c r="AA1925" s="15"/>
      <c r="AB1925" s="15"/>
    </row>
    <row r="1926" spans="1:28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92"/>
        <v>24</v>
      </c>
      <c r="R1926" s="53" t="str">
        <f t="shared" si="93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3">
        <f t="shared" si="94"/>
        <v>23</v>
      </c>
      <c r="Z1926" s="18">
        <v>46166</v>
      </c>
      <c r="AA1926" s="15"/>
      <c r="AB1926" s="15"/>
    </row>
    <row r="1927" spans="1:28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92"/>
        <v>24</v>
      </c>
      <c r="R1927" s="53" t="str">
        <f t="shared" si="93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3">
        <f t="shared" si="94"/>
        <v>23</v>
      </c>
      <c r="Z1927" s="18">
        <v>46166</v>
      </c>
      <c r="AA1927" s="15"/>
      <c r="AB1927" s="15"/>
    </row>
    <row r="1928" spans="1:28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92"/>
        <v>24</v>
      </c>
      <c r="R1928" s="53" t="str">
        <f t="shared" si="93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3">
        <f t="shared" si="94"/>
        <v>23</v>
      </c>
      <c r="Z1928" s="18">
        <v>46166</v>
      </c>
      <c r="AA1928" s="15"/>
      <c r="AB1928" s="15"/>
    </row>
    <row r="1929" spans="1:28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92"/>
        <v>24</v>
      </c>
      <c r="R1929" s="53" t="str">
        <f t="shared" si="93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3">
        <f t="shared" si="94"/>
        <v>23</v>
      </c>
      <c r="Z1929" s="18">
        <v>46166</v>
      </c>
      <c r="AA1929" s="15"/>
      <c r="AB1929" s="15"/>
    </row>
    <row r="1930" spans="1:28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92"/>
        <v>24</v>
      </c>
      <c r="R1930" s="53" t="str">
        <f t="shared" si="93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3">
        <f t="shared" si="94"/>
        <v>23</v>
      </c>
      <c r="Z1930" s="18">
        <v>46166</v>
      </c>
      <c r="AA1930" s="15"/>
      <c r="AB1930" s="15"/>
    </row>
    <row r="1931" spans="1:28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92"/>
        <v>24</v>
      </c>
      <c r="R1931" s="53" t="str">
        <f t="shared" si="93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3">
        <f t="shared" si="94"/>
        <v>23</v>
      </c>
      <c r="Z1931" s="18">
        <v>46166</v>
      </c>
      <c r="AA1931" s="15"/>
      <c r="AB1931" s="15"/>
    </row>
    <row r="1932" spans="1:28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92"/>
        <v>24</v>
      </c>
      <c r="R1932" s="53" t="str">
        <f t="shared" si="93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3">
        <f t="shared" si="94"/>
        <v>23</v>
      </c>
      <c r="Z1932" s="18">
        <v>46166</v>
      </c>
      <c r="AA1932" s="15"/>
      <c r="AB1932" s="15"/>
    </row>
    <row r="1933" spans="1:28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92"/>
        <v>23</v>
      </c>
      <c r="R1933" s="53" t="str">
        <f t="shared" si="93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3">
        <f t="shared" si="94"/>
        <v>19</v>
      </c>
      <c r="Z1933" s="18">
        <v>46167</v>
      </c>
      <c r="AA1933" s="15"/>
      <c r="AB1933" s="15"/>
    </row>
    <row r="1934" spans="1:28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92"/>
        <v>23</v>
      </c>
      <c r="R1934" s="53" t="str">
        <f t="shared" si="93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3">
        <f t="shared" si="94"/>
        <v>19</v>
      </c>
      <c r="Z1934" s="18">
        <v>46167</v>
      </c>
      <c r="AA1934" s="15"/>
      <c r="AB1934" s="15"/>
    </row>
    <row r="1935" spans="1:28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92"/>
        <v>23</v>
      </c>
      <c r="R1935" s="53" t="str">
        <f t="shared" si="93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3">
        <f t="shared" si="94"/>
        <v>19</v>
      </c>
      <c r="Z1935" s="18">
        <v>46167</v>
      </c>
      <c r="AA1935" s="15"/>
      <c r="AB1935" s="15"/>
    </row>
    <row r="1936" spans="1:28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92"/>
        <v>23</v>
      </c>
      <c r="R1936" s="53" t="str">
        <f t="shared" si="93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3">
        <f t="shared" si="94"/>
        <v>19</v>
      </c>
      <c r="Z1936" s="18">
        <v>46167</v>
      </c>
      <c r="AA1936" s="15"/>
      <c r="AB1936" s="15"/>
    </row>
    <row r="1937" spans="1:28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92"/>
        <v>23</v>
      </c>
      <c r="R1937" s="53" t="str">
        <f t="shared" si="93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3">
        <f t="shared" si="94"/>
        <v>19</v>
      </c>
      <c r="Z1937" s="18">
        <v>46167</v>
      </c>
      <c r="AA1937" s="15"/>
      <c r="AB1937" s="15"/>
    </row>
    <row r="1938" spans="1:28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92"/>
        <v>23</v>
      </c>
      <c r="R1938" s="53" t="str">
        <f t="shared" si="93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3">
        <f t="shared" si="94"/>
        <v>19</v>
      </c>
      <c r="Z1938" s="18">
        <v>46167</v>
      </c>
      <c r="AA1938" s="15"/>
      <c r="AB1938" s="15"/>
    </row>
    <row r="1939" spans="1:28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92"/>
        <v>23</v>
      </c>
      <c r="R1939" s="53" t="str">
        <f t="shared" si="93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3">
        <f t="shared" si="94"/>
        <v>19</v>
      </c>
      <c r="Z1939" s="18">
        <v>46167</v>
      </c>
      <c r="AA1939" s="15"/>
      <c r="AB1939" s="15"/>
    </row>
    <row r="1940" spans="1:28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92"/>
        <v>23</v>
      </c>
      <c r="R1940" s="53" t="str">
        <f t="shared" si="93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3">
        <f t="shared" si="94"/>
        <v>19</v>
      </c>
      <c r="Z1940" s="18">
        <v>46167</v>
      </c>
      <c r="AA1940" s="15"/>
      <c r="AB1940" s="15"/>
    </row>
    <row r="1941" spans="1:28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92"/>
        <v>23</v>
      </c>
      <c r="R1941" s="53" t="str">
        <f t="shared" si="93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3">
        <f t="shared" si="94"/>
        <v>19</v>
      </c>
      <c r="Z1941" s="18">
        <v>46167</v>
      </c>
      <c r="AA1941" s="15"/>
      <c r="AB1941" s="15"/>
    </row>
    <row r="1942" spans="1:28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92"/>
        <v>23</v>
      </c>
      <c r="R1942" s="53" t="str">
        <f t="shared" si="93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3">
        <f t="shared" si="94"/>
        <v>19</v>
      </c>
      <c r="Z1942" s="18">
        <v>46167</v>
      </c>
      <c r="AA1942" s="15"/>
      <c r="AB1942" s="15"/>
    </row>
    <row r="1943" spans="1:28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92"/>
        <v>23</v>
      </c>
      <c r="R1943" s="53" t="str">
        <f t="shared" si="93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3">
        <f t="shared" si="94"/>
        <v>19</v>
      </c>
      <c r="Z1943" s="18">
        <v>46167</v>
      </c>
      <c r="AA1943" s="15"/>
      <c r="AB1943" s="15"/>
    </row>
    <row r="1944" spans="1:28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92"/>
        <v>23</v>
      </c>
      <c r="R1944" s="53" t="str">
        <f t="shared" si="93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3">
        <f t="shared" si="94"/>
        <v>19</v>
      </c>
      <c r="Z1944" s="18">
        <v>46167</v>
      </c>
      <c r="AA1944" s="15"/>
      <c r="AB1944" s="15"/>
    </row>
    <row r="1945" spans="1:28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92"/>
        <v>23</v>
      </c>
      <c r="R1945" s="53" t="str">
        <f t="shared" si="93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3">
        <f t="shared" si="94"/>
        <v>19</v>
      </c>
      <c r="Z1945" s="18">
        <v>46167</v>
      </c>
      <c r="AA1945" s="15"/>
      <c r="AB1945" s="15"/>
    </row>
    <row r="1946" spans="1:28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92"/>
        <v>23</v>
      </c>
      <c r="R1946" s="53" t="str">
        <f t="shared" si="93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3">
        <f t="shared" si="94"/>
        <v>19</v>
      </c>
      <c r="Z1946" s="18">
        <v>46167</v>
      </c>
      <c r="AA1946" s="15"/>
      <c r="AB1946" s="15"/>
    </row>
    <row r="1947" spans="1:28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92"/>
        <v>23</v>
      </c>
      <c r="R1947" s="53" t="str">
        <f t="shared" si="93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3">
        <f t="shared" si="94"/>
        <v>19</v>
      </c>
      <c r="Z1947" s="18">
        <v>46167</v>
      </c>
      <c r="AA1947" s="15"/>
      <c r="AB1947" s="15"/>
    </row>
    <row r="1948" spans="1:28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92"/>
        <v>23</v>
      </c>
      <c r="R1948" s="53" t="str">
        <f t="shared" si="93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3">
        <f t="shared" si="94"/>
        <v>19</v>
      </c>
      <c r="Z1948" s="18">
        <v>46167</v>
      </c>
      <c r="AA1948" s="15"/>
      <c r="AB1948" s="15"/>
    </row>
    <row r="1949" spans="1:28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92"/>
        <v>23</v>
      </c>
      <c r="R1949" s="53" t="str">
        <f t="shared" si="93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3">
        <f t="shared" si="94"/>
        <v>19</v>
      </c>
      <c r="Z1949" s="18">
        <v>46167</v>
      </c>
      <c r="AA1949" s="15"/>
      <c r="AB1949" s="15"/>
    </row>
    <row r="1950" spans="1:28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92"/>
        <v>23</v>
      </c>
      <c r="R1950" s="53" t="str">
        <f t="shared" si="93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3">
        <f t="shared" si="94"/>
        <v>19</v>
      </c>
      <c r="Z1950" s="18">
        <v>46167</v>
      </c>
      <c r="AA1950" s="15"/>
      <c r="AB1950" s="15"/>
    </row>
    <row r="1951" spans="1:28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92"/>
        <v>23</v>
      </c>
      <c r="R1951" s="53" t="str">
        <f t="shared" si="93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3">
        <f t="shared" si="94"/>
        <v>19</v>
      </c>
      <c r="Z1951" s="18">
        <v>46167</v>
      </c>
      <c r="AA1951" s="15"/>
      <c r="AB1951" s="15"/>
    </row>
    <row r="1952" spans="1:28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92"/>
        <v>23</v>
      </c>
      <c r="R1952" s="53" t="str">
        <f t="shared" si="93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3">
        <f t="shared" si="94"/>
        <v>19</v>
      </c>
      <c r="Z1952" s="18">
        <v>46167</v>
      </c>
      <c r="AA1952" s="15"/>
      <c r="AB1952" s="15"/>
    </row>
    <row r="1953" spans="1:28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92"/>
        <v>23</v>
      </c>
      <c r="R1953" s="53" t="str">
        <f t="shared" si="93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3">
        <f t="shared" si="94"/>
        <v>19</v>
      </c>
      <c r="Z1953" s="18">
        <v>46167</v>
      </c>
      <c r="AA1953" s="15"/>
      <c r="AB1953" s="15"/>
    </row>
    <row r="1954" spans="1:28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92"/>
        <v>23</v>
      </c>
      <c r="R1954" s="53" t="str">
        <f t="shared" si="93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3">
        <f t="shared" si="94"/>
        <v>19</v>
      </c>
      <c r="Z1954" s="18">
        <v>46167</v>
      </c>
      <c r="AA1954" s="15"/>
      <c r="AB1954" s="15"/>
    </row>
    <row r="1955" spans="1:28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92"/>
        <v>23</v>
      </c>
      <c r="R1955" s="53" t="str">
        <f t="shared" si="93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3">
        <f t="shared" si="94"/>
        <v>19</v>
      </c>
      <c r="Z1955" s="18">
        <v>46167</v>
      </c>
      <c r="AA1955" s="15"/>
      <c r="AB1955" s="15"/>
    </row>
    <row r="1956" spans="1:28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92"/>
        <v>23</v>
      </c>
      <c r="R1956" s="53" t="str">
        <f t="shared" si="93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3">
        <f t="shared" si="94"/>
        <v>19</v>
      </c>
      <c r="Z1956" s="18">
        <v>46167</v>
      </c>
      <c r="AA1956" s="15"/>
      <c r="AB1956" s="15"/>
    </row>
    <row r="1957" spans="1:28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92"/>
        <v>23</v>
      </c>
      <c r="R1957" s="53" t="str">
        <f t="shared" si="93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3">
        <f t="shared" si="94"/>
        <v>19</v>
      </c>
      <c r="Z1957" s="18">
        <v>46167</v>
      </c>
      <c r="AA1957" s="15"/>
      <c r="AB1957" s="15"/>
    </row>
    <row r="1958" spans="1:28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92"/>
        <v>23</v>
      </c>
      <c r="R1958" s="53" t="str">
        <f t="shared" si="93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3">
        <f t="shared" si="94"/>
        <v>19</v>
      </c>
      <c r="Z1958" s="18">
        <v>46167</v>
      </c>
      <c r="AA1958" s="15"/>
      <c r="AB1958" s="15"/>
    </row>
    <row r="1959" spans="1:28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95">MID(P1959,5,2)</f>
        <v>23</v>
      </c>
      <c r="R1959" s="53" t="str">
        <f t="shared" ref="R1959:R2022" si="9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3">
        <f t="shared" si="94"/>
        <v>19</v>
      </c>
      <c r="Z1959" s="18">
        <v>46167</v>
      </c>
      <c r="AA1959" s="15"/>
      <c r="AB1959" s="15"/>
    </row>
    <row r="1960" spans="1:28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95"/>
        <v>23</v>
      </c>
      <c r="R1960" s="53" t="str">
        <f t="shared" si="9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3">
        <f t="shared" si="94"/>
        <v>19</v>
      </c>
      <c r="Z1960" s="18">
        <v>46167</v>
      </c>
      <c r="AA1960" s="15"/>
      <c r="AB1960" s="15"/>
    </row>
    <row r="1961" spans="1:28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95"/>
        <v>23</v>
      </c>
      <c r="R1961" s="53" t="str">
        <f t="shared" si="9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3">
        <f t="shared" si="94"/>
        <v>19</v>
      </c>
      <c r="Z1961" s="18">
        <v>46167</v>
      </c>
      <c r="AA1961" s="15"/>
      <c r="AB1961" s="15"/>
    </row>
    <row r="1962" spans="1:28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95"/>
        <v>23</v>
      </c>
      <c r="R1962" s="53" t="str">
        <f t="shared" si="9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3">
        <f t="shared" si="94"/>
        <v>19</v>
      </c>
      <c r="Z1962" s="18">
        <v>46167</v>
      </c>
      <c r="AA1962" s="15"/>
      <c r="AB1962" s="15"/>
    </row>
    <row r="1963" spans="1:28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95"/>
        <v>23</v>
      </c>
      <c r="R1963" s="53" t="str">
        <f t="shared" si="9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3">
        <f t="shared" si="94"/>
        <v>19</v>
      </c>
      <c r="Z1963" s="18">
        <v>46167</v>
      </c>
      <c r="AA1963" s="15"/>
      <c r="AB1963" s="15"/>
    </row>
    <row r="1964" spans="1:28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95"/>
        <v>23</v>
      </c>
      <c r="R1964" s="53" t="str">
        <f t="shared" si="9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3">
        <f t="shared" si="94"/>
        <v>19</v>
      </c>
      <c r="Z1964" s="18">
        <v>46167</v>
      </c>
      <c r="AA1964" s="15"/>
      <c r="AB1964" s="15"/>
    </row>
    <row r="1965" spans="1:28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95"/>
        <v>23</v>
      </c>
      <c r="R1965" s="53" t="str">
        <f t="shared" si="9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3">
        <f t="shared" si="94"/>
        <v>19</v>
      </c>
      <c r="Z1965" s="18">
        <v>46167</v>
      </c>
      <c r="AA1965" s="15"/>
      <c r="AB1965" s="15"/>
    </row>
    <row r="1966" spans="1:28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95"/>
        <v>23</v>
      </c>
      <c r="R1966" s="53" t="str">
        <f t="shared" si="9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3">
        <f t="shared" si="94"/>
        <v>19</v>
      </c>
      <c r="Z1966" s="18">
        <v>46167</v>
      </c>
      <c r="AA1966" s="15"/>
      <c r="AB1966" s="15"/>
    </row>
    <row r="1967" spans="1:28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95"/>
        <v>23</v>
      </c>
      <c r="R1967" s="53" t="str">
        <f t="shared" si="9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3">
        <f t="shared" si="94"/>
        <v>19</v>
      </c>
      <c r="Z1967" s="18">
        <v>46167</v>
      </c>
      <c r="AA1967" s="15"/>
      <c r="AB1967" s="15"/>
    </row>
    <row r="1968" spans="1:28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95"/>
        <v>23</v>
      </c>
      <c r="R1968" s="53" t="str">
        <f t="shared" si="9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3">
        <f t="shared" si="94"/>
        <v>19</v>
      </c>
      <c r="Z1968" s="18">
        <v>46167</v>
      </c>
      <c r="AA1968" s="15"/>
      <c r="AB1968" s="15"/>
    </row>
    <row r="1969" spans="1:28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95"/>
        <v>23</v>
      </c>
      <c r="R1969" s="53" t="str">
        <f t="shared" si="9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3">
        <f t="shared" si="94"/>
        <v>19</v>
      </c>
      <c r="Z1969" s="18">
        <v>46167</v>
      </c>
      <c r="AA1969" s="15"/>
      <c r="AB1969" s="15"/>
    </row>
    <row r="1970" spans="1:28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95"/>
        <v>23</v>
      </c>
      <c r="R1970" s="53" t="str">
        <f t="shared" si="9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3">
        <f t="shared" si="94"/>
        <v>19</v>
      </c>
      <c r="Z1970" s="18">
        <v>46167</v>
      </c>
      <c r="AA1970" s="15"/>
      <c r="AB1970" s="15"/>
    </row>
    <row r="1971" spans="1:28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95"/>
        <v>23</v>
      </c>
      <c r="R1971" s="53" t="str">
        <f t="shared" si="9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3">
        <f t="shared" si="94"/>
        <v>19</v>
      </c>
      <c r="Z1971" s="18">
        <v>46167</v>
      </c>
      <c r="AA1971" s="15"/>
      <c r="AB1971" s="15"/>
    </row>
    <row r="1972" spans="1:28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95"/>
        <v>23</v>
      </c>
      <c r="R1972" s="53" t="str">
        <f t="shared" si="9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3">
        <f t="shared" si="94"/>
        <v>19</v>
      </c>
      <c r="Z1972" s="18">
        <v>46167</v>
      </c>
      <c r="AA1972" s="15"/>
      <c r="AB1972" s="15"/>
    </row>
    <row r="1973" spans="1:28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95"/>
        <v>23</v>
      </c>
      <c r="R1973" s="53" t="str">
        <f t="shared" si="9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3">
        <f t="shared" si="94"/>
        <v>19</v>
      </c>
      <c r="Z1973" s="18">
        <v>46167</v>
      </c>
      <c r="AA1973" s="15"/>
      <c r="AB1973" s="15"/>
    </row>
    <row r="1974" spans="1:28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95"/>
        <v>23</v>
      </c>
      <c r="R1974" s="53" t="str">
        <f t="shared" si="9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3">
        <f t="shared" si="94"/>
        <v>19</v>
      </c>
      <c r="Z1974" s="18">
        <v>46167</v>
      </c>
      <c r="AA1974" s="15"/>
      <c r="AB1974" s="15"/>
    </row>
    <row r="1975" spans="1:28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95"/>
        <v>23</v>
      </c>
      <c r="R1975" s="53" t="str">
        <f t="shared" si="9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3">
        <f t="shared" si="94"/>
        <v>19</v>
      </c>
      <c r="Z1975" s="18">
        <v>46167</v>
      </c>
      <c r="AA1975" s="15"/>
      <c r="AB1975" s="15"/>
    </row>
    <row r="1976" spans="1:28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95"/>
        <v>23</v>
      </c>
      <c r="R1976" s="53" t="str">
        <f t="shared" si="9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3">
        <f t="shared" si="94"/>
        <v>19</v>
      </c>
      <c r="Z1976" s="18">
        <v>46167</v>
      </c>
      <c r="AA1976" s="15"/>
      <c r="AB1976" s="15"/>
    </row>
    <row r="1977" spans="1:28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95"/>
        <v>23</v>
      </c>
      <c r="R1977" s="53" t="str">
        <f t="shared" si="9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3">
        <f t="shared" si="94"/>
        <v>19</v>
      </c>
      <c r="Z1977" s="18">
        <v>46167</v>
      </c>
      <c r="AA1977" s="15"/>
      <c r="AB1977" s="15"/>
    </row>
    <row r="1978" spans="1:28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95"/>
        <v>23</v>
      </c>
      <c r="R1978" s="53" t="str">
        <f t="shared" si="9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3">
        <f t="shared" si="94"/>
        <v>19</v>
      </c>
      <c r="Z1978" s="18">
        <v>46167</v>
      </c>
      <c r="AA1978" s="15"/>
      <c r="AB1978" s="15"/>
    </row>
    <row r="1979" spans="1:28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95"/>
        <v>23</v>
      </c>
      <c r="R1979" s="53" t="str">
        <f t="shared" si="9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3">
        <f t="shared" si="94"/>
        <v>19</v>
      </c>
      <c r="Z1979" s="18">
        <v>46167</v>
      </c>
      <c r="AA1979" s="15"/>
      <c r="AB1979" s="15"/>
    </row>
    <row r="1980" spans="1:28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95"/>
        <v>23</v>
      </c>
      <c r="R1980" s="53" t="str">
        <f t="shared" si="9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3">
        <f t="shared" si="94"/>
        <v>19</v>
      </c>
      <c r="Z1980" s="18">
        <v>46167</v>
      </c>
      <c r="AA1980" s="15"/>
      <c r="AB1980" s="15"/>
    </row>
    <row r="1981" spans="1:28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95"/>
        <v>23</v>
      </c>
      <c r="R1981" s="53" t="str">
        <f t="shared" si="9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3">
        <f t="shared" si="94"/>
        <v>19</v>
      </c>
      <c r="Z1981" s="18">
        <v>46167</v>
      </c>
      <c r="AA1981" s="15"/>
      <c r="AB1981" s="15"/>
    </row>
    <row r="1982" spans="1:28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95"/>
        <v>23</v>
      </c>
      <c r="R1982" s="53" t="str">
        <f t="shared" si="9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3">
        <f t="shared" si="94"/>
        <v>19</v>
      </c>
      <c r="Z1982" s="18">
        <v>46167</v>
      </c>
      <c r="AA1982" s="15"/>
      <c r="AB1982" s="15"/>
    </row>
    <row r="1983" spans="1:28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95"/>
        <v>23</v>
      </c>
      <c r="R1983" s="53" t="str">
        <f t="shared" si="9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3">
        <f t="shared" si="94"/>
        <v>19</v>
      </c>
      <c r="Z1983" s="18">
        <v>46167</v>
      </c>
      <c r="AA1983" s="15"/>
      <c r="AB1983" s="15"/>
    </row>
    <row r="1984" spans="1:28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95"/>
        <v>23</v>
      </c>
      <c r="R1984" s="53" t="str">
        <f t="shared" si="9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3">
        <f t="shared" si="94"/>
        <v>19</v>
      </c>
      <c r="Z1984" s="18">
        <v>46167</v>
      </c>
      <c r="AA1984" s="15"/>
      <c r="AB1984" s="15"/>
    </row>
    <row r="1985" spans="1:28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95"/>
        <v>23</v>
      </c>
      <c r="R1985" s="53" t="str">
        <f t="shared" si="9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3">
        <f t="shared" si="94"/>
        <v>19</v>
      </c>
      <c r="Z1985" s="18">
        <v>46167</v>
      </c>
      <c r="AA1985" s="15"/>
      <c r="AB1985" s="15"/>
    </row>
    <row r="1986" spans="1:28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95"/>
        <v>23</v>
      </c>
      <c r="R1986" s="53" t="str">
        <f t="shared" si="9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3">
        <f t="shared" ref="Y1986:Y2049" si="97">X1986-A1986</f>
        <v>19</v>
      </c>
      <c r="Z1986" s="18">
        <v>46167</v>
      </c>
      <c r="AA1986" s="15"/>
      <c r="AB1986" s="15"/>
    </row>
    <row r="1987" spans="1:28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95"/>
        <v>23</v>
      </c>
      <c r="R1987" s="53" t="str">
        <f t="shared" si="9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3">
        <f t="shared" si="97"/>
        <v>19</v>
      </c>
      <c r="Z1987" s="18">
        <v>46167</v>
      </c>
      <c r="AA1987" s="15"/>
      <c r="AB1987" s="15"/>
    </row>
    <row r="1988" spans="1:28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95"/>
        <v>23</v>
      </c>
      <c r="R1988" s="53" t="str">
        <f t="shared" si="9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3">
        <f t="shared" si="97"/>
        <v>19</v>
      </c>
      <c r="Z1988" s="18">
        <v>46167</v>
      </c>
      <c r="AA1988" s="15"/>
      <c r="AB1988" s="15"/>
    </row>
    <row r="1989" spans="1:28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95"/>
        <v>23</v>
      </c>
      <c r="R1989" s="53" t="str">
        <f t="shared" si="9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3">
        <f t="shared" si="97"/>
        <v>19</v>
      </c>
      <c r="Z1989" s="18">
        <v>46167</v>
      </c>
      <c r="AA1989" s="15"/>
      <c r="AB1989" s="15"/>
    </row>
    <row r="1990" spans="1:28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95"/>
        <v>23</v>
      </c>
      <c r="R1990" s="53" t="str">
        <f t="shared" si="9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3">
        <f t="shared" si="97"/>
        <v>19</v>
      </c>
      <c r="Z1990" s="18">
        <v>46167</v>
      </c>
      <c r="AA1990" s="15"/>
      <c r="AB1990" s="15"/>
    </row>
    <row r="1991" spans="1:28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95"/>
        <v>23</v>
      </c>
      <c r="R1991" s="53" t="str">
        <f t="shared" si="9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3">
        <f t="shared" si="97"/>
        <v>19</v>
      </c>
      <c r="Z1991" s="18">
        <v>46167</v>
      </c>
      <c r="AA1991" s="15"/>
      <c r="AB1991" s="15"/>
    </row>
    <row r="1992" spans="1:28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95"/>
        <v>23</v>
      </c>
      <c r="R1992" s="53" t="str">
        <f t="shared" si="9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3">
        <f t="shared" si="97"/>
        <v>19</v>
      </c>
      <c r="Z1992" s="18">
        <v>46167</v>
      </c>
      <c r="AA1992" s="15"/>
      <c r="AB1992" s="15"/>
    </row>
    <row r="1993" spans="1:28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95"/>
        <v>23</v>
      </c>
      <c r="R1993" s="53" t="str">
        <f t="shared" si="9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3">
        <f t="shared" si="97"/>
        <v>19</v>
      </c>
      <c r="Z1993" s="18">
        <v>46167</v>
      </c>
      <c r="AA1993" s="15"/>
      <c r="AB1993" s="15"/>
    </row>
    <row r="1994" spans="1:28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95"/>
        <v>23</v>
      </c>
      <c r="R1994" s="53" t="str">
        <f t="shared" si="9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3">
        <f t="shared" si="97"/>
        <v>19</v>
      </c>
      <c r="Z1994" s="18">
        <v>46167</v>
      </c>
      <c r="AA1994" s="15"/>
      <c r="AB1994" s="15"/>
    </row>
    <row r="1995" spans="1:28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95"/>
        <v>23</v>
      </c>
      <c r="R1995" s="53" t="str">
        <f t="shared" si="9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3">
        <f t="shared" si="97"/>
        <v>19</v>
      </c>
      <c r="Z1995" s="18">
        <v>46167</v>
      </c>
      <c r="AA1995" s="15"/>
      <c r="AB1995" s="15"/>
    </row>
    <row r="1996" spans="1:28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95"/>
        <v>23</v>
      </c>
      <c r="R1996" s="53" t="str">
        <f t="shared" si="9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3">
        <f t="shared" si="97"/>
        <v>19</v>
      </c>
      <c r="Z1996" s="18">
        <v>46167</v>
      </c>
      <c r="AA1996" s="15"/>
      <c r="AB1996" s="15"/>
    </row>
    <row r="1997" spans="1:28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95"/>
        <v>23</v>
      </c>
      <c r="R1997" s="53" t="str">
        <f t="shared" si="9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3">
        <f t="shared" si="97"/>
        <v>19</v>
      </c>
      <c r="Z1997" s="18">
        <v>46167</v>
      </c>
      <c r="AA1997" s="15"/>
      <c r="AB1997" s="15"/>
    </row>
    <row r="1998" spans="1:28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95"/>
        <v>23</v>
      </c>
      <c r="R1998" s="53" t="str">
        <f t="shared" si="9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3">
        <f t="shared" si="97"/>
        <v>19</v>
      </c>
      <c r="Z1998" s="18">
        <v>46167</v>
      </c>
      <c r="AA1998" s="15"/>
      <c r="AB1998" s="15"/>
    </row>
    <row r="1999" spans="1:28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95"/>
        <v>23</v>
      </c>
      <c r="R1999" s="53" t="str">
        <f t="shared" si="9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3">
        <f t="shared" si="97"/>
        <v>19</v>
      </c>
      <c r="Z1999" s="18">
        <v>46167</v>
      </c>
      <c r="AA1999" s="15"/>
      <c r="AB1999" s="15"/>
    </row>
    <row r="2000" spans="1:28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95"/>
        <v>23</v>
      </c>
      <c r="R2000" s="53" t="str">
        <f t="shared" si="9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3">
        <f t="shared" si="97"/>
        <v>19</v>
      </c>
      <c r="Z2000" s="18">
        <v>46167</v>
      </c>
      <c r="AA2000" s="15"/>
      <c r="AB2000" s="15"/>
    </row>
    <row r="2001" spans="1:28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95"/>
        <v>23</v>
      </c>
      <c r="R2001" s="53" t="str">
        <f t="shared" si="9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3">
        <f t="shared" si="97"/>
        <v>19</v>
      </c>
      <c r="Z2001" s="18">
        <v>46167</v>
      </c>
      <c r="AA2001" s="15"/>
      <c r="AB2001" s="15"/>
    </row>
    <row r="2002" spans="1:28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95"/>
        <v>23</v>
      </c>
      <c r="R2002" s="53" t="str">
        <f t="shared" si="9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3">
        <f t="shared" si="97"/>
        <v>19</v>
      </c>
      <c r="Z2002" s="18">
        <v>46167</v>
      </c>
      <c r="AA2002" s="15"/>
      <c r="AB2002" s="15"/>
    </row>
    <row r="2003" spans="1:28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95"/>
        <v>23</v>
      </c>
      <c r="R2003" s="53" t="str">
        <f t="shared" si="9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3">
        <f t="shared" si="97"/>
        <v>19</v>
      </c>
      <c r="Z2003" s="18">
        <v>46167</v>
      </c>
      <c r="AA2003" s="15"/>
      <c r="AB2003" s="15"/>
    </row>
    <row r="2004" spans="1:28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95"/>
        <v>23</v>
      </c>
      <c r="R2004" s="53" t="str">
        <f t="shared" si="9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3">
        <f t="shared" si="97"/>
        <v>19</v>
      </c>
      <c r="Z2004" s="18">
        <v>46167</v>
      </c>
      <c r="AA2004" s="15"/>
      <c r="AB2004" s="15"/>
    </row>
    <row r="2005" spans="1:28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95"/>
        <v>23</v>
      </c>
      <c r="R2005" s="53" t="str">
        <f t="shared" si="9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3">
        <f t="shared" si="97"/>
        <v>19</v>
      </c>
      <c r="Z2005" s="18">
        <v>46167</v>
      </c>
      <c r="AA2005" s="15"/>
      <c r="AB2005" s="15"/>
    </row>
    <row r="2006" spans="1:28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95"/>
        <v>23</v>
      </c>
      <c r="R2006" s="53" t="str">
        <f t="shared" si="9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3">
        <f t="shared" si="97"/>
        <v>19</v>
      </c>
      <c r="Z2006" s="18">
        <v>46167</v>
      </c>
      <c r="AA2006" s="15"/>
      <c r="AB2006" s="15"/>
    </row>
    <row r="2007" spans="1:28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95"/>
        <v>23</v>
      </c>
      <c r="R2007" s="53" t="str">
        <f t="shared" si="9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3">
        <f t="shared" si="97"/>
        <v>19</v>
      </c>
      <c r="Z2007" s="18">
        <v>46167</v>
      </c>
      <c r="AA2007" s="15"/>
      <c r="AB2007" s="15"/>
    </row>
    <row r="2008" spans="1:28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95"/>
        <v>23</v>
      </c>
      <c r="R2008" s="53" t="str">
        <f t="shared" si="9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3">
        <f t="shared" si="97"/>
        <v>19</v>
      </c>
      <c r="Z2008" s="18">
        <v>46167</v>
      </c>
      <c r="AA2008" s="15"/>
      <c r="AB2008" s="15"/>
    </row>
    <row r="2009" spans="1:28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95"/>
        <v>23</v>
      </c>
      <c r="R2009" s="53" t="str">
        <f t="shared" si="9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3">
        <f t="shared" si="97"/>
        <v>19</v>
      </c>
      <c r="Z2009" s="18">
        <v>46167</v>
      </c>
      <c r="AA2009" s="15"/>
      <c r="AB2009" s="15"/>
    </row>
    <row r="2010" spans="1:28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95"/>
        <v>23</v>
      </c>
      <c r="R2010" s="53" t="str">
        <f t="shared" si="9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3">
        <f t="shared" si="97"/>
        <v>19</v>
      </c>
      <c r="Z2010" s="18">
        <v>46167</v>
      </c>
      <c r="AA2010" s="15"/>
      <c r="AB2010" s="15"/>
    </row>
    <row r="2011" spans="1:28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95"/>
        <v>22</v>
      </c>
      <c r="R2011" s="77" t="str">
        <f t="shared" si="9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97"/>
        <v>2</v>
      </c>
      <c r="Z2011" s="85">
        <v>46167</v>
      </c>
      <c r="AA2011" s="86"/>
      <c r="AB2011" s="86"/>
    </row>
    <row r="2012" spans="1:28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95"/>
        <v>22</v>
      </c>
      <c r="R2012" s="53" t="str">
        <f t="shared" si="9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3">
        <f t="shared" si="97"/>
        <v>2</v>
      </c>
      <c r="Z2012" s="18">
        <v>46167</v>
      </c>
      <c r="AA2012" s="15"/>
      <c r="AB2012" s="15"/>
    </row>
    <row r="2013" spans="1:28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95"/>
        <v>22</v>
      </c>
      <c r="R2013" s="53" t="str">
        <f t="shared" si="9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3">
        <f t="shared" si="97"/>
        <v>2</v>
      </c>
      <c r="Z2013" s="18">
        <v>46167</v>
      </c>
      <c r="AA2013" s="15"/>
      <c r="AB2013" s="15"/>
    </row>
    <row r="2014" spans="1:28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95"/>
        <v>22</v>
      </c>
      <c r="R2014" s="53" t="str">
        <f t="shared" si="9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3">
        <f t="shared" si="97"/>
        <v>2</v>
      </c>
      <c r="Z2014" s="18">
        <v>46167</v>
      </c>
      <c r="AA2014" s="15"/>
      <c r="AB2014" s="15"/>
    </row>
    <row r="2015" spans="1:28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95"/>
        <v>22</v>
      </c>
      <c r="R2015" s="53" t="str">
        <f t="shared" si="9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3">
        <f t="shared" si="97"/>
        <v>2</v>
      </c>
      <c r="Z2015" s="18">
        <v>46167</v>
      </c>
      <c r="AA2015" s="15"/>
      <c r="AB2015" s="15"/>
    </row>
    <row r="2016" spans="1:28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95"/>
        <v>24</v>
      </c>
      <c r="R2016" s="53" t="str">
        <f t="shared" si="9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3">
        <f t="shared" si="97"/>
        <v>24</v>
      </c>
      <c r="Z2016" s="18">
        <v>46167</v>
      </c>
      <c r="AA2016" s="15"/>
      <c r="AB2016" s="15"/>
    </row>
    <row r="2017" spans="1:28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95"/>
        <v>24</v>
      </c>
      <c r="R2017" s="53" t="str">
        <f t="shared" si="9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3">
        <f t="shared" si="97"/>
        <v>24</v>
      </c>
      <c r="Z2017" s="18">
        <v>46167</v>
      </c>
      <c r="AA2017" s="15"/>
      <c r="AB2017" s="15"/>
    </row>
    <row r="2018" spans="1:28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95"/>
        <v>24</v>
      </c>
      <c r="R2018" s="53" t="str">
        <f t="shared" si="9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3">
        <f t="shared" si="97"/>
        <v>24</v>
      </c>
      <c r="Z2018" s="18">
        <v>46167</v>
      </c>
      <c r="AA2018" s="15"/>
      <c r="AB2018" s="15"/>
    </row>
    <row r="2019" spans="1:28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95"/>
        <v>24</v>
      </c>
      <c r="R2019" s="53" t="str">
        <f t="shared" si="9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3">
        <f t="shared" si="97"/>
        <v>24</v>
      </c>
      <c r="Z2019" s="18">
        <v>46167</v>
      </c>
      <c r="AA2019" s="15"/>
      <c r="AB2019" s="15"/>
    </row>
    <row r="2020" spans="1:28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95"/>
        <v>24</v>
      </c>
      <c r="R2020" s="53" t="str">
        <f t="shared" si="9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3">
        <f t="shared" si="97"/>
        <v>24</v>
      </c>
      <c r="Z2020" s="18">
        <v>46167</v>
      </c>
      <c r="AA2020" s="15"/>
      <c r="AB2020" s="15"/>
    </row>
    <row r="2021" spans="1:28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95"/>
        <v>24</v>
      </c>
      <c r="R2021" s="53" t="str">
        <f t="shared" si="9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3">
        <f t="shared" si="97"/>
        <v>24</v>
      </c>
      <c r="Z2021" s="18">
        <v>46167</v>
      </c>
      <c r="AA2021" s="15"/>
      <c r="AB2021" s="15"/>
    </row>
    <row r="2022" spans="1:28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95"/>
        <v>24</v>
      </c>
      <c r="R2022" s="53" t="str">
        <f t="shared" si="9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3">
        <f t="shared" si="97"/>
        <v>24</v>
      </c>
      <c r="Z2022" s="18">
        <v>46167</v>
      </c>
      <c r="AA2022" s="15"/>
      <c r="AB2022" s="15"/>
    </row>
    <row r="2023" spans="1:28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98">MID(P2023,5,2)</f>
        <v>24</v>
      </c>
      <c r="R2023" s="53" t="str">
        <f t="shared" ref="R2023:R2086" si="99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3">
        <f t="shared" si="97"/>
        <v>24</v>
      </c>
      <c r="Z2023" s="18">
        <v>46167</v>
      </c>
      <c r="AA2023" s="15"/>
      <c r="AB2023" s="15"/>
    </row>
    <row r="2024" spans="1:28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98"/>
        <v>24</v>
      </c>
      <c r="R2024" s="53" t="str">
        <f t="shared" si="99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3">
        <f t="shared" si="97"/>
        <v>24</v>
      </c>
      <c r="Z2024" s="18">
        <v>46167</v>
      </c>
      <c r="AA2024" s="15"/>
      <c r="AB2024" s="15"/>
    </row>
    <row r="2025" spans="1:28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98"/>
        <v>24</v>
      </c>
      <c r="R2025" s="53" t="str">
        <f t="shared" si="99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3">
        <f t="shared" si="97"/>
        <v>24</v>
      </c>
      <c r="Z2025" s="18">
        <v>46167</v>
      </c>
      <c r="AA2025" s="15"/>
      <c r="AB2025" s="15"/>
    </row>
    <row r="2026" spans="1:28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98"/>
        <v>24</v>
      </c>
      <c r="R2026" s="53" t="str">
        <f t="shared" si="99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3">
        <f t="shared" si="97"/>
        <v>24</v>
      </c>
      <c r="Z2026" s="18">
        <v>46167</v>
      </c>
      <c r="AA2026" s="15"/>
      <c r="AB2026" s="15"/>
    </row>
    <row r="2027" spans="1:28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98"/>
        <v>24</v>
      </c>
      <c r="R2027" s="53" t="str">
        <f t="shared" si="99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3">
        <f t="shared" si="97"/>
        <v>24</v>
      </c>
      <c r="Z2027" s="18">
        <v>46167</v>
      </c>
      <c r="AA2027" s="15"/>
      <c r="AB2027" s="15"/>
    </row>
    <row r="2028" spans="1:28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98"/>
        <v>24</v>
      </c>
      <c r="R2028" s="53" t="str">
        <f t="shared" si="99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3">
        <f t="shared" si="97"/>
        <v>24</v>
      </c>
      <c r="Z2028" s="18">
        <v>46167</v>
      </c>
      <c r="AA2028" s="15"/>
      <c r="AB2028" s="15"/>
    </row>
    <row r="2029" spans="1:28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98"/>
        <v>24</v>
      </c>
      <c r="R2029" s="53" t="str">
        <f t="shared" si="99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3">
        <f t="shared" si="97"/>
        <v>24</v>
      </c>
      <c r="Z2029" s="18">
        <v>46167</v>
      </c>
      <c r="AA2029" s="15"/>
      <c r="AB2029" s="15"/>
    </row>
    <row r="2030" spans="1:28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98"/>
        <v>24</v>
      </c>
      <c r="R2030" s="53" t="str">
        <f t="shared" si="99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3">
        <f t="shared" si="97"/>
        <v>24</v>
      </c>
      <c r="Z2030" s="18">
        <v>46167</v>
      </c>
      <c r="AA2030" s="15"/>
      <c r="AB2030" s="15"/>
    </row>
    <row r="2031" spans="1:28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98"/>
        <v>24</v>
      </c>
      <c r="R2031" s="53" t="str">
        <f t="shared" si="99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3">
        <f t="shared" si="97"/>
        <v>24</v>
      </c>
      <c r="Z2031" s="18">
        <v>46167</v>
      </c>
      <c r="AA2031" s="15"/>
      <c r="AB2031" s="15"/>
    </row>
    <row r="2032" spans="1:28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98"/>
        <v>24</v>
      </c>
      <c r="R2032" s="53" t="str">
        <f t="shared" si="99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3">
        <f t="shared" si="97"/>
        <v>24</v>
      </c>
      <c r="Z2032" s="18">
        <v>46167</v>
      </c>
      <c r="AA2032" s="15"/>
      <c r="AB2032" s="15"/>
    </row>
    <row r="2033" spans="1:28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98"/>
        <v>24</v>
      </c>
      <c r="R2033" s="53" t="str">
        <f t="shared" si="99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3">
        <f t="shared" si="97"/>
        <v>24</v>
      </c>
      <c r="Z2033" s="18">
        <v>46167</v>
      </c>
      <c r="AA2033" s="15"/>
      <c r="AB2033" s="15"/>
    </row>
    <row r="2034" spans="1:28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98"/>
        <v>24</v>
      </c>
      <c r="R2034" s="53" t="str">
        <f t="shared" si="99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3">
        <f t="shared" si="97"/>
        <v>24</v>
      </c>
      <c r="Z2034" s="18">
        <v>46167</v>
      </c>
      <c r="AA2034" s="15"/>
      <c r="AB2034" s="15"/>
    </row>
    <row r="2035" spans="1:28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98"/>
        <v>24</v>
      </c>
      <c r="R2035" s="53" t="str">
        <f t="shared" si="99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3">
        <f t="shared" si="97"/>
        <v>24</v>
      </c>
      <c r="Z2035" s="18">
        <v>46167</v>
      </c>
      <c r="AA2035" s="15"/>
      <c r="AB2035" s="15"/>
    </row>
    <row r="2036" spans="1:28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98"/>
        <v>24</v>
      </c>
      <c r="R2036" s="53" t="str">
        <f t="shared" si="99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3">
        <f t="shared" si="97"/>
        <v>24</v>
      </c>
      <c r="Z2036" s="18">
        <v>46167</v>
      </c>
      <c r="AA2036" s="15"/>
      <c r="AB2036" s="15"/>
    </row>
    <row r="2037" spans="1:28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98"/>
        <v>24</v>
      </c>
      <c r="R2037" s="53" t="str">
        <f t="shared" si="99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3">
        <f t="shared" si="97"/>
        <v>24</v>
      </c>
      <c r="Z2037" s="18">
        <v>46167</v>
      </c>
      <c r="AA2037" s="15"/>
      <c r="AB2037" s="15"/>
    </row>
    <row r="2038" spans="1:28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98"/>
        <v>24</v>
      </c>
      <c r="R2038" s="53" t="str">
        <f t="shared" si="99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3">
        <f t="shared" si="97"/>
        <v>24</v>
      </c>
      <c r="Z2038" s="18">
        <v>46167</v>
      </c>
      <c r="AA2038" s="15"/>
      <c r="AB2038" s="15"/>
    </row>
    <row r="2039" spans="1:28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31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98"/>
        <v>24</v>
      </c>
      <c r="R2039" s="53" t="str">
        <f t="shared" si="99"/>
        <v>07</v>
      </c>
      <c r="S2039" s="3" t="s">
        <v>121</v>
      </c>
      <c r="T2039" s="3" t="s">
        <v>122</v>
      </c>
      <c r="U2039" s="19" t="s">
        <v>2255</v>
      </c>
      <c r="V2039" s="15" t="s">
        <v>64</v>
      </c>
      <c r="W2039" s="15" t="s">
        <v>74</v>
      </c>
      <c r="X2039" s="18"/>
      <c r="Y2039" s="3">
        <f t="shared" si="97"/>
        <v>-46143</v>
      </c>
      <c r="Z2039" s="18">
        <v>46167</v>
      </c>
      <c r="AA2039" s="15"/>
      <c r="AB2039" s="15"/>
    </row>
    <row r="2040" spans="1:28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98"/>
        <v>24</v>
      </c>
      <c r="R2040" s="53" t="str">
        <f t="shared" si="99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3">
        <f t="shared" si="97"/>
        <v>24</v>
      </c>
      <c r="Z2040" s="18">
        <v>46167</v>
      </c>
      <c r="AA2040" s="15"/>
      <c r="AB2040" s="15"/>
    </row>
    <row r="2041" spans="1:28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98"/>
        <v>24</v>
      </c>
      <c r="R2041" s="53" t="str">
        <f t="shared" si="99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3">
        <f t="shared" si="97"/>
        <v>24</v>
      </c>
      <c r="Z2041" s="18">
        <v>46167</v>
      </c>
      <c r="AA2041" s="15"/>
      <c r="AB2041" s="15"/>
    </row>
    <row r="2042" spans="1:28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98"/>
        <v>24</v>
      </c>
      <c r="R2042" s="53" t="str">
        <f t="shared" si="99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3">
        <f t="shared" si="97"/>
        <v>24</v>
      </c>
      <c r="Z2042" s="18">
        <v>46167</v>
      </c>
      <c r="AA2042" s="15"/>
      <c r="AB2042" s="15"/>
    </row>
    <row r="2043" spans="1:28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98"/>
        <v>24</v>
      </c>
      <c r="R2043" s="53" t="str">
        <f t="shared" si="99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3">
        <f t="shared" si="97"/>
        <v>24</v>
      </c>
      <c r="Z2043" s="18">
        <v>46167</v>
      </c>
      <c r="AA2043" s="15"/>
      <c r="AB2043" s="15"/>
    </row>
    <row r="2044" spans="1:28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98"/>
        <v>24</v>
      </c>
      <c r="R2044" s="53" t="str">
        <f t="shared" si="99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3">
        <f t="shared" si="97"/>
        <v>24</v>
      </c>
      <c r="Z2044" s="18">
        <v>46167</v>
      </c>
      <c r="AA2044" s="15"/>
      <c r="AB2044" s="15"/>
    </row>
    <row r="2045" spans="1:28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98"/>
        <v>24</v>
      </c>
      <c r="R2045" s="53" t="str">
        <f t="shared" si="99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3">
        <f t="shared" si="97"/>
        <v>24</v>
      </c>
      <c r="Z2045" s="18">
        <v>46167</v>
      </c>
      <c r="AA2045" s="15"/>
      <c r="AB2045" s="15"/>
    </row>
    <row r="2046" spans="1:28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98"/>
        <v>24</v>
      </c>
      <c r="R2046" s="53" t="str">
        <f t="shared" si="99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3">
        <f t="shared" si="97"/>
        <v>24</v>
      </c>
      <c r="Z2046" s="18">
        <v>46167</v>
      </c>
      <c r="AA2046" s="15"/>
      <c r="AB2046" s="15"/>
    </row>
    <row r="2047" spans="1:28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98"/>
        <v>24</v>
      </c>
      <c r="R2047" s="53" t="str">
        <f t="shared" si="99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3">
        <f t="shared" si="97"/>
        <v>24</v>
      </c>
      <c r="Z2047" s="18">
        <v>46167</v>
      </c>
      <c r="AA2047" s="15"/>
      <c r="AB2047" s="15"/>
    </row>
    <row r="2048" spans="1:28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98"/>
        <v>24</v>
      </c>
      <c r="R2048" s="53" t="str">
        <f t="shared" si="99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3">
        <f t="shared" si="97"/>
        <v>24</v>
      </c>
      <c r="Z2048" s="18">
        <v>46167</v>
      </c>
      <c r="AA2048" s="15"/>
      <c r="AB2048" s="15"/>
    </row>
    <row r="2049" spans="1:28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98"/>
        <v>24</v>
      </c>
      <c r="R2049" s="53" t="str">
        <f t="shared" si="99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3">
        <f t="shared" si="97"/>
        <v>24</v>
      </c>
      <c r="Z2049" s="18">
        <v>46167</v>
      </c>
      <c r="AA2049" s="15"/>
      <c r="AB2049" s="15"/>
    </row>
    <row r="2050" spans="1:28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98"/>
        <v>24</v>
      </c>
      <c r="R2050" s="53" t="str">
        <f t="shared" si="99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3">
        <f t="shared" ref="Y2050:Y2113" si="100">X2050-A2050</f>
        <v>24</v>
      </c>
      <c r="Z2050" s="18">
        <v>46167</v>
      </c>
      <c r="AA2050" s="15"/>
      <c r="AB2050" s="15"/>
    </row>
    <row r="2051" spans="1:28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98"/>
        <v>24</v>
      </c>
      <c r="R2051" s="53" t="str">
        <f t="shared" si="99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3">
        <f t="shared" si="100"/>
        <v>24</v>
      </c>
      <c r="Z2051" s="18">
        <v>46167</v>
      </c>
      <c r="AA2051" s="15"/>
      <c r="AB2051" s="15"/>
    </row>
    <row r="2052" spans="1:28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98"/>
        <v>24</v>
      </c>
      <c r="R2052" s="53" t="str">
        <f t="shared" si="99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3">
        <f t="shared" si="100"/>
        <v>24</v>
      </c>
      <c r="Z2052" s="18">
        <v>46167</v>
      </c>
      <c r="AA2052" s="15"/>
      <c r="AB2052" s="15"/>
    </row>
    <row r="2053" spans="1:28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98"/>
        <v>24</v>
      </c>
      <c r="R2053" s="53" t="str">
        <f t="shared" si="99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3">
        <f t="shared" si="100"/>
        <v>24</v>
      </c>
      <c r="Z2053" s="18">
        <v>46167</v>
      </c>
      <c r="AA2053" s="15"/>
      <c r="AB2053" s="15"/>
    </row>
    <row r="2054" spans="1:28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98"/>
        <v>24</v>
      </c>
      <c r="R2054" s="53" t="str">
        <f t="shared" si="99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3">
        <f t="shared" si="100"/>
        <v>24</v>
      </c>
      <c r="Z2054" s="18">
        <v>46167</v>
      </c>
      <c r="AA2054" s="15"/>
      <c r="AB2054" s="15"/>
    </row>
    <row r="2055" spans="1:28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98"/>
        <v>24</v>
      </c>
      <c r="R2055" s="53" t="str">
        <f t="shared" si="99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3">
        <f t="shared" si="100"/>
        <v>24</v>
      </c>
      <c r="Z2055" s="18">
        <v>46167</v>
      </c>
      <c r="AA2055" s="15"/>
      <c r="AB2055" s="15"/>
    </row>
    <row r="2056" spans="1:28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98"/>
        <v>24</v>
      </c>
      <c r="R2056" s="53" t="str">
        <f t="shared" si="99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3">
        <f t="shared" si="100"/>
        <v>24</v>
      </c>
      <c r="Z2056" s="18">
        <v>46167</v>
      </c>
      <c r="AA2056" s="15"/>
      <c r="AB2056" s="15"/>
    </row>
    <row r="2057" spans="1:28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98"/>
        <v>24</v>
      </c>
      <c r="R2057" s="53" t="str">
        <f t="shared" si="99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3">
        <f t="shared" si="100"/>
        <v>24</v>
      </c>
      <c r="Z2057" s="18">
        <v>46167</v>
      </c>
      <c r="AA2057" s="15"/>
      <c r="AB2057" s="15"/>
    </row>
    <row r="2058" spans="1:28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98"/>
        <v>24</v>
      </c>
      <c r="R2058" s="53" t="str">
        <f t="shared" si="99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3">
        <f t="shared" si="100"/>
        <v>24</v>
      </c>
      <c r="Z2058" s="18">
        <v>46167</v>
      </c>
      <c r="AA2058" s="15"/>
      <c r="AB2058" s="15"/>
    </row>
    <row r="2059" spans="1:28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98"/>
        <v>24</v>
      </c>
      <c r="R2059" s="53" t="str">
        <f t="shared" si="99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3">
        <f t="shared" si="100"/>
        <v>24</v>
      </c>
      <c r="Z2059" s="18">
        <v>46167</v>
      </c>
      <c r="AA2059" s="15"/>
      <c r="AB2059" s="15"/>
    </row>
    <row r="2060" spans="1:28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98"/>
        <v>24</v>
      </c>
      <c r="R2060" s="53" t="str">
        <f t="shared" si="99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3">
        <f t="shared" si="100"/>
        <v>24</v>
      </c>
      <c r="Z2060" s="18">
        <v>46167</v>
      </c>
      <c r="AA2060" s="15"/>
      <c r="AB2060" s="15"/>
    </row>
    <row r="2061" spans="1:28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98"/>
        <v>24</v>
      </c>
      <c r="R2061" s="53" t="str">
        <f t="shared" si="99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3">
        <f t="shared" si="100"/>
        <v>24</v>
      </c>
      <c r="Z2061" s="18">
        <v>46167</v>
      </c>
      <c r="AA2061" s="15"/>
      <c r="AB2061" s="15"/>
    </row>
    <row r="2062" spans="1:28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98"/>
        <v>24</v>
      </c>
      <c r="R2062" s="53" t="str">
        <f t="shared" si="99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3">
        <f t="shared" si="100"/>
        <v>24</v>
      </c>
      <c r="Z2062" s="18">
        <v>46167</v>
      </c>
      <c r="AA2062" s="15"/>
      <c r="AB2062" s="15"/>
    </row>
    <row r="2063" spans="1:28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98"/>
        <v>24</v>
      </c>
      <c r="R2063" s="53" t="str">
        <f t="shared" si="99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3">
        <f t="shared" si="100"/>
        <v>24</v>
      </c>
      <c r="Z2063" s="18">
        <v>46167</v>
      </c>
      <c r="AA2063" s="15"/>
      <c r="AB2063" s="15"/>
    </row>
    <row r="2064" spans="1:28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98"/>
        <v>24</v>
      </c>
      <c r="R2064" s="53" t="str">
        <f t="shared" si="99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3">
        <f t="shared" si="100"/>
        <v>24</v>
      </c>
      <c r="Z2064" s="18">
        <v>46167</v>
      </c>
      <c r="AA2064" s="15"/>
      <c r="AB2064" s="15"/>
    </row>
    <row r="2065" spans="1:28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98"/>
        <v>24</v>
      </c>
      <c r="R2065" s="53" t="str">
        <f t="shared" si="99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3">
        <f t="shared" si="100"/>
        <v>24</v>
      </c>
      <c r="Z2065" s="18">
        <v>46167</v>
      </c>
      <c r="AA2065" s="15"/>
      <c r="AB2065" s="15"/>
    </row>
    <row r="2066" spans="1:28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98"/>
        <v>24</v>
      </c>
      <c r="R2066" s="53" t="str">
        <f t="shared" si="99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3">
        <f t="shared" si="100"/>
        <v>24</v>
      </c>
      <c r="Z2066" s="18">
        <v>46167</v>
      </c>
      <c r="AA2066" s="15"/>
      <c r="AB2066" s="15"/>
    </row>
    <row r="2067" spans="1:28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98"/>
        <v>24</v>
      </c>
      <c r="R2067" s="53" t="str">
        <f t="shared" si="99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3">
        <f t="shared" si="100"/>
        <v>24</v>
      </c>
      <c r="Z2067" s="18">
        <v>46167</v>
      </c>
      <c r="AA2067" s="15"/>
      <c r="AB2067" s="15"/>
    </row>
    <row r="2068" spans="1:28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98"/>
        <v>24</v>
      </c>
      <c r="R2068" s="53" t="str">
        <f t="shared" si="99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3">
        <f t="shared" si="100"/>
        <v>24</v>
      </c>
      <c r="Z2068" s="18">
        <v>46167</v>
      </c>
      <c r="AA2068" s="15"/>
      <c r="AB2068" s="15"/>
    </row>
    <row r="2069" spans="1:28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98"/>
        <v>24</v>
      </c>
      <c r="R2069" s="53" t="str">
        <f t="shared" si="99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3">
        <f t="shared" si="100"/>
        <v>24</v>
      </c>
      <c r="Z2069" s="18">
        <v>46167</v>
      </c>
      <c r="AA2069" s="15"/>
      <c r="AB2069" s="15"/>
    </row>
    <row r="2070" spans="1:28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98"/>
        <v>24</v>
      </c>
      <c r="R2070" s="53" t="str">
        <f t="shared" si="99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3">
        <f t="shared" si="100"/>
        <v>24</v>
      </c>
      <c r="Z2070" s="18">
        <v>46167</v>
      </c>
      <c r="AA2070" s="15"/>
      <c r="AB2070" s="15"/>
    </row>
    <row r="2071" spans="1:28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98"/>
        <v>24</v>
      </c>
      <c r="R2071" s="53" t="str">
        <f t="shared" si="99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3">
        <f t="shared" si="100"/>
        <v>24</v>
      </c>
      <c r="Z2071" s="18">
        <v>46167</v>
      </c>
      <c r="AA2071" s="15"/>
      <c r="AB2071" s="15"/>
    </row>
    <row r="2072" spans="1:28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98"/>
        <v>24</v>
      </c>
      <c r="R2072" s="53" t="str">
        <f t="shared" si="99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3">
        <f t="shared" si="100"/>
        <v>24</v>
      </c>
      <c r="Z2072" s="18">
        <v>46167</v>
      </c>
      <c r="AA2072" s="15"/>
      <c r="AB2072" s="15"/>
    </row>
    <row r="2073" spans="1:28">
      <c r="A2073" s="59">
        <v>46148</v>
      </c>
      <c r="B2073" s="3">
        <v>2026</v>
      </c>
      <c r="C2073" s="60" t="s">
        <v>2976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2982</v>
      </c>
      <c r="O2073" s="60">
        <v>545</v>
      </c>
      <c r="P2073" s="8" t="s">
        <v>2293</v>
      </c>
      <c r="Q2073" s="54" t="str">
        <f t="shared" si="98"/>
        <v>23</v>
      </c>
      <c r="R2073" s="53" t="str">
        <f t="shared" si="99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3">
        <f t="shared" si="100"/>
        <v>20</v>
      </c>
      <c r="Z2073" s="18" t="s">
        <v>349</v>
      </c>
      <c r="AA2073" s="15"/>
      <c r="AB2073" s="15"/>
    </row>
    <row r="2074" spans="1:28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98"/>
        <v>23</v>
      </c>
      <c r="R2074" s="53" t="str">
        <f t="shared" si="99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3">
        <f t="shared" si="100"/>
        <v>20</v>
      </c>
      <c r="Z2074" s="18">
        <v>46168</v>
      </c>
      <c r="AA2074" s="15"/>
      <c r="AB2074" s="15"/>
    </row>
    <row r="2075" spans="1:28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98"/>
        <v>23</v>
      </c>
      <c r="R2075" s="53" t="str">
        <f t="shared" si="99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3">
        <f t="shared" si="100"/>
        <v>20</v>
      </c>
      <c r="Z2075" s="18">
        <v>46168</v>
      </c>
      <c r="AA2075" s="15"/>
      <c r="AB2075" s="15"/>
    </row>
    <row r="2076" spans="1:28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98"/>
        <v>23</v>
      </c>
      <c r="R2076" s="53" t="str">
        <f t="shared" si="99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3">
        <f t="shared" si="100"/>
        <v>20</v>
      </c>
      <c r="Z2076" s="18">
        <v>46168</v>
      </c>
      <c r="AA2076" s="15"/>
      <c r="AB2076" s="15"/>
    </row>
    <row r="2077" spans="1:28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98"/>
        <v>23</v>
      </c>
      <c r="R2077" s="53" t="str">
        <f t="shared" si="99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3">
        <f t="shared" si="100"/>
        <v>20</v>
      </c>
      <c r="Z2077" s="18">
        <v>46168</v>
      </c>
      <c r="AA2077" s="15"/>
      <c r="AB2077" s="15"/>
    </row>
    <row r="2078" spans="1:28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98"/>
        <v>23</v>
      </c>
      <c r="R2078" s="53" t="str">
        <f t="shared" si="99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3">
        <f t="shared" si="100"/>
        <v>20</v>
      </c>
      <c r="Z2078" s="18">
        <v>46168</v>
      </c>
      <c r="AA2078" s="15"/>
      <c r="AB2078" s="15"/>
    </row>
    <row r="2079" spans="1:28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98"/>
        <v>23</v>
      </c>
      <c r="R2079" s="53" t="str">
        <f t="shared" si="99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3">
        <f t="shared" si="100"/>
        <v>20</v>
      </c>
      <c r="Z2079" s="18">
        <v>46168</v>
      </c>
      <c r="AA2079" s="15"/>
      <c r="AB2079" s="15"/>
    </row>
    <row r="2080" spans="1:28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98"/>
        <v>23</v>
      </c>
      <c r="R2080" s="53" t="str">
        <f t="shared" si="99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3">
        <f t="shared" si="100"/>
        <v>20</v>
      </c>
      <c r="Z2080" s="18">
        <v>46168</v>
      </c>
      <c r="AA2080" s="15"/>
      <c r="AB2080" s="15"/>
    </row>
    <row r="2081" spans="1:28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98"/>
        <v>23</v>
      </c>
      <c r="R2081" s="53" t="str">
        <f t="shared" si="99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3">
        <f t="shared" si="100"/>
        <v>20</v>
      </c>
      <c r="Z2081" s="18">
        <v>46168</v>
      </c>
      <c r="AA2081" s="15"/>
      <c r="AB2081" s="15"/>
    </row>
    <row r="2082" spans="1:28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98"/>
        <v>23</v>
      </c>
      <c r="R2082" s="53" t="str">
        <f t="shared" si="99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3">
        <f t="shared" si="100"/>
        <v>20</v>
      </c>
      <c r="Z2082" s="18">
        <v>46168</v>
      </c>
      <c r="AA2082" s="15"/>
      <c r="AB2082" s="15"/>
    </row>
    <row r="2083" spans="1:28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98"/>
        <v>23</v>
      </c>
      <c r="R2083" s="53" t="str">
        <f t="shared" si="99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3">
        <f t="shared" si="100"/>
        <v>20</v>
      </c>
      <c r="Z2083" s="18">
        <v>46168</v>
      </c>
      <c r="AA2083" s="15"/>
      <c r="AB2083" s="15"/>
    </row>
    <row r="2084" spans="1:28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98"/>
        <v>23</v>
      </c>
      <c r="R2084" s="53" t="str">
        <f t="shared" si="99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3">
        <f t="shared" si="100"/>
        <v>20</v>
      </c>
      <c r="Z2084" s="18">
        <v>46168</v>
      </c>
      <c r="AA2084" s="15"/>
      <c r="AB2084" s="15"/>
    </row>
    <row r="2085" spans="1:28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98"/>
        <v>23</v>
      </c>
      <c r="R2085" s="53" t="str">
        <f t="shared" si="99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3">
        <f t="shared" si="100"/>
        <v>20</v>
      </c>
      <c r="Z2085" s="18">
        <v>46168</v>
      </c>
      <c r="AA2085" s="15"/>
      <c r="AB2085" s="15"/>
    </row>
    <row r="2086" spans="1:28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98"/>
        <v>23</v>
      </c>
      <c r="R2086" s="53" t="str">
        <f t="shared" si="99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3">
        <f t="shared" si="100"/>
        <v>20</v>
      </c>
      <c r="Z2086" s="18">
        <v>46168</v>
      </c>
      <c r="AA2086" s="15"/>
      <c r="AB2086" s="15"/>
    </row>
    <row r="2087" spans="1:28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01">MID(P2087,5,2)</f>
        <v>23</v>
      </c>
      <c r="R2087" s="53" t="str">
        <f t="shared" ref="R2087:R2150" si="102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3">
        <f t="shared" si="100"/>
        <v>20</v>
      </c>
      <c r="Z2087" s="18">
        <v>46168</v>
      </c>
      <c r="AA2087" s="15"/>
      <c r="AB2087" s="15"/>
    </row>
    <row r="2088" spans="1:28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01"/>
        <v>23</v>
      </c>
      <c r="R2088" s="53" t="str">
        <f t="shared" si="102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3">
        <f t="shared" si="100"/>
        <v>20</v>
      </c>
      <c r="Z2088" s="18">
        <v>46168</v>
      </c>
      <c r="AA2088" s="15"/>
      <c r="AB2088" s="15"/>
    </row>
    <row r="2089" spans="1:28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01"/>
        <v>23</v>
      </c>
      <c r="R2089" s="53" t="str">
        <f t="shared" si="102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3">
        <f t="shared" si="100"/>
        <v>20</v>
      </c>
      <c r="Z2089" s="18">
        <v>46168</v>
      </c>
      <c r="AA2089" s="15"/>
      <c r="AB2089" s="15"/>
    </row>
    <row r="2090" spans="1:28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01"/>
        <v>23</v>
      </c>
      <c r="R2090" s="53" t="str">
        <f t="shared" si="102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3">
        <f t="shared" si="100"/>
        <v>20</v>
      </c>
      <c r="Z2090" s="18">
        <v>46168</v>
      </c>
      <c r="AA2090" s="15"/>
      <c r="AB2090" s="15"/>
    </row>
    <row r="2091" spans="1:28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01"/>
        <v>23</v>
      </c>
      <c r="R2091" s="53" t="str">
        <f t="shared" si="102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3">
        <f t="shared" si="100"/>
        <v>20</v>
      </c>
      <c r="Z2091" s="18">
        <v>46168</v>
      </c>
      <c r="AA2091" s="15"/>
      <c r="AB2091" s="15"/>
    </row>
    <row r="2092" spans="1:28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01"/>
        <v>23</v>
      </c>
      <c r="R2092" s="53" t="str">
        <f t="shared" si="102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3">
        <f t="shared" si="100"/>
        <v>20</v>
      </c>
      <c r="Z2092" s="18">
        <v>46168</v>
      </c>
      <c r="AA2092" s="15"/>
      <c r="AB2092" s="15"/>
    </row>
    <row r="2093" spans="1:28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01"/>
        <v>23</v>
      </c>
      <c r="R2093" s="53" t="str">
        <f t="shared" si="102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3">
        <f t="shared" si="100"/>
        <v>20</v>
      </c>
      <c r="Z2093" s="18">
        <v>46168</v>
      </c>
      <c r="AA2093" s="15"/>
      <c r="AB2093" s="15"/>
    </row>
    <row r="2094" spans="1:28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01"/>
        <v>23</v>
      </c>
      <c r="R2094" s="53" t="str">
        <f t="shared" si="102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3">
        <f t="shared" si="100"/>
        <v>20</v>
      </c>
      <c r="Z2094" s="18">
        <v>46168</v>
      </c>
      <c r="AA2094" s="15"/>
      <c r="AB2094" s="15"/>
    </row>
    <row r="2095" spans="1:28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01"/>
        <v>23</v>
      </c>
      <c r="R2095" s="53" t="str">
        <f t="shared" si="102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3">
        <f t="shared" si="100"/>
        <v>20</v>
      </c>
      <c r="Z2095" s="18">
        <v>46168</v>
      </c>
      <c r="AA2095" s="15"/>
      <c r="AB2095" s="15"/>
    </row>
    <row r="2096" spans="1:28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01"/>
        <v>23</v>
      </c>
      <c r="R2096" s="53" t="str">
        <f t="shared" si="102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3">
        <f t="shared" si="100"/>
        <v>20</v>
      </c>
      <c r="Z2096" s="18">
        <v>46168</v>
      </c>
      <c r="AA2096" s="15"/>
      <c r="AB2096" s="15"/>
    </row>
    <row r="2097" spans="1:28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01"/>
        <v>23</v>
      </c>
      <c r="R2097" s="53" t="str">
        <f t="shared" si="102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3">
        <f t="shared" si="100"/>
        <v>20</v>
      </c>
      <c r="Z2097" s="18">
        <v>46168</v>
      </c>
      <c r="AA2097" s="15"/>
      <c r="AB2097" s="15"/>
    </row>
    <row r="2098" spans="1:28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01"/>
        <v>23</v>
      </c>
      <c r="R2098" s="53" t="str">
        <f t="shared" si="102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3">
        <f t="shared" si="100"/>
        <v>20</v>
      </c>
      <c r="Z2098" s="18">
        <v>46168</v>
      </c>
      <c r="AA2098" s="15"/>
      <c r="AB2098" s="15"/>
    </row>
    <row r="2099" spans="1:28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01"/>
        <v>23</v>
      </c>
      <c r="R2099" s="53" t="str">
        <f t="shared" si="102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3">
        <f t="shared" si="100"/>
        <v>20</v>
      </c>
      <c r="Z2099" s="18">
        <v>46168</v>
      </c>
      <c r="AA2099" s="15"/>
      <c r="AB2099" s="15"/>
    </row>
    <row r="2100" spans="1:28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01"/>
        <v>23</v>
      </c>
      <c r="R2100" s="53" t="str">
        <f t="shared" si="102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3">
        <f t="shared" si="100"/>
        <v>20</v>
      </c>
      <c r="Z2100" s="18">
        <v>46168</v>
      </c>
      <c r="AA2100" s="15"/>
      <c r="AB2100" s="15"/>
    </row>
    <row r="2101" spans="1:28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01"/>
        <v>23</v>
      </c>
      <c r="R2101" s="53" t="str">
        <f t="shared" si="102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3">
        <f t="shared" si="100"/>
        <v>20</v>
      </c>
      <c r="Z2101" s="18">
        <v>46168</v>
      </c>
      <c r="AA2101" s="15"/>
      <c r="AB2101" s="15"/>
    </row>
    <row r="2102" spans="1:28">
      <c r="A2102" s="93">
        <v>46162</v>
      </c>
      <c r="B2102" s="3">
        <v>2026</v>
      </c>
      <c r="C2102" s="21" t="s">
        <v>2966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01"/>
        <v>22</v>
      </c>
      <c r="R2102" s="53" t="str">
        <f t="shared" si="102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3">
        <f t="shared" si="100"/>
        <v>6</v>
      </c>
      <c r="Z2102" s="18">
        <v>46168</v>
      </c>
      <c r="AA2102" s="15"/>
      <c r="AB2102" s="15"/>
    </row>
    <row r="2103" spans="1:28">
      <c r="A2103" s="59">
        <v>46149</v>
      </c>
      <c r="B2103" s="3">
        <v>2026</v>
      </c>
      <c r="C2103" s="21" t="s">
        <v>2966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01"/>
        <v>23</v>
      </c>
      <c r="R2103" s="53" t="str">
        <f t="shared" si="102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3">
        <f t="shared" si="100"/>
        <v>19</v>
      </c>
      <c r="Z2103" s="18">
        <v>46168</v>
      </c>
      <c r="AA2103" s="15"/>
      <c r="AB2103" s="15"/>
    </row>
    <row r="2104" spans="1:28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01"/>
        <v>24</v>
      </c>
      <c r="R2104" s="53" t="str">
        <f t="shared" si="102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3">
        <f t="shared" si="100"/>
        <v>25</v>
      </c>
      <c r="Z2104" s="18">
        <v>46168</v>
      </c>
      <c r="AA2104" s="15"/>
      <c r="AB2104" s="15"/>
    </row>
    <row r="2105" spans="1:28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01"/>
        <v>24</v>
      </c>
      <c r="R2105" s="53" t="str">
        <f t="shared" si="102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3">
        <f t="shared" si="100"/>
        <v>25</v>
      </c>
      <c r="Z2105" s="18">
        <v>46168</v>
      </c>
      <c r="AA2105" s="15"/>
      <c r="AB2105" s="15"/>
    </row>
    <row r="2106" spans="1:28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01"/>
        <v>24</v>
      </c>
      <c r="R2106" s="53" t="str">
        <f t="shared" si="102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3">
        <f t="shared" si="100"/>
        <v>25</v>
      </c>
      <c r="Z2106" s="18">
        <v>46168</v>
      </c>
      <c r="AA2106" s="15"/>
      <c r="AB2106" s="15"/>
    </row>
    <row r="2107" spans="1:28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01"/>
        <v>24</v>
      </c>
      <c r="R2107" s="53" t="str">
        <f t="shared" si="102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3">
        <f t="shared" si="100"/>
        <v>25</v>
      </c>
      <c r="Z2107" s="18">
        <v>46168</v>
      </c>
      <c r="AA2107" s="15"/>
      <c r="AB2107" s="15"/>
    </row>
    <row r="2108" spans="1:28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01"/>
        <v>24</v>
      </c>
      <c r="R2108" s="53" t="str">
        <f t="shared" si="102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3">
        <f t="shared" si="100"/>
        <v>25</v>
      </c>
      <c r="Z2108" s="18">
        <v>46168</v>
      </c>
      <c r="AA2108" s="15"/>
      <c r="AB2108" s="15"/>
    </row>
    <row r="2109" spans="1:28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01"/>
        <v>24</v>
      </c>
      <c r="R2109" s="53" t="str">
        <f t="shared" si="102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3">
        <f t="shared" si="100"/>
        <v>25</v>
      </c>
      <c r="Z2109" s="18">
        <v>46168</v>
      </c>
      <c r="AA2109" s="15"/>
      <c r="AB2109" s="15"/>
    </row>
    <row r="2110" spans="1:28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01"/>
        <v>24</v>
      </c>
      <c r="R2110" s="53" t="str">
        <f t="shared" si="102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3">
        <f t="shared" si="100"/>
        <v>25</v>
      </c>
      <c r="Z2110" s="18">
        <v>46168</v>
      </c>
      <c r="AA2110" s="15"/>
      <c r="AB2110" s="15"/>
    </row>
    <row r="2111" spans="1:28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01"/>
        <v>24</v>
      </c>
      <c r="R2111" s="53" t="str">
        <f t="shared" si="102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3">
        <f t="shared" si="100"/>
        <v>25</v>
      </c>
      <c r="Z2111" s="18">
        <v>46168</v>
      </c>
      <c r="AA2111" s="15"/>
      <c r="AB2111" s="15"/>
    </row>
    <row r="2112" spans="1:28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01"/>
        <v>24</v>
      </c>
      <c r="R2112" s="53" t="str">
        <f t="shared" si="102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3">
        <f t="shared" si="100"/>
        <v>25</v>
      </c>
      <c r="Z2112" s="18">
        <v>46168</v>
      </c>
      <c r="AA2112" s="15"/>
      <c r="AB2112" s="15"/>
    </row>
    <row r="2113" spans="1:28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01"/>
        <v>24</v>
      </c>
      <c r="R2113" s="53" t="str">
        <f t="shared" si="102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3">
        <f t="shared" si="100"/>
        <v>25</v>
      </c>
      <c r="Z2113" s="18">
        <v>46168</v>
      </c>
      <c r="AA2113" s="15"/>
      <c r="AB2113" s="15"/>
    </row>
    <row r="2114" spans="1:28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01"/>
        <v>24</v>
      </c>
      <c r="R2114" s="53" t="str">
        <f t="shared" si="102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3">
        <f t="shared" ref="Y2114:Y2177" si="103">X2114-A2114</f>
        <v>25</v>
      </c>
      <c r="Z2114" s="18">
        <v>46168</v>
      </c>
      <c r="AA2114" s="15"/>
      <c r="AB2114" s="15"/>
    </row>
    <row r="2115" spans="1:28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01"/>
        <v>24</v>
      </c>
      <c r="R2115" s="53" t="str">
        <f t="shared" si="102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3">
        <f t="shared" si="103"/>
        <v>25</v>
      </c>
      <c r="Z2115" s="18">
        <v>46168</v>
      </c>
      <c r="AA2115" s="15"/>
      <c r="AB2115" s="15"/>
    </row>
    <row r="2116" spans="1:28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01"/>
        <v>24</v>
      </c>
      <c r="R2116" s="53" t="str">
        <f t="shared" si="102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3">
        <f t="shared" si="103"/>
        <v>25</v>
      </c>
      <c r="Z2116" s="18">
        <v>46168</v>
      </c>
      <c r="AA2116" s="15"/>
      <c r="AB2116" s="15"/>
    </row>
    <row r="2117" spans="1:28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01"/>
        <v>24</v>
      </c>
      <c r="R2117" s="53" t="str">
        <f t="shared" si="102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3">
        <f t="shared" si="103"/>
        <v>25</v>
      </c>
      <c r="Z2117" s="18">
        <v>46168</v>
      </c>
      <c r="AA2117" s="15"/>
      <c r="AB2117" s="15"/>
    </row>
    <row r="2118" spans="1:28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01"/>
        <v>24</v>
      </c>
      <c r="R2118" s="53" t="str">
        <f t="shared" si="102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3">
        <f t="shared" si="103"/>
        <v>25</v>
      </c>
      <c r="Z2118" s="18">
        <v>46168</v>
      </c>
      <c r="AA2118" s="15"/>
      <c r="AB2118" s="15"/>
    </row>
    <row r="2119" spans="1:28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01"/>
        <v>24</v>
      </c>
      <c r="R2119" s="53" t="str">
        <f t="shared" si="102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3">
        <f t="shared" si="103"/>
        <v>25</v>
      </c>
      <c r="Z2119" s="18">
        <v>46168</v>
      </c>
      <c r="AA2119" s="15"/>
      <c r="AB2119" s="15"/>
    </row>
    <row r="2120" spans="1:28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01"/>
        <v>24</v>
      </c>
      <c r="R2120" s="53" t="str">
        <f t="shared" si="102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3">
        <f t="shared" si="103"/>
        <v>25</v>
      </c>
      <c r="Z2120" s="18">
        <v>46168</v>
      </c>
      <c r="AA2120" s="15"/>
      <c r="AB2120" s="15"/>
    </row>
    <row r="2121" spans="1:28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01"/>
        <v>24</v>
      </c>
      <c r="R2121" s="53" t="str">
        <f t="shared" si="102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3">
        <f t="shared" si="103"/>
        <v>25</v>
      </c>
      <c r="Z2121" s="18">
        <v>46168</v>
      </c>
      <c r="AA2121" s="15"/>
      <c r="AB2121" s="15"/>
    </row>
    <row r="2122" spans="1:28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01"/>
        <v>24</v>
      </c>
      <c r="R2122" s="53" t="str">
        <f t="shared" si="102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3">
        <f t="shared" si="103"/>
        <v>25</v>
      </c>
      <c r="Z2122" s="18">
        <v>46168</v>
      </c>
      <c r="AA2122" s="15"/>
      <c r="AB2122" s="15"/>
    </row>
    <row r="2123" spans="1:28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01"/>
        <v>24</v>
      </c>
      <c r="R2123" s="53" t="str">
        <f t="shared" si="102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3">
        <f t="shared" si="103"/>
        <v>25</v>
      </c>
      <c r="Z2123" s="18">
        <v>46168</v>
      </c>
      <c r="AA2123" s="15"/>
      <c r="AB2123" s="15"/>
    </row>
    <row r="2124" spans="1:28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01"/>
        <v>24</v>
      </c>
      <c r="R2124" s="53" t="str">
        <f t="shared" si="102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3">
        <f t="shared" si="103"/>
        <v>25</v>
      </c>
      <c r="Z2124" s="18">
        <v>46168</v>
      </c>
      <c r="AA2124" s="15"/>
      <c r="AB2124" s="15"/>
    </row>
    <row r="2125" spans="1:28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01"/>
        <v>24</v>
      </c>
      <c r="R2125" s="53" t="str">
        <f t="shared" si="102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3">
        <f t="shared" si="103"/>
        <v>25</v>
      </c>
      <c r="Z2125" s="18">
        <v>46168</v>
      </c>
      <c r="AA2125" s="15"/>
      <c r="AB2125" s="15"/>
    </row>
    <row r="2126" spans="1:28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01"/>
        <v>24</v>
      </c>
      <c r="R2126" s="53" t="str">
        <f t="shared" si="102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3">
        <f t="shared" si="103"/>
        <v>25</v>
      </c>
      <c r="Z2126" s="18">
        <v>46168</v>
      </c>
      <c r="AA2126" s="15"/>
      <c r="AB2126" s="15"/>
    </row>
    <row r="2127" spans="1:28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01"/>
        <v>24</v>
      </c>
      <c r="R2127" s="53" t="str">
        <f t="shared" si="102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3">
        <f t="shared" si="103"/>
        <v>25</v>
      </c>
      <c r="Z2127" s="18">
        <v>46168</v>
      </c>
      <c r="AA2127" s="15"/>
      <c r="AB2127" s="15"/>
    </row>
    <row r="2128" spans="1:28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01"/>
        <v>24</v>
      </c>
      <c r="R2128" s="53" t="str">
        <f t="shared" si="102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3">
        <f t="shared" si="103"/>
        <v>25</v>
      </c>
      <c r="Z2128" s="18">
        <v>46168</v>
      </c>
      <c r="AA2128" s="15"/>
      <c r="AB2128" s="15"/>
    </row>
    <row r="2129" spans="1:28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01"/>
        <v>24</v>
      </c>
      <c r="R2129" s="53" t="str">
        <f t="shared" si="102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3">
        <f t="shared" si="103"/>
        <v>25</v>
      </c>
      <c r="Z2129" s="18">
        <v>46168</v>
      </c>
      <c r="AA2129" s="15"/>
      <c r="AB2129" s="15"/>
    </row>
    <row r="2130" spans="1:28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01"/>
        <v>24</v>
      </c>
      <c r="R2130" s="53" t="str">
        <f t="shared" si="102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3">
        <f t="shared" si="103"/>
        <v>25</v>
      </c>
      <c r="Z2130" s="18">
        <v>46168</v>
      </c>
      <c r="AA2130" s="15"/>
      <c r="AB2130" s="15"/>
    </row>
    <row r="2131" spans="1:28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01"/>
        <v>24</v>
      </c>
      <c r="R2131" s="53" t="str">
        <f t="shared" si="102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3">
        <f t="shared" si="103"/>
        <v>25</v>
      </c>
      <c r="Z2131" s="18">
        <v>46168</v>
      </c>
      <c r="AA2131" s="15"/>
      <c r="AB2131" s="15"/>
    </row>
    <row r="2132" spans="1:28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01"/>
        <v>24</v>
      </c>
      <c r="R2132" s="53" t="str">
        <f t="shared" si="102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3">
        <f t="shared" si="103"/>
        <v>25</v>
      </c>
      <c r="Z2132" s="18">
        <v>46168</v>
      </c>
      <c r="AA2132" s="15"/>
      <c r="AB2132" s="15"/>
    </row>
    <row r="2133" spans="1:28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01"/>
        <v>24</v>
      </c>
      <c r="R2133" s="53" t="str">
        <f t="shared" si="102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3">
        <f t="shared" si="103"/>
        <v>25</v>
      </c>
      <c r="Z2133" s="18">
        <v>46168</v>
      </c>
      <c r="AA2133" s="15"/>
      <c r="AB2133" s="15"/>
    </row>
    <row r="2134" spans="1:28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01"/>
        <v>24</v>
      </c>
      <c r="R2134" s="53" t="str">
        <f t="shared" si="102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3">
        <f t="shared" si="103"/>
        <v>25</v>
      </c>
      <c r="Z2134" s="18">
        <v>46168</v>
      </c>
      <c r="AA2134" s="15"/>
      <c r="AB2134" s="15"/>
    </row>
    <row r="2135" spans="1:28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01"/>
        <v>24</v>
      </c>
      <c r="R2135" s="53" t="str">
        <f t="shared" si="102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3">
        <f t="shared" si="103"/>
        <v>25</v>
      </c>
      <c r="Z2135" s="18">
        <v>46168</v>
      </c>
      <c r="AA2135" s="15"/>
      <c r="AB2135" s="15"/>
    </row>
    <row r="2136" spans="1:28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01"/>
        <v>24</v>
      </c>
      <c r="R2136" s="53" t="str">
        <f t="shared" si="102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3">
        <f t="shared" si="103"/>
        <v>25</v>
      </c>
      <c r="Z2136" s="18">
        <v>46168</v>
      </c>
      <c r="AA2136" s="15"/>
      <c r="AB2136" s="15"/>
    </row>
    <row r="2137" spans="1:28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01"/>
        <v>24</v>
      </c>
      <c r="R2137" s="53" t="str">
        <f t="shared" si="102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3">
        <f t="shared" si="103"/>
        <v>25</v>
      </c>
      <c r="Z2137" s="18">
        <v>46168</v>
      </c>
      <c r="AA2137" s="15"/>
      <c r="AB2137" s="15"/>
    </row>
    <row r="2138" spans="1:28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01"/>
        <v>24</v>
      </c>
      <c r="R2138" s="53" t="str">
        <f t="shared" si="102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3">
        <f t="shared" si="103"/>
        <v>25</v>
      </c>
      <c r="Z2138" s="18">
        <v>46168</v>
      </c>
      <c r="AA2138" s="15"/>
      <c r="AB2138" s="15"/>
    </row>
    <row r="2139" spans="1:28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01"/>
        <v>24</v>
      </c>
      <c r="R2139" s="53" t="str">
        <f t="shared" si="102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3">
        <f t="shared" si="103"/>
        <v>25</v>
      </c>
      <c r="Z2139" s="18">
        <v>46168</v>
      </c>
      <c r="AA2139" s="15"/>
      <c r="AB2139" s="15"/>
    </row>
    <row r="2140" spans="1:28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01"/>
        <v>24</v>
      </c>
      <c r="R2140" s="53" t="str">
        <f t="shared" si="102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3">
        <f t="shared" si="103"/>
        <v>25</v>
      </c>
      <c r="Z2140" s="18">
        <v>46168</v>
      </c>
      <c r="AA2140" s="15"/>
      <c r="AB2140" s="15"/>
    </row>
    <row r="2141" spans="1:28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01"/>
        <v>24</v>
      </c>
      <c r="R2141" s="53" t="str">
        <f t="shared" si="102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3">
        <f t="shared" si="103"/>
        <v>25</v>
      </c>
      <c r="Z2141" s="18">
        <v>46168</v>
      </c>
      <c r="AA2141" s="15"/>
      <c r="AB2141" s="15"/>
    </row>
    <row r="2142" spans="1:28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01"/>
        <v>24</v>
      </c>
      <c r="R2142" s="53" t="str">
        <f t="shared" si="102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3">
        <f t="shared" si="103"/>
        <v>25</v>
      </c>
      <c r="Z2142" s="18">
        <v>46168</v>
      </c>
      <c r="AA2142" s="15"/>
      <c r="AB2142" s="15"/>
    </row>
    <row r="2143" spans="1:28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01"/>
        <v>24</v>
      </c>
      <c r="R2143" s="53" t="str">
        <f t="shared" si="102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3">
        <f t="shared" si="103"/>
        <v>25</v>
      </c>
      <c r="Z2143" s="18">
        <v>46168</v>
      </c>
      <c r="AA2143" s="15"/>
      <c r="AB2143" s="15"/>
    </row>
    <row r="2144" spans="1:28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01"/>
        <v>24</v>
      </c>
      <c r="R2144" s="53" t="str">
        <f t="shared" si="102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3">
        <f t="shared" si="103"/>
        <v>25</v>
      </c>
      <c r="Z2144" s="18">
        <v>46168</v>
      </c>
      <c r="AA2144" s="15"/>
      <c r="AB2144" s="15"/>
    </row>
    <row r="2145" spans="1:28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01"/>
        <v>24</v>
      </c>
      <c r="R2145" s="53" t="str">
        <f t="shared" si="102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3">
        <f t="shared" si="103"/>
        <v>25</v>
      </c>
      <c r="Z2145" s="18">
        <v>46168</v>
      </c>
      <c r="AA2145" s="15"/>
      <c r="AB2145" s="15"/>
    </row>
    <row r="2146" spans="1:28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01"/>
        <v>24</v>
      </c>
      <c r="R2146" s="53" t="str">
        <f t="shared" si="102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3">
        <f t="shared" si="103"/>
        <v>25</v>
      </c>
      <c r="Z2146" s="18">
        <v>46168</v>
      </c>
      <c r="AA2146" s="15"/>
      <c r="AB2146" s="15"/>
    </row>
    <row r="2147" spans="1:28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01"/>
        <v>24</v>
      </c>
      <c r="R2147" s="53" t="str">
        <f t="shared" si="102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3">
        <f t="shared" si="103"/>
        <v>25</v>
      </c>
      <c r="Z2147" s="18">
        <v>46168</v>
      </c>
      <c r="AA2147" s="15"/>
      <c r="AB2147" s="15"/>
    </row>
    <row r="2148" spans="1:28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01"/>
        <v>24</v>
      </c>
      <c r="R2148" s="53" t="str">
        <f t="shared" si="102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3">
        <f t="shared" si="103"/>
        <v>25</v>
      </c>
      <c r="Z2148" s="18">
        <v>46168</v>
      </c>
      <c r="AA2148" s="15"/>
      <c r="AB2148" s="15"/>
    </row>
    <row r="2149" spans="1:28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01"/>
        <v>24</v>
      </c>
      <c r="R2149" s="53" t="str">
        <f t="shared" si="102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3">
        <f t="shared" si="103"/>
        <v>25</v>
      </c>
      <c r="Z2149" s="18">
        <v>46168</v>
      </c>
      <c r="AA2149" s="15"/>
      <c r="AB2149" s="15"/>
    </row>
    <row r="2150" spans="1:28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01"/>
        <v>24</v>
      </c>
      <c r="R2150" s="53" t="str">
        <f t="shared" si="102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3">
        <f t="shared" si="103"/>
        <v>25</v>
      </c>
      <c r="Z2150" s="18">
        <v>46168</v>
      </c>
      <c r="AA2150" s="15"/>
      <c r="AB2150" s="15"/>
    </row>
    <row r="2151" spans="1:28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04">MID(P2151,5,2)</f>
        <v>24</v>
      </c>
      <c r="R2151" s="53" t="str">
        <f t="shared" ref="R2151:R2214" si="105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3">
        <f t="shared" si="103"/>
        <v>25</v>
      </c>
      <c r="Z2151" s="18">
        <v>46168</v>
      </c>
      <c r="AA2151" s="15"/>
      <c r="AB2151" s="15"/>
    </row>
    <row r="2152" spans="1:28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04"/>
        <v>24</v>
      </c>
      <c r="R2152" s="53" t="str">
        <f t="shared" si="105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3">
        <f t="shared" si="103"/>
        <v>25</v>
      </c>
      <c r="Z2152" s="18">
        <v>46168</v>
      </c>
      <c r="AA2152" s="15"/>
      <c r="AB2152" s="15"/>
    </row>
    <row r="2153" spans="1:28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04"/>
        <v>24</v>
      </c>
      <c r="R2153" s="53" t="str">
        <f t="shared" si="105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3">
        <f t="shared" si="103"/>
        <v>25</v>
      </c>
      <c r="Z2153" s="18">
        <v>46168</v>
      </c>
      <c r="AA2153" s="15"/>
      <c r="AB2153" s="15"/>
    </row>
    <row r="2154" spans="1:28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04"/>
        <v>24</v>
      </c>
      <c r="R2154" s="53" t="str">
        <f t="shared" si="105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3">
        <f t="shared" si="103"/>
        <v>25</v>
      </c>
      <c r="Z2154" s="18">
        <v>46168</v>
      </c>
      <c r="AA2154" s="15"/>
      <c r="AB2154" s="15"/>
    </row>
    <row r="2155" spans="1:28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04"/>
        <v>24</v>
      </c>
      <c r="R2155" s="53" t="str">
        <f t="shared" si="105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3">
        <f t="shared" si="103"/>
        <v>25</v>
      </c>
      <c r="Z2155" s="18">
        <v>46168</v>
      </c>
      <c r="AA2155" s="15"/>
      <c r="AB2155" s="15"/>
    </row>
    <row r="2156" spans="1:28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04"/>
        <v>24</v>
      </c>
      <c r="R2156" s="53" t="str">
        <f t="shared" si="105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3">
        <f t="shared" si="103"/>
        <v>25</v>
      </c>
      <c r="Z2156" s="18">
        <v>46168</v>
      </c>
      <c r="AA2156" s="15"/>
      <c r="AB2156" s="15"/>
    </row>
    <row r="2157" spans="1:28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04"/>
        <v>24</v>
      </c>
      <c r="R2157" s="53" t="str">
        <f t="shared" si="105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3">
        <f t="shared" si="103"/>
        <v>25</v>
      </c>
      <c r="Z2157" s="18">
        <v>46168</v>
      </c>
      <c r="AA2157" s="15"/>
      <c r="AB2157" s="15"/>
    </row>
    <row r="2158" spans="1:28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04"/>
        <v>24</v>
      </c>
      <c r="R2158" s="53" t="str">
        <f t="shared" si="105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3">
        <f t="shared" si="103"/>
        <v>25</v>
      </c>
      <c r="Z2158" s="18">
        <v>46168</v>
      </c>
      <c r="AA2158" s="15"/>
      <c r="AB2158" s="15"/>
    </row>
    <row r="2159" spans="1:28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04"/>
        <v>24</v>
      </c>
      <c r="R2159" s="53" t="str">
        <f t="shared" si="105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3">
        <f t="shared" si="103"/>
        <v>26</v>
      </c>
      <c r="Z2159" s="18">
        <v>46169</v>
      </c>
      <c r="AA2159" s="15"/>
      <c r="AB2159" s="15"/>
    </row>
    <row r="2160" spans="1:28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04"/>
        <v>24</v>
      </c>
      <c r="R2160" s="53" t="str">
        <f t="shared" si="105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3">
        <f t="shared" si="103"/>
        <v>26</v>
      </c>
      <c r="Z2160" s="18">
        <v>46169</v>
      </c>
      <c r="AA2160" s="15"/>
      <c r="AB2160" s="15"/>
    </row>
    <row r="2161" spans="1:28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04"/>
        <v>24</v>
      </c>
      <c r="R2161" s="53" t="str">
        <f t="shared" si="105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3">
        <f t="shared" si="103"/>
        <v>26</v>
      </c>
      <c r="Z2161" s="18">
        <v>46169</v>
      </c>
      <c r="AA2161" s="15"/>
      <c r="AB2161" s="15"/>
    </row>
    <row r="2162" spans="1:28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04"/>
        <v>24</v>
      </c>
      <c r="R2162" s="53" t="str">
        <f t="shared" si="105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3">
        <f t="shared" si="103"/>
        <v>26</v>
      </c>
      <c r="Z2162" s="18">
        <v>46169</v>
      </c>
      <c r="AA2162" s="15"/>
      <c r="AB2162" s="15"/>
    </row>
    <row r="2163" spans="1:28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04"/>
        <v>24</v>
      </c>
      <c r="R2163" s="53" t="str">
        <f t="shared" si="105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3">
        <f t="shared" si="103"/>
        <v>26</v>
      </c>
      <c r="Z2163" s="18">
        <v>46169</v>
      </c>
      <c r="AA2163" s="15"/>
      <c r="AB2163" s="15"/>
    </row>
    <row r="2164" spans="1:28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04"/>
        <v>24</v>
      </c>
      <c r="R2164" s="53" t="str">
        <f t="shared" si="105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3">
        <f t="shared" si="103"/>
        <v>26</v>
      </c>
      <c r="Z2164" s="18">
        <v>46169</v>
      </c>
      <c r="AA2164" s="15"/>
      <c r="AB2164" s="15"/>
    </row>
    <row r="2165" spans="1:28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04"/>
        <v>24</v>
      </c>
      <c r="R2165" s="53" t="str">
        <f t="shared" si="105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3">
        <f t="shared" si="103"/>
        <v>26</v>
      </c>
      <c r="Z2165" s="18">
        <v>46169</v>
      </c>
      <c r="AA2165" s="15"/>
      <c r="AB2165" s="15"/>
    </row>
    <row r="2166" spans="1:28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04"/>
        <v>24</v>
      </c>
      <c r="R2166" s="53" t="str">
        <f t="shared" si="105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3">
        <f t="shared" si="103"/>
        <v>26</v>
      </c>
      <c r="Z2166" s="18">
        <v>46169</v>
      </c>
      <c r="AA2166" s="15"/>
      <c r="AB2166" s="15"/>
    </row>
    <row r="2167" spans="1:28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04"/>
        <v>24</v>
      </c>
      <c r="R2167" s="53" t="str">
        <f t="shared" si="105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3">
        <f t="shared" si="103"/>
        <v>26</v>
      </c>
      <c r="Z2167" s="18">
        <v>46169</v>
      </c>
      <c r="AA2167" s="15"/>
      <c r="AB2167" s="15"/>
    </row>
    <row r="2168" spans="1:28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04"/>
        <v>24</v>
      </c>
      <c r="R2168" s="53" t="str">
        <f t="shared" si="105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3">
        <f t="shared" si="103"/>
        <v>26</v>
      </c>
      <c r="Z2168" s="18">
        <v>46169</v>
      </c>
      <c r="AA2168" s="15"/>
      <c r="AB2168" s="15"/>
    </row>
    <row r="2169" spans="1:28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04"/>
        <v>24</v>
      </c>
      <c r="R2169" s="53" t="str">
        <f t="shared" si="105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3">
        <f t="shared" si="103"/>
        <v>26</v>
      </c>
      <c r="Z2169" s="18">
        <v>46169</v>
      </c>
      <c r="AA2169" s="15"/>
      <c r="AB2169" s="15"/>
    </row>
    <row r="2170" spans="1:28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04"/>
        <v>24</v>
      </c>
      <c r="R2170" s="53" t="str">
        <f t="shared" si="105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3">
        <f t="shared" si="103"/>
        <v>26</v>
      </c>
      <c r="Z2170" s="18">
        <v>46169</v>
      </c>
      <c r="AA2170" s="15"/>
      <c r="AB2170" s="15"/>
    </row>
    <row r="2171" spans="1:28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04"/>
        <v>24</v>
      </c>
      <c r="R2171" s="53" t="str">
        <f t="shared" si="105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3">
        <f t="shared" si="103"/>
        <v>26</v>
      </c>
      <c r="Z2171" s="18">
        <v>46169</v>
      </c>
      <c r="AA2171" s="15"/>
      <c r="AB2171" s="15"/>
    </row>
    <row r="2172" spans="1:28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04"/>
        <v>24</v>
      </c>
      <c r="R2172" s="53" t="str">
        <f t="shared" si="105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3">
        <f t="shared" si="103"/>
        <v>26</v>
      </c>
      <c r="Z2172" s="18">
        <v>46169</v>
      </c>
      <c r="AA2172" s="15"/>
      <c r="AB2172" s="15"/>
    </row>
    <row r="2173" spans="1:28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04"/>
        <v>24</v>
      </c>
      <c r="R2173" s="53" t="str">
        <f t="shared" si="105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3">
        <f t="shared" si="103"/>
        <v>26</v>
      </c>
      <c r="Z2173" s="18">
        <v>46169</v>
      </c>
      <c r="AA2173" s="15"/>
      <c r="AB2173" s="15"/>
    </row>
    <row r="2174" spans="1:28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04"/>
        <v>24</v>
      </c>
      <c r="R2174" s="53" t="str">
        <f t="shared" si="105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3">
        <f t="shared" si="103"/>
        <v>26</v>
      </c>
      <c r="Z2174" s="18">
        <v>46169</v>
      </c>
      <c r="AA2174" s="15"/>
      <c r="AB2174" s="15"/>
    </row>
    <row r="2175" spans="1:28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04"/>
        <v>24</v>
      </c>
      <c r="R2175" s="53" t="str">
        <f t="shared" si="105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3">
        <f t="shared" si="103"/>
        <v>26</v>
      </c>
      <c r="Z2175" s="18">
        <v>46169</v>
      </c>
      <c r="AA2175" s="15"/>
      <c r="AB2175" s="15"/>
    </row>
    <row r="2176" spans="1:28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04"/>
        <v>24</v>
      </c>
      <c r="R2176" s="53" t="str">
        <f t="shared" si="105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3">
        <f t="shared" si="103"/>
        <v>26</v>
      </c>
      <c r="Z2176" s="18">
        <v>46169</v>
      </c>
      <c r="AA2176" s="15"/>
      <c r="AB2176" s="15"/>
    </row>
    <row r="2177" spans="1:28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04"/>
        <v>24</v>
      </c>
      <c r="R2177" s="53" t="str">
        <f t="shared" si="105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3">
        <f t="shared" si="103"/>
        <v>26</v>
      </c>
      <c r="Z2177" s="18">
        <v>46169</v>
      </c>
      <c r="AA2177" s="15"/>
      <c r="AB2177" s="15"/>
    </row>
    <row r="2178" spans="1:28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04"/>
        <v>24</v>
      </c>
      <c r="R2178" s="53" t="str">
        <f t="shared" si="105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3">
        <f t="shared" ref="Y2178:Y2241" si="106">X2178-A2178</f>
        <v>26</v>
      </c>
      <c r="Z2178" s="18">
        <v>46169</v>
      </c>
      <c r="AA2178" s="15"/>
      <c r="AB2178" s="15"/>
    </row>
    <row r="2179" spans="1:28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04"/>
        <v>24</v>
      </c>
      <c r="R2179" s="53" t="str">
        <f t="shared" si="105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3">
        <f t="shared" si="106"/>
        <v>26</v>
      </c>
      <c r="Z2179" s="18">
        <v>46169</v>
      </c>
      <c r="AA2179" s="15"/>
      <c r="AB2179" s="15"/>
    </row>
    <row r="2180" spans="1:28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04"/>
        <v>24</v>
      </c>
      <c r="R2180" s="53" t="str">
        <f t="shared" si="105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3">
        <f t="shared" si="106"/>
        <v>26</v>
      </c>
      <c r="Z2180" s="18">
        <v>46169</v>
      </c>
      <c r="AA2180" s="15"/>
      <c r="AB2180" s="15"/>
    </row>
    <row r="2181" spans="1:28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04"/>
        <v>24</v>
      </c>
      <c r="R2181" s="53" t="str">
        <f t="shared" si="105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3">
        <f t="shared" si="106"/>
        <v>26</v>
      </c>
      <c r="Z2181" s="18">
        <v>46169</v>
      </c>
      <c r="AA2181" s="15"/>
      <c r="AB2181" s="15"/>
    </row>
    <row r="2182" spans="1:28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04"/>
        <v>24</v>
      </c>
      <c r="R2182" s="53" t="str">
        <f t="shared" si="105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3">
        <f t="shared" si="106"/>
        <v>26</v>
      </c>
      <c r="Z2182" s="18">
        <v>46169</v>
      </c>
      <c r="AA2182" s="15"/>
      <c r="AB2182" s="15"/>
    </row>
    <row r="2183" spans="1:28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04"/>
        <v>23</v>
      </c>
      <c r="R2183" s="53" t="str">
        <f t="shared" si="105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3">
        <f t="shared" si="106"/>
        <v>21</v>
      </c>
      <c r="Z2183" s="18">
        <v>46169</v>
      </c>
      <c r="AA2183" s="15"/>
      <c r="AB2183" s="15"/>
    </row>
    <row r="2184" spans="1:28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04"/>
        <v>23</v>
      </c>
      <c r="R2184" s="53" t="str">
        <f t="shared" si="105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3">
        <f t="shared" si="106"/>
        <v>21</v>
      </c>
      <c r="Z2184" s="18">
        <v>46169</v>
      </c>
      <c r="AA2184" s="15"/>
      <c r="AB2184" s="15"/>
    </row>
    <row r="2185" spans="1:28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04"/>
        <v>23</v>
      </c>
      <c r="R2185" s="53" t="str">
        <f t="shared" si="105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3">
        <f t="shared" si="106"/>
        <v>21</v>
      </c>
      <c r="Z2185" s="18">
        <v>46169</v>
      </c>
      <c r="AA2185" s="15"/>
      <c r="AB2185" s="15"/>
    </row>
    <row r="2186" spans="1:28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04"/>
        <v>23</v>
      </c>
      <c r="R2186" s="53" t="str">
        <f t="shared" si="105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3">
        <f t="shared" si="106"/>
        <v>21</v>
      </c>
      <c r="Z2186" s="18">
        <v>46169</v>
      </c>
      <c r="AA2186" s="15"/>
      <c r="AB2186" s="15"/>
    </row>
    <row r="2187" spans="1:28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04"/>
        <v>23</v>
      </c>
      <c r="R2187" s="53" t="str">
        <f t="shared" si="105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3">
        <f t="shared" si="106"/>
        <v>21</v>
      </c>
      <c r="Z2187" s="18">
        <v>46169</v>
      </c>
      <c r="AA2187" s="15"/>
      <c r="AB2187" s="15"/>
    </row>
    <row r="2188" spans="1:28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04"/>
        <v>23</v>
      </c>
      <c r="R2188" s="53" t="str">
        <f t="shared" si="105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3">
        <f t="shared" si="106"/>
        <v>21</v>
      </c>
      <c r="Z2188" s="18">
        <v>46169</v>
      </c>
      <c r="AA2188" s="15"/>
      <c r="AB2188" s="15"/>
    </row>
    <row r="2189" spans="1:28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04"/>
        <v>23</v>
      </c>
      <c r="R2189" s="53" t="str">
        <f t="shared" si="105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3">
        <f t="shared" si="106"/>
        <v>21</v>
      </c>
      <c r="Z2189" s="18">
        <v>46169</v>
      </c>
      <c r="AA2189" s="15"/>
      <c r="AB2189" s="15"/>
    </row>
    <row r="2190" spans="1:28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04"/>
        <v>23</v>
      </c>
      <c r="R2190" s="53" t="str">
        <f t="shared" si="105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3">
        <f t="shared" si="106"/>
        <v>21</v>
      </c>
      <c r="Z2190" s="18">
        <v>46169</v>
      </c>
      <c r="AA2190" s="15"/>
      <c r="AB2190" s="15"/>
    </row>
    <row r="2191" spans="1:28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04"/>
        <v>23</v>
      </c>
      <c r="R2191" s="53" t="str">
        <f t="shared" si="105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3">
        <f t="shared" si="106"/>
        <v>21</v>
      </c>
      <c r="Z2191" s="18">
        <v>46169</v>
      </c>
      <c r="AA2191" s="15"/>
      <c r="AB2191" s="15"/>
    </row>
    <row r="2192" spans="1:28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04"/>
        <v>23</v>
      </c>
      <c r="R2192" s="53" t="str">
        <f t="shared" si="105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3">
        <f t="shared" si="106"/>
        <v>21</v>
      </c>
      <c r="Z2192" s="18">
        <v>46169</v>
      </c>
      <c r="AA2192" s="15"/>
      <c r="AB2192" s="15"/>
    </row>
    <row r="2193" spans="1:28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04"/>
        <v>23</v>
      </c>
      <c r="R2193" s="53" t="str">
        <f t="shared" si="105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3">
        <f t="shared" si="106"/>
        <v>21</v>
      </c>
      <c r="Z2193" s="18">
        <v>46169</v>
      </c>
      <c r="AA2193" s="15"/>
      <c r="AB2193" s="15"/>
    </row>
    <row r="2194" spans="1:28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04"/>
        <v>23</v>
      </c>
      <c r="R2194" s="53" t="str">
        <f t="shared" si="105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3">
        <f t="shared" si="106"/>
        <v>21</v>
      </c>
      <c r="Z2194" s="18">
        <v>46169</v>
      </c>
      <c r="AA2194" s="15"/>
      <c r="AB2194" s="15"/>
    </row>
    <row r="2195" spans="1:28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04"/>
        <v>23</v>
      </c>
      <c r="R2195" s="53" t="str">
        <f t="shared" si="105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3">
        <f t="shared" si="106"/>
        <v>21</v>
      </c>
      <c r="Z2195" s="18">
        <v>46169</v>
      </c>
      <c r="AA2195" s="15"/>
      <c r="AB2195" s="15"/>
    </row>
    <row r="2196" spans="1:28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04"/>
        <v>23</v>
      </c>
      <c r="R2196" s="53" t="str">
        <f t="shared" si="105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3">
        <f t="shared" si="106"/>
        <v>21</v>
      </c>
      <c r="Z2196" s="18">
        <v>46169</v>
      </c>
      <c r="AA2196" s="15"/>
      <c r="AB2196" s="15"/>
    </row>
    <row r="2197" spans="1:28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04"/>
        <v>23</v>
      </c>
      <c r="R2197" s="53" t="str">
        <f t="shared" si="105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3">
        <f t="shared" si="106"/>
        <v>21</v>
      </c>
      <c r="Z2197" s="18">
        <v>46169</v>
      </c>
      <c r="AA2197" s="15"/>
      <c r="AB2197" s="15"/>
    </row>
    <row r="2198" spans="1:28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04"/>
        <v>23</v>
      </c>
      <c r="R2198" s="53" t="str">
        <f t="shared" si="105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3">
        <f t="shared" si="106"/>
        <v>21</v>
      </c>
      <c r="Z2198" s="18">
        <v>46169</v>
      </c>
      <c r="AA2198" s="15"/>
      <c r="AB2198" s="15"/>
    </row>
    <row r="2199" spans="1:28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04"/>
        <v>23</v>
      </c>
      <c r="R2199" s="53" t="str">
        <f t="shared" si="105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3">
        <f t="shared" si="106"/>
        <v>21</v>
      </c>
      <c r="Z2199" s="18">
        <v>46169</v>
      </c>
      <c r="AA2199" s="15"/>
      <c r="AB2199" s="15"/>
    </row>
    <row r="2200" spans="1:28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04"/>
        <v>23</v>
      </c>
      <c r="R2200" s="53" t="str">
        <f t="shared" si="105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3">
        <f t="shared" si="106"/>
        <v>21</v>
      </c>
      <c r="Z2200" s="18">
        <v>46169</v>
      </c>
      <c r="AA2200" s="15"/>
      <c r="AB2200" s="15"/>
    </row>
    <row r="2201" spans="1:28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04"/>
        <v>23</v>
      </c>
      <c r="R2201" s="53" t="str">
        <f t="shared" si="105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3">
        <f t="shared" si="106"/>
        <v>21</v>
      </c>
      <c r="Z2201" s="18">
        <v>46169</v>
      </c>
      <c r="AA2201" s="15"/>
      <c r="AB2201" s="15"/>
    </row>
    <row r="2202" spans="1:28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04"/>
        <v>23</v>
      </c>
      <c r="R2202" s="53" t="str">
        <f t="shared" si="105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3">
        <f t="shared" si="106"/>
        <v>21</v>
      </c>
      <c r="Z2202" s="18">
        <v>46169</v>
      </c>
      <c r="AA2202" s="15"/>
      <c r="AB2202" s="15"/>
    </row>
    <row r="2203" spans="1:28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04"/>
        <v>23</v>
      </c>
      <c r="R2203" s="53" t="str">
        <f t="shared" si="105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3">
        <f t="shared" si="106"/>
        <v>21</v>
      </c>
      <c r="Z2203" s="18">
        <v>46169</v>
      </c>
      <c r="AA2203" s="15"/>
      <c r="AB2203" s="15"/>
    </row>
    <row r="2204" spans="1:28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04"/>
        <v>23</v>
      </c>
      <c r="R2204" s="53" t="str">
        <f t="shared" si="105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3">
        <f t="shared" si="106"/>
        <v>21</v>
      </c>
      <c r="Z2204" s="18">
        <v>46169</v>
      </c>
      <c r="AA2204" s="15"/>
      <c r="AB2204" s="15"/>
    </row>
    <row r="2205" spans="1:28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04"/>
        <v>23</v>
      </c>
      <c r="R2205" s="53" t="str">
        <f t="shared" si="105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3">
        <f t="shared" si="106"/>
        <v>21</v>
      </c>
      <c r="Z2205" s="18">
        <v>46169</v>
      </c>
      <c r="AA2205" s="15"/>
      <c r="AB2205" s="15"/>
    </row>
    <row r="2206" spans="1:28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04"/>
        <v>23</v>
      </c>
      <c r="R2206" s="53" t="str">
        <f t="shared" si="105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3">
        <f t="shared" si="106"/>
        <v>21</v>
      </c>
      <c r="Z2206" s="18">
        <v>46169</v>
      </c>
      <c r="AA2206" s="15"/>
      <c r="AB2206" s="15"/>
    </row>
    <row r="2207" spans="1:28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04"/>
        <v>23</v>
      </c>
      <c r="R2207" s="53" t="str">
        <f t="shared" si="105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3">
        <f t="shared" si="106"/>
        <v>21</v>
      </c>
      <c r="Z2207" s="18">
        <v>46169</v>
      </c>
      <c r="AA2207" s="15"/>
      <c r="AB2207" s="15"/>
    </row>
    <row r="2208" spans="1:28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04"/>
        <v>23</v>
      </c>
      <c r="R2208" s="53" t="str">
        <f t="shared" si="105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3">
        <f t="shared" si="106"/>
        <v>21</v>
      </c>
      <c r="Z2208" s="18">
        <v>46169</v>
      </c>
      <c r="AA2208" s="15"/>
      <c r="AB2208" s="15"/>
    </row>
    <row r="2209" spans="1:28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04"/>
        <v>23</v>
      </c>
      <c r="R2209" s="53" t="str">
        <f t="shared" si="105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3">
        <f t="shared" si="106"/>
        <v>21</v>
      </c>
      <c r="Z2209" s="18">
        <v>46169</v>
      </c>
      <c r="AA2209" s="15"/>
      <c r="AB2209" s="15"/>
    </row>
    <row r="2210" spans="1:28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04"/>
        <v>23</v>
      </c>
      <c r="R2210" s="53" t="str">
        <f t="shared" si="105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3">
        <f t="shared" si="106"/>
        <v>21</v>
      </c>
      <c r="Z2210" s="18">
        <v>46169</v>
      </c>
      <c r="AA2210" s="15"/>
      <c r="AB2210" s="15"/>
    </row>
    <row r="2211" spans="1:28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04"/>
        <v>23</v>
      </c>
      <c r="R2211" s="53" t="str">
        <f t="shared" si="105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3">
        <f t="shared" si="106"/>
        <v>21</v>
      </c>
      <c r="Z2211" s="18">
        <v>46169</v>
      </c>
      <c r="AA2211" s="15"/>
      <c r="AB2211" s="15"/>
    </row>
    <row r="2212" spans="1:28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04"/>
        <v>23</v>
      </c>
      <c r="R2212" s="53" t="str">
        <f t="shared" si="105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3">
        <f t="shared" si="106"/>
        <v>21</v>
      </c>
      <c r="Z2212" s="18">
        <v>46169</v>
      </c>
      <c r="AA2212" s="15"/>
      <c r="AB2212" s="15"/>
    </row>
    <row r="2213" spans="1:28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04"/>
        <v>23</v>
      </c>
      <c r="R2213" s="53" t="str">
        <f t="shared" si="105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3">
        <f t="shared" si="106"/>
        <v>21</v>
      </c>
      <c r="Z2213" s="18">
        <v>46169</v>
      </c>
      <c r="AA2213" s="15"/>
      <c r="AB2213" s="15"/>
    </row>
    <row r="2214" spans="1:28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04"/>
        <v>23</v>
      </c>
      <c r="R2214" s="53" t="str">
        <f t="shared" si="105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3">
        <f t="shared" si="106"/>
        <v>21</v>
      </c>
      <c r="Z2214" s="18">
        <v>46169</v>
      </c>
      <c r="AA2214" s="15"/>
      <c r="AB2214" s="15"/>
    </row>
    <row r="2215" spans="1:28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07">MID(P2215,5,2)</f>
        <v>23</v>
      </c>
      <c r="R2215" s="53" t="str">
        <f t="shared" ref="R2215:R2278" si="108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3">
        <f t="shared" si="106"/>
        <v>21</v>
      </c>
      <c r="Z2215" s="18">
        <v>46169</v>
      </c>
      <c r="AA2215" s="15"/>
      <c r="AB2215" s="15"/>
    </row>
    <row r="2216" spans="1:28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07"/>
        <v>23</v>
      </c>
      <c r="R2216" s="53" t="str">
        <f t="shared" si="108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3">
        <f t="shared" si="106"/>
        <v>21</v>
      </c>
      <c r="Z2216" s="18">
        <v>46169</v>
      </c>
      <c r="AA2216" s="15"/>
      <c r="AB2216" s="15"/>
    </row>
    <row r="2217" spans="1:28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07"/>
        <v>23</v>
      </c>
      <c r="R2217" s="53" t="str">
        <f t="shared" si="108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3">
        <f t="shared" si="106"/>
        <v>21</v>
      </c>
      <c r="Z2217" s="18">
        <v>46169</v>
      </c>
      <c r="AA2217" s="15"/>
      <c r="AB2217" s="15"/>
    </row>
    <row r="2218" spans="1:28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07"/>
        <v>23</v>
      </c>
      <c r="R2218" s="53" t="str">
        <f t="shared" si="108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3">
        <f t="shared" si="106"/>
        <v>21</v>
      </c>
      <c r="Z2218" s="18">
        <v>46169</v>
      </c>
      <c r="AA2218" s="15"/>
      <c r="AB2218" s="15"/>
    </row>
    <row r="2219" spans="1:28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07"/>
        <v>23</v>
      </c>
      <c r="R2219" s="53" t="str">
        <f t="shared" si="108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3">
        <f t="shared" si="106"/>
        <v>21</v>
      </c>
      <c r="Z2219" s="18">
        <v>46169</v>
      </c>
      <c r="AA2219" s="15"/>
      <c r="AB2219" s="15"/>
    </row>
    <row r="2220" spans="1:28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07"/>
        <v>23</v>
      </c>
      <c r="R2220" s="53" t="str">
        <f t="shared" si="108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3">
        <f t="shared" si="106"/>
        <v>21</v>
      </c>
      <c r="Z2220" s="18">
        <v>46169</v>
      </c>
      <c r="AA2220" s="15"/>
      <c r="AB2220" s="15"/>
    </row>
    <row r="2221" spans="1:28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07"/>
        <v>23</v>
      </c>
      <c r="R2221" s="53" t="str">
        <f t="shared" si="108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3">
        <f t="shared" si="106"/>
        <v>21</v>
      </c>
      <c r="Z2221" s="18">
        <v>46169</v>
      </c>
      <c r="AA2221" s="15"/>
      <c r="AB2221" s="15"/>
    </row>
    <row r="2222" spans="1:28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07"/>
        <v>23</v>
      </c>
      <c r="R2222" s="53" t="str">
        <f t="shared" si="108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3">
        <f t="shared" si="106"/>
        <v>21</v>
      </c>
      <c r="Z2222" s="18">
        <v>46169</v>
      </c>
      <c r="AA2222" s="15"/>
      <c r="AB2222" s="15"/>
    </row>
    <row r="2223" spans="1:28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07"/>
        <v>23</v>
      </c>
      <c r="R2223" s="53" t="str">
        <f t="shared" si="108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3">
        <f t="shared" si="106"/>
        <v>21</v>
      </c>
      <c r="Z2223" s="18">
        <v>46169</v>
      </c>
      <c r="AA2223" s="15"/>
      <c r="AB2223" s="15"/>
    </row>
    <row r="2224" spans="1:28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07"/>
        <v>23</v>
      </c>
      <c r="R2224" s="53" t="str">
        <f t="shared" si="108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3">
        <f t="shared" si="106"/>
        <v>21</v>
      </c>
      <c r="Z2224" s="18">
        <v>46169</v>
      </c>
      <c r="AA2224" s="15"/>
      <c r="AB2224" s="15"/>
    </row>
    <row r="2225" spans="1:28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07"/>
        <v>23</v>
      </c>
      <c r="R2225" s="53" t="str">
        <f t="shared" si="108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3">
        <f t="shared" si="106"/>
        <v>21</v>
      </c>
      <c r="Z2225" s="18">
        <v>46169</v>
      </c>
      <c r="AA2225" s="15"/>
      <c r="AB2225" s="15"/>
    </row>
    <row r="2226" spans="1:28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07"/>
        <v>23</v>
      </c>
      <c r="R2226" s="53" t="str">
        <f t="shared" si="108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3">
        <f t="shared" si="106"/>
        <v>21</v>
      </c>
      <c r="Z2226" s="18">
        <v>46169</v>
      </c>
      <c r="AA2226" s="15"/>
      <c r="AB2226" s="15"/>
    </row>
    <row r="2227" spans="1:28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07"/>
        <v>23</v>
      </c>
      <c r="R2227" s="53" t="str">
        <f t="shared" si="108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3">
        <f t="shared" si="106"/>
        <v>21</v>
      </c>
      <c r="Z2227" s="18">
        <v>46169</v>
      </c>
      <c r="AA2227" s="15"/>
      <c r="AB2227" s="15"/>
    </row>
    <row r="2228" spans="1:28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07"/>
        <v>23</v>
      </c>
      <c r="R2228" s="53" t="str">
        <f t="shared" si="108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3">
        <f t="shared" si="106"/>
        <v>21</v>
      </c>
      <c r="Z2228" s="18">
        <v>46169</v>
      </c>
      <c r="AA2228" s="15"/>
      <c r="AB2228" s="15"/>
    </row>
    <row r="2229" spans="1:28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07"/>
        <v>23</v>
      </c>
      <c r="R2229" s="53" t="str">
        <f t="shared" si="108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3">
        <f t="shared" si="106"/>
        <v>21</v>
      </c>
      <c r="Z2229" s="18">
        <v>46169</v>
      </c>
      <c r="AA2229" s="15"/>
      <c r="AB2229" s="15"/>
    </row>
    <row r="2230" spans="1:28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07"/>
        <v>23</v>
      </c>
      <c r="R2230" s="53" t="str">
        <f t="shared" si="108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3">
        <f t="shared" si="106"/>
        <v>21</v>
      </c>
      <c r="Z2230" s="18">
        <v>46169</v>
      </c>
      <c r="AA2230" s="15"/>
      <c r="AB2230" s="15"/>
    </row>
    <row r="2231" spans="1:28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07"/>
        <v>23</v>
      </c>
      <c r="R2231" s="53" t="str">
        <f t="shared" si="108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3">
        <f t="shared" si="106"/>
        <v>21</v>
      </c>
      <c r="Z2231" s="18">
        <v>46169</v>
      </c>
      <c r="AA2231" s="15"/>
      <c r="AB2231" s="15"/>
    </row>
    <row r="2232" spans="1:28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07"/>
        <v>23</v>
      </c>
      <c r="R2232" s="53" t="str">
        <f t="shared" si="108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3">
        <f t="shared" si="106"/>
        <v>21</v>
      </c>
      <c r="Z2232" s="18">
        <v>46169</v>
      </c>
      <c r="AA2232" s="15"/>
      <c r="AB2232" s="15"/>
    </row>
    <row r="2233" spans="1:28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07"/>
        <v>23</v>
      </c>
      <c r="R2233" s="53" t="str">
        <f t="shared" si="108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3">
        <f t="shared" si="106"/>
        <v>21</v>
      </c>
      <c r="Z2233" s="18">
        <v>46169</v>
      </c>
      <c r="AA2233" s="15"/>
      <c r="AB2233" s="15"/>
    </row>
    <row r="2234" spans="1:28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07"/>
        <v>23</v>
      </c>
      <c r="R2234" s="53" t="str">
        <f t="shared" si="108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3">
        <f t="shared" si="106"/>
        <v>21</v>
      </c>
      <c r="Z2234" s="18">
        <v>46169</v>
      </c>
      <c r="AA2234" s="15"/>
      <c r="AB2234" s="15"/>
    </row>
    <row r="2235" spans="1:28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07"/>
        <v>23</v>
      </c>
      <c r="R2235" s="53" t="str">
        <f t="shared" si="108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3">
        <f t="shared" si="106"/>
        <v>21</v>
      </c>
      <c r="Z2235" s="18">
        <v>46169</v>
      </c>
      <c r="AA2235" s="15"/>
      <c r="AB2235" s="15"/>
    </row>
    <row r="2236" spans="1:28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07"/>
        <v>23</v>
      </c>
      <c r="R2236" s="53" t="str">
        <f t="shared" si="108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3">
        <f t="shared" si="106"/>
        <v>21</v>
      </c>
      <c r="Z2236" s="18">
        <v>46169</v>
      </c>
      <c r="AA2236" s="15"/>
      <c r="AB2236" s="15"/>
    </row>
    <row r="2237" spans="1:28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07"/>
        <v>23</v>
      </c>
      <c r="R2237" s="53" t="str">
        <f t="shared" si="108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3">
        <f t="shared" si="106"/>
        <v>21</v>
      </c>
      <c r="Z2237" s="18">
        <v>46169</v>
      </c>
      <c r="AA2237" s="15"/>
      <c r="AB2237" s="15"/>
    </row>
    <row r="2238" spans="1:28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07"/>
        <v>23</v>
      </c>
      <c r="R2238" s="53" t="str">
        <f t="shared" si="108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3">
        <f t="shared" si="106"/>
        <v>21</v>
      </c>
      <c r="Z2238" s="18">
        <v>46169</v>
      </c>
      <c r="AA2238" s="15"/>
      <c r="AB2238" s="15"/>
    </row>
    <row r="2239" spans="1:28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07"/>
        <v>23</v>
      </c>
      <c r="R2239" s="53" t="str">
        <f t="shared" si="108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3">
        <f t="shared" si="106"/>
        <v>21</v>
      </c>
      <c r="Z2239" s="18">
        <v>46169</v>
      </c>
      <c r="AA2239" s="15"/>
      <c r="AB2239" s="15"/>
    </row>
    <row r="2240" spans="1:28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07"/>
        <v>23</v>
      </c>
      <c r="R2240" s="53" t="str">
        <f t="shared" si="108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3">
        <f t="shared" si="106"/>
        <v>21</v>
      </c>
      <c r="Z2240" s="18">
        <v>46169</v>
      </c>
      <c r="AA2240" s="15"/>
      <c r="AB2240" s="15"/>
    </row>
    <row r="2241" spans="1:28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07"/>
        <v>23</v>
      </c>
      <c r="R2241" s="53" t="str">
        <f t="shared" si="108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3">
        <f t="shared" si="106"/>
        <v>21</v>
      </c>
      <c r="Z2241" s="18">
        <v>46169</v>
      </c>
      <c r="AA2241" s="15"/>
      <c r="AB2241" s="15"/>
    </row>
    <row r="2242" spans="1:28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07"/>
        <v>23</v>
      </c>
      <c r="R2242" s="53" t="str">
        <f t="shared" si="108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3">
        <f t="shared" ref="Y2242:Y2305" si="109">X2242-A2242</f>
        <v>21</v>
      </c>
      <c r="Z2242" s="18">
        <v>46169</v>
      </c>
      <c r="AA2242" s="15"/>
      <c r="AB2242" s="15"/>
    </row>
    <row r="2243" spans="1:28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07"/>
        <v>23</v>
      </c>
      <c r="R2243" s="53" t="str">
        <f t="shared" si="108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3">
        <f t="shared" si="109"/>
        <v>21</v>
      </c>
      <c r="Z2243" s="18">
        <v>46169</v>
      </c>
      <c r="AA2243" s="15"/>
      <c r="AB2243" s="15"/>
    </row>
    <row r="2244" spans="1:28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07"/>
        <v>23</v>
      </c>
      <c r="R2244" s="53" t="str">
        <f t="shared" si="108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3">
        <f t="shared" si="109"/>
        <v>21</v>
      </c>
      <c r="Z2244" s="18">
        <v>46169</v>
      </c>
      <c r="AA2244" s="15"/>
      <c r="AB2244" s="15"/>
    </row>
    <row r="2245" spans="1:28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07"/>
        <v>23</v>
      </c>
      <c r="R2245" s="53" t="str">
        <f t="shared" si="108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3">
        <f t="shared" si="109"/>
        <v>21</v>
      </c>
      <c r="Z2245" s="18">
        <v>46169</v>
      </c>
      <c r="AA2245" s="15"/>
      <c r="AB2245" s="15"/>
    </row>
    <row r="2246" spans="1:28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07"/>
        <v>23</v>
      </c>
      <c r="R2246" s="53" t="str">
        <f t="shared" si="108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3">
        <f t="shared" si="109"/>
        <v>21</v>
      </c>
      <c r="Z2246" s="18">
        <v>46169</v>
      </c>
      <c r="AA2246" s="15"/>
      <c r="AB2246" s="15"/>
    </row>
    <row r="2247" spans="1:28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07"/>
        <v>23</v>
      </c>
      <c r="R2247" s="53" t="str">
        <f t="shared" si="108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3">
        <f t="shared" si="109"/>
        <v>21</v>
      </c>
      <c r="Z2247" s="18">
        <v>46169</v>
      </c>
      <c r="AA2247" s="15"/>
      <c r="AB2247" s="15"/>
    </row>
    <row r="2248" spans="1:28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07"/>
        <v>23</v>
      </c>
      <c r="R2248" s="53" t="str">
        <f t="shared" si="108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3">
        <f t="shared" si="109"/>
        <v>21</v>
      </c>
      <c r="Z2248" s="18">
        <v>46169</v>
      </c>
      <c r="AA2248" s="15"/>
      <c r="AB2248" s="15"/>
    </row>
    <row r="2249" spans="1:28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07"/>
        <v>23</v>
      </c>
      <c r="R2249" s="53" t="str">
        <f t="shared" si="108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3">
        <f t="shared" si="109"/>
        <v>21</v>
      </c>
      <c r="Z2249" s="18">
        <v>46169</v>
      </c>
      <c r="AA2249" s="15"/>
      <c r="AB2249" s="15"/>
    </row>
    <row r="2250" spans="1:28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07"/>
        <v>23</v>
      </c>
      <c r="R2250" s="53" t="str">
        <f t="shared" si="108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3">
        <f t="shared" si="109"/>
        <v>21</v>
      </c>
      <c r="Z2250" s="18">
        <v>46169</v>
      </c>
      <c r="AA2250" s="15"/>
      <c r="AB2250" s="15"/>
    </row>
    <row r="2251" spans="1:28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07"/>
        <v>23</v>
      </c>
      <c r="R2251" s="53" t="str">
        <f t="shared" si="108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3">
        <f t="shared" si="109"/>
        <v>21</v>
      </c>
      <c r="Z2251" s="18">
        <v>46169</v>
      </c>
      <c r="AA2251" s="15"/>
      <c r="AB2251" s="15"/>
    </row>
    <row r="2252" spans="1:28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07"/>
        <v>23</v>
      </c>
      <c r="R2252" s="53" t="str">
        <f t="shared" si="108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3">
        <f t="shared" si="109"/>
        <v>21</v>
      </c>
      <c r="Z2252" s="18">
        <v>46169</v>
      </c>
      <c r="AA2252" s="15"/>
      <c r="AB2252" s="15"/>
    </row>
    <row r="2253" spans="1:28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07"/>
        <v>23</v>
      </c>
      <c r="R2253" s="53" t="str">
        <f t="shared" si="108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3">
        <f t="shared" si="109"/>
        <v>21</v>
      </c>
      <c r="Z2253" s="18">
        <v>46169</v>
      </c>
      <c r="AA2253" s="15"/>
      <c r="AB2253" s="15"/>
    </row>
    <row r="2254" spans="1:28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07"/>
        <v>23</v>
      </c>
      <c r="R2254" s="53" t="str">
        <f t="shared" si="108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3">
        <f t="shared" si="109"/>
        <v>21</v>
      </c>
      <c r="Z2254" s="18">
        <v>46169</v>
      </c>
      <c r="AA2254" s="15"/>
      <c r="AB2254" s="15"/>
    </row>
    <row r="2255" spans="1:28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07"/>
        <v>23</v>
      </c>
      <c r="R2255" s="53" t="str">
        <f t="shared" si="108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3">
        <f t="shared" si="109"/>
        <v>21</v>
      </c>
      <c r="Z2255" s="18">
        <v>46169</v>
      </c>
      <c r="AA2255" s="15"/>
      <c r="AB2255" s="15"/>
    </row>
    <row r="2256" spans="1:28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07"/>
        <v>23</v>
      </c>
      <c r="R2256" s="53" t="str">
        <f t="shared" si="108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3">
        <f t="shared" si="109"/>
        <v>21</v>
      </c>
      <c r="Z2256" s="18">
        <v>46169</v>
      </c>
      <c r="AA2256" s="15"/>
      <c r="AB2256" s="15"/>
    </row>
    <row r="2257" spans="1:28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07"/>
        <v>23</v>
      </c>
      <c r="R2257" s="53" t="str">
        <f t="shared" si="108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3">
        <f t="shared" si="109"/>
        <v>21</v>
      </c>
      <c r="Z2257" s="18">
        <v>46169</v>
      </c>
      <c r="AA2257" s="15"/>
      <c r="AB2257" s="15"/>
    </row>
    <row r="2258" spans="1:28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07"/>
        <v>23</v>
      </c>
      <c r="R2258" s="53" t="str">
        <f t="shared" si="108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3">
        <f t="shared" si="109"/>
        <v>21</v>
      </c>
      <c r="Z2258" s="18">
        <v>46169</v>
      </c>
      <c r="AA2258" s="15"/>
      <c r="AB2258" s="15"/>
    </row>
    <row r="2259" spans="1:28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07"/>
        <v>23</v>
      </c>
      <c r="R2259" s="53" t="str">
        <f t="shared" si="108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3">
        <f t="shared" si="109"/>
        <v>21</v>
      </c>
      <c r="Z2259" s="18">
        <v>46169</v>
      </c>
      <c r="AA2259" s="15"/>
      <c r="AB2259" s="15"/>
    </row>
    <row r="2260" spans="1:28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07"/>
        <v>23</v>
      </c>
      <c r="R2260" s="53" t="str">
        <f t="shared" si="108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3">
        <f t="shared" si="109"/>
        <v>21</v>
      </c>
      <c r="Z2260" s="18">
        <v>46169</v>
      </c>
      <c r="AA2260" s="15"/>
      <c r="AB2260" s="15"/>
    </row>
    <row r="2261" spans="1:28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07"/>
        <v>23</v>
      </c>
      <c r="R2261" s="53" t="str">
        <f t="shared" si="108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3">
        <f t="shared" si="109"/>
        <v>21</v>
      </c>
      <c r="Z2261" s="18">
        <v>46169</v>
      </c>
      <c r="AA2261" s="15"/>
      <c r="AB2261" s="15"/>
    </row>
    <row r="2262" spans="1:28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07"/>
        <v>23</v>
      </c>
      <c r="R2262" s="53" t="str">
        <f t="shared" si="108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3">
        <f t="shared" si="109"/>
        <v>21</v>
      </c>
      <c r="Z2262" s="18">
        <v>46169</v>
      </c>
      <c r="AA2262" s="15"/>
      <c r="AB2262" s="15"/>
    </row>
    <row r="2263" spans="1:28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07"/>
        <v>23</v>
      </c>
      <c r="R2263" s="53" t="str">
        <f t="shared" si="108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3">
        <f t="shared" si="109"/>
        <v>21</v>
      </c>
      <c r="Z2263" s="18">
        <v>46169</v>
      </c>
      <c r="AA2263" s="15"/>
      <c r="AB2263" s="15"/>
    </row>
    <row r="2264" spans="1:28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07"/>
        <v>23</v>
      </c>
      <c r="R2264" s="53" t="str">
        <f t="shared" si="108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3">
        <f t="shared" si="109"/>
        <v>21</v>
      </c>
      <c r="Z2264" s="18">
        <v>46169</v>
      </c>
      <c r="AA2264" s="15"/>
      <c r="AB2264" s="15"/>
    </row>
    <row r="2265" spans="1:28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07"/>
        <v>23</v>
      </c>
      <c r="R2265" s="53" t="str">
        <f t="shared" si="108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3">
        <f t="shared" si="109"/>
        <v>21</v>
      </c>
      <c r="Z2265" s="18">
        <v>46169</v>
      </c>
      <c r="AA2265" s="15"/>
      <c r="AB2265" s="15"/>
    </row>
    <row r="2266" spans="1:28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07"/>
        <v>23</v>
      </c>
      <c r="R2266" s="53" t="str">
        <f t="shared" si="108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3">
        <f t="shared" si="109"/>
        <v>21</v>
      </c>
      <c r="Z2266" s="18">
        <v>46169</v>
      </c>
      <c r="AA2266" s="15"/>
      <c r="AB2266" s="15"/>
    </row>
    <row r="2267" spans="1:28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07"/>
        <v>23</v>
      </c>
      <c r="R2267" s="53" t="str">
        <f t="shared" si="108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3">
        <f t="shared" si="109"/>
        <v>21</v>
      </c>
      <c r="Z2267" s="18">
        <v>46169</v>
      </c>
      <c r="AA2267" s="15"/>
      <c r="AB2267" s="15"/>
    </row>
    <row r="2268" spans="1:28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07"/>
        <v>23</v>
      </c>
      <c r="R2268" s="53" t="str">
        <f t="shared" si="108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3">
        <f t="shared" si="109"/>
        <v>21</v>
      </c>
      <c r="Z2268" s="18">
        <v>46169</v>
      </c>
      <c r="AA2268" s="15"/>
      <c r="AB2268" s="15"/>
    </row>
    <row r="2269" spans="1:28" hidden="1">
      <c r="A2269" s="93">
        <v>46109</v>
      </c>
      <c r="B2269" s="3">
        <v>2026</v>
      </c>
      <c r="C2269" s="21" t="s">
        <v>2966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07"/>
        <v>23</v>
      </c>
      <c r="R2269" s="53" t="str">
        <f t="shared" si="108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3">
        <f t="shared" si="109"/>
        <v>60</v>
      </c>
      <c r="Z2269" s="18">
        <v>46169</v>
      </c>
      <c r="AA2269" s="15"/>
      <c r="AB2269" s="15"/>
    </row>
    <row r="2270" spans="1:28">
      <c r="A2270" s="59">
        <v>46167</v>
      </c>
      <c r="B2270" s="3">
        <v>2026</v>
      </c>
      <c r="C2270" s="21" t="s">
        <v>2966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07"/>
        <v>23</v>
      </c>
      <c r="R2270" s="53" t="str">
        <f t="shared" si="108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3">
        <f t="shared" si="109"/>
        <v>2</v>
      </c>
      <c r="Z2270" s="18">
        <v>46169</v>
      </c>
      <c r="AA2270" s="15"/>
      <c r="AB2270" s="15"/>
    </row>
    <row r="2271" spans="1:28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07"/>
        <v>23</v>
      </c>
      <c r="R2271" s="53" t="str">
        <f t="shared" si="108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3">
        <f t="shared" si="109"/>
        <v>22</v>
      </c>
      <c r="Z2271" s="18">
        <v>46170</v>
      </c>
      <c r="AA2271" s="15"/>
      <c r="AB2271" s="15"/>
    </row>
    <row r="2272" spans="1:28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07"/>
        <v>23</v>
      </c>
      <c r="R2272" s="53" t="str">
        <f t="shared" si="108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3">
        <f t="shared" si="109"/>
        <v>22</v>
      </c>
      <c r="Z2272" s="18">
        <v>46170</v>
      </c>
      <c r="AA2272" s="15"/>
      <c r="AB2272" s="15"/>
    </row>
    <row r="2273" spans="1:28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07"/>
        <v>23</v>
      </c>
      <c r="R2273" s="53" t="str">
        <f t="shared" si="108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3">
        <f t="shared" si="109"/>
        <v>22</v>
      </c>
      <c r="Z2273" s="18">
        <v>46170</v>
      </c>
      <c r="AA2273" s="15"/>
      <c r="AB2273" s="15"/>
    </row>
    <row r="2274" spans="1:28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07"/>
        <v>23</v>
      </c>
      <c r="R2274" s="53" t="str">
        <f t="shared" si="108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3">
        <f t="shared" si="109"/>
        <v>22</v>
      </c>
      <c r="Z2274" s="18">
        <v>46170</v>
      </c>
      <c r="AA2274" s="15"/>
      <c r="AB2274" s="15"/>
    </row>
    <row r="2275" spans="1:28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07"/>
        <v>23</v>
      </c>
      <c r="R2275" s="53" t="str">
        <f t="shared" si="108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3">
        <f t="shared" si="109"/>
        <v>22</v>
      </c>
      <c r="Z2275" s="18">
        <v>46170</v>
      </c>
      <c r="AA2275" s="15"/>
      <c r="AB2275" s="15"/>
    </row>
    <row r="2276" spans="1:28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07"/>
        <v>23</v>
      </c>
      <c r="R2276" s="53" t="str">
        <f t="shared" si="108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3">
        <f t="shared" si="109"/>
        <v>22</v>
      </c>
      <c r="Z2276" s="18">
        <v>46170</v>
      </c>
      <c r="AA2276" s="15"/>
      <c r="AB2276" s="15"/>
    </row>
    <row r="2277" spans="1:28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07"/>
        <v>23</v>
      </c>
      <c r="R2277" s="53" t="str">
        <f t="shared" si="108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3">
        <f t="shared" si="109"/>
        <v>22</v>
      </c>
      <c r="Z2277" s="18">
        <v>46170</v>
      </c>
      <c r="AA2277" s="15"/>
      <c r="AB2277" s="15"/>
    </row>
    <row r="2278" spans="1:28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07"/>
        <v>23</v>
      </c>
      <c r="R2278" s="53" t="str">
        <f t="shared" si="108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3">
        <f t="shared" si="109"/>
        <v>22</v>
      </c>
      <c r="Z2278" s="18">
        <v>46170</v>
      </c>
      <c r="AA2278" s="15"/>
      <c r="AB2278" s="15"/>
    </row>
    <row r="2279" spans="1:28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10">MID(P2279,5,2)</f>
        <v>23</v>
      </c>
      <c r="R2279" s="53" t="str">
        <f t="shared" ref="R2279:R2342" si="111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3">
        <f t="shared" si="109"/>
        <v>22</v>
      </c>
      <c r="Z2279" s="18">
        <v>46170</v>
      </c>
      <c r="AA2279" s="15"/>
      <c r="AB2279" s="15"/>
    </row>
    <row r="2280" spans="1:28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10"/>
        <v>23</v>
      </c>
      <c r="R2280" s="53" t="str">
        <f t="shared" si="111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3">
        <f t="shared" si="109"/>
        <v>22</v>
      </c>
      <c r="Z2280" s="18">
        <v>46170</v>
      </c>
      <c r="AA2280" s="15"/>
      <c r="AB2280" s="15"/>
    </row>
    <row r="2281" spans="1:28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10"/>
        <v>23</v>
      </c>
      <c r="R2281" s="53" t="str">
        <f t="shared" si="111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3">
        <f t="shared" si="109"/>
        <v>22</v>
      </c>
      <c r="Z2281" s="18">
        <v>46170</v>
      </c>
      <c r="AA2281" s="15"/>
      <c r="AB2281" s="15"/>
    </row>
    <row r="2282" spans="1:28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10"/>
        <v>23</v>
      </c>
      <c r="R2282" s="53" t="str">
        <f t="shared" si="111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3">
        <f t="shared" si="109"/>
        <v>22</v>
      </c>
      <c r="Z2282" s="18">
        <v>46170</v>
      </c>
      <c r="AA2282" s="15"/>
      <c r="AB2282" s="15"/>
    </row>
    <row r="2283" spans="1:28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10"/>
        <v>23</v>
      </c>
      <c r="R2283" s="53" t="str">
        <f t="shared" si="111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3">
        <f t="shared" si="109"/>
        <v>22</v>
      </c>
      <c r="Z2283" s="18">
        <v>46170</v>
      </c>
      <c r="AA2283" s="15"/>
      <c r="AB2283" s="15"/>
    </row>
    <row r="2284" spans="1:28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10"/>
        <v>23</v>
      </c>
      <c r="R2284" s="53" t="str">
        <f t="shared" si="111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3">
        <f t="shared" si="109"/>
        <v>22</v>
      </c>
      <c r="Z2284" s="18">
        <v>46170</v>
      </c>
      <c r="AA2284" s="15"/>
      <c r="AB2284" s="15"/>
    </row>
    <row r="2285" spans="1:28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10"/>
        <v>23</v>
      </c>
      <c r="R2285" s="53" t="str">
        <f t="shared" si="111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3">
        <f t="shared" si="109"/>
        <v>22</v>
      </c>
      <c r="Z2285" s="18">
        <v>46170</v>
      </c>
      <c r="AA2285" s="15"/>
      <c r="AB2285" s="15"/>
    </row>
    <row r="2286" spans="1:28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10"/>
        <v>23</v>
      </c>
      <c r="R2286" s="53" t="str">
        <f t="shared" si="111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3">
        <f t="shared" si="109"/>
        <v>22</v>
      </c>
      <c r="Z2286" s="18">
        <v>46170</v>
      </c>
      <c r="AA2286" s="15"/>
      <c r="AB2286" s="15"/>
    </row>
    <row r="2287" spans="1:28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10"/>
        <v>23</v>
      </c>
      <c r="R2287" s="53" t="str">
        <f t="shared" si="111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3">
        <f t="shared" si="109"/>
        <v>22</v>
      </c>
      <c r="Z2287" s="18">
        <v>46170</v>
      </c>
      <c r="AA2287" s="15"/>
      <c r="AB2287" s="15"/>
    </row>
    <row r="2288" spans="1:28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10"/>
        <v>23</v>
      </c>
      <c r="R2288" s="53" t="str">
        <f t="shared" si="111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3">
        <f t="shared" si="109"/>
        <v>22</v>
      </c>
      <c r="Z2288" s="18">
        <v>46170</v>
      </c>
      <c r="AA2288" s="15"/>
      <c r="AB2288" s="15"/>
    </row>
    <row r="2289" spans="1:28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10"/>
        <v>23</v>
      </c>
      <c r="R2289" s="53" t="str">
        <f t="shared" si="111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3">
        <f t="shared" si="109"/>
        <v>22</v>
      </c>
      <c r="Z2289" s="18">
        <v>46170</v>
      </c>
      <c r="AA2289" s="15"/>
      <c r="AB2289" s="15"/>
    </row>
    <row r="2290" spans="1:28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10"/>
        <v>23</v>
      </c>
      <c r="R2290" s="53" t="str">
        <f t="shared" si="111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3">
        <f t="shared" si="109"/>
        <v>22</v>
      </c>
      <c r="Z2290" s="18">
        <v>46170</v>
      </c>
      <c r="AA2290" s="15"/>
      <c r="AB2290" s="15"/>
    </row>
    <row r="2291" spans="1:28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10"/>
        <v>23</v>
      </c>
      <c r="R2291" s="53" t="str">
        <f t="shared" si="111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3">
        <f t="shared" si="109"/>
        <v>22</v>
      </c>
      <c r="Z2291" s="18">
        <v>46170</v>
      </c>
      <c r="AA2291" s="15"/>
      <c r="AB2291" s="15"/>
    </row>
    <row r="2292" spans="1:28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10"/>
        <v>23</v>
      </c>
      <c r="R2292" s="53" t="str">
        <f t="shared" si="111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3">
        <f t="shared" si="109"/>
        <v>22</v>
      </c>
      <c r="Z2292" s="18">
        <v>46170</v>
      </c>
      <c r="AA2292" s="15"/>
      <c r="AB2292" s="15"/>
    </row>
    <row r="2293" spans="1:28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10"/>
        <v>23</v>
      </c>
      <c r="R2293" s="53" t="str">
        <f t="shared" si="111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3">
        <f t="shared" si="109"/>
        <v>22</v>
      </c>
      <c r="Z2293" s="18">
        <v>46170</v>
      </c>
      <c r="AA2293" s="15"/>
      <c r="AB2293" s="15"/>
    </row>
    <row r="2294" spans="1:28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10"/>
        <v>23</v>
      </c>
      <c r="R2294" s="53" t="str">
        <f t="shared" si="111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3">
        <f t="shared" si="109"/>
        <v>22</v>
      </c>
      <c r="Z2294" s="18">
        <v>46170</v>
      </c>
      <c r="AA2294" s="15"/>
      <c r="AB2294" s="15"/>
    </row>
    <row r="2295" spans="1:28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10"/>
        <v>23</v>
      </c>
      <c r="R2295" s="53" t="str">
        <f t="shared" si="111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3">
        <f t="shared" si="109"/>
        <v>22</v>
      </c>
      <c r="Z2295" s="18">
        <v>46170</v>
      </c>
      <c r="AA2295" s="15"/>
      <c r="AB2295" s="15"/>
    </row>
    <row r="2296" spans="1:28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10"/>
        <v>23</v>
      </c>
      <c r="R2296" s="53" t="str">
        <f t="shared" si="111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3">
        <f t="shared" si="109"/>
        <v>22</v>
      </c>
      <c r="Z2296" s="18">
        <v>46170</v>
      </c>
      <c r="AA2296" s="15"/>
      <c r="AB2296" s="15"/>
    </row>
    <row r="2297" spans="1:28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10"/>
        <v>23</v>
      </c>
      <c r="R2297" s="53" t="str">
        <f t="shared" si="111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3">
        <f t="shared" si="109"/>
        <v>22</v>
      </c>
      <c r="Z2297" s="18">
        <v>46170</v>
      </c>
      <c r="AA2297" s="15"/>
      <c r="AB2297" s="15"/>
    </row>
    <row r="2298" spans="1:28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10"/>
        <v>23</v>
      </c>
      <c r="R2298" s="53" t="str">
        <f t="shared" si="111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3">
        <f t="shared" si="109"/>
        <v>22</v>
      </c>
      <c r="Z2298" s="18">
        <v>46170</v>
      </c>
      <c r="AA2298" s="15"/>
      <c r="AB2298" s="15"/>
    </row>
    <row r="2299" spans="1:28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10"/>
        <v>23</v>
      </c>
      <c r="R2299" s="53" t="str">
        <f t="shared" si="111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3">
        <f t="shared" si="109"/>
        <v>22</v>
      </c>
      <c r="Z2299" s="18">
        <v>46170</v>
      </c>
      <c r="AA2299" s="15"/>
      <c r="AB2299" s="15"/>
    </row>
    <row r="2300" spans="1:28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10"/>
        <v>23</v>
      </c>
      <c r="R2300" s="53" t="str">
        <f t="shared" si="111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3">
        <f t="shared" si="109"/>
        <v>22</v>
      </c>
      <c r="Z2300" s="18">
        <v>46170</v>
      </c>
      <c r="AA2300" s="15"/>
      <c r="AB2300" s="15"/>
    </row>
    <row r="2301" spans="1:28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10"/>
        <v>23</v>
      </c>
      <c r="R2301" s="53" t="str">
        <f t="shared" si="111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3">
        <f t="shared" si="109"/>
        <v>22</v>
      </c>
      <c r="Z2301" s="18">
        <v>46170</v>
      </c>
      <c r="AA2301" s="15"/>
      <c r="AB2301" s="15"/>
    </row>
    <row r="2302" spans="1:28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10"/>
        <v>23</v>
      </c>
      <c r="R2302" s="53" t="str">
        <f t="shared" si="111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3">
        <f t="shared" si="109"/>
        <v>22</v>
      </c>
      <c r="Z2302" s="18">
        <v>46170</v>
      </c>
      <c r="AA2302" s="15"/>
      <c r="AB2302" s="15"/>
    </row>
    <row r="2303" spans="1:28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10"/>
        <v>23</v>
      </c>
      <c r="R2303" s="53" t="str">
        <f t="shared" si="111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3">
        <f t="shared" si="109"/>
        <v>22</v>
      </c>
      <c r="Z2303" s="18">
        <v>46170</v>
      </c>
      <c r="AA2303" s="15"/>
      <c r="AB2303" s="15"/>
    </row>
    <row r="2304" spans="1:28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10"/>
        <v>23</v>
      </c>
      <c r="R2304" s="53" t="str">
        <f t="shared" si="111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3">
        <f t="shared" si="109"/>
        <v>22</v>
      </c>
      <c r="Z2304" s="18">
        <v>46170</v>
      </c>
      <c r="AA2304" s="15"/>
      <c r="AB2304" s="15"/>
    </row>
    <row r="2305" spans="1:28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10"/>
        <v>23</v>
      </c>
      <c r="R2305" s="53" t="str">
        <f t="shared" si="111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3">
        <f t="shared" si="109"/>
        <v>22</v>
      </c>
      <c r="Z2305" s="18">
        <v>46170</v>
      </c>
      <c r="AA2305" s="15"/>
      <c r="AB2305" s="15"/>
    </row>
    <row r="2306" spans="1:28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10"/>
        <v>23</v>
      </c>
      <c r="R2306" s="53" t="str">
        <f t="shared" si="111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3">
        <f t="shared" ref="Y2306:Y2369" si="112">X2306-A2306</f>
        <v>22</v>
      </c>
      <c r="Z2306" s="18">
        <v>46170</v>
      </c>
      <c r="AA2306" s="15"/>
      <c r="AB2306" s="15"/>
    </row>
    <row r="2307" spans="1:28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10"/>
        <v>23</v>
      </c>
      <c r="R2307" s="53" t="str">
        <f t="shared" si="111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3">
        <f t="shared" si="112"/>
        <v>22</v>
      </c>
      <c r="Z2307" s="18">
        <v>46170</v>
      </c>
      <c r="AA2307" s="15"/>
      <c r="AB2307" s="15"/>
    </row>
    <row r="2308" spans="1:28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10"/>
        <v>23</v>
      </c>
      <c r="R2308" s="53" t="str">
        <f t="shared" si="111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3">
        <f t="shared" si="112"/>
        <v>22</v>
      </c>
      <c r="Z2308" s="18">
        <v>46170</v>
      </c>
      <c r="AA2308" s="15"/>
      <c r="AB2308" s="15"/>
    </row>
    <row r="2309" spans="1:28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10"/>
        <v>23</v>
      </c>
      <c r="R2309" s="53" t="str">
        <f t="shared" si="111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3">
        <f t="shared" si="112"/>
        <v>22</v>
      </c>
      <c r="Z2309" s="18">
        <v>46170</v>
      </c>
      <c r="AA2309" s="15"/>
      <c r="AB2309" s="15"/>
    </row>
    <row r="2310" spans="1:28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10"/>
        <v>23</v>
      </c>
      <c r="R2310" s="53" t="str">
        <f t="shared" si="111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3">
        <f t="shared" si="112"/>
        <v>22</v>
      </c>
      <c r="Z2310" s="18">
        <v>46170</v>
      </c>
      <c r="AA2310" s="15"/>
      <c r="AB2310" s="15"/>
    </row>
    <row r="2311" spans="1:28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10"/>
        <v>23</v>
      </c>
      <c r="R2311" s="53" t="str">
        <f t="shared" si="111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3">
        <f t="shared" si="112"/>
        <v>22</v>
      </c>
      <c r="Z2311" s="18">
        <v>46170</v>
      </c>
      <c r="AA2311" s="15"/>
      <c r="AB2311" s="15"/>
    </row>
    <row r="2312" spans="1:28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10"/>
        <v>23</v>
      </c>
      <c r="R2312" s="53" t="str">
        <f t="shared" si="111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3">
        <f t="shared" si="112"/>
        <v>22</v>
      </c>
      <c r="Z2312" s="18">
        <v>46170</v>
      </c>
      <c r="AA2312" s="15"/>
      <c r="AB2312" s="15"/>
    </row>
    <row r="2313" spans="1:28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10"/>
        <v>23</v>
      </c>
      <c r="R2313" s="53" t="str">
        <f t="shared" si="111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3">
        <f t="shared" si="112"/>
        <v>22</v>
      </c>
      <c r="Z2313" s="18">
        <v>46170</v>
      </c>
      <c r="AA2313" s="15"/>
      <c r="AB2313" s="15"/>
    </row>
    <row r="2314" spans="1:28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10"/>
        <v>23</v>
      </c>
      <c r="R2314" s="53" t="str">
        <f t="shared" si="111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3">
        <f t="shared" si="112"/>
        <v>22</v>
      </c>
      <c r="Z2314" s="18">
        <v>46170</v>
      </c>
      <c r="AA2314" s="15"/>
      <c r="AB2314" s="15"/>
    </row>
    <row r="2315" spans="1:28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10"/>
        <v>23</v>
      </c>
      <c r="R2315" s="53" t="str">
        <f t="shared" si="111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3">
        <f t="shared" si="112"/>
        <v>22</v>
      </c>
      <c r="Z2315" s="18">
        <v>46170</v>
      </c>
      <c r="AA2315" s="15"/>
      <c r="AB2315" s="15"/>
    </row>
    <row r="2316" spans="1:28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10"/>
        <v>23</v>
      </c>
      <c r="R2316" s="53" t="str">
        <f t="shared" si="111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3">
        <f t="shared" si="112"/>
        <v>22</v>
      </c>
      <c r="Z2316" s="18">
        <v>46170</v>
      </c>
      <c r="AA2316" s="15"/>
      <c r="AB2316" s="15"/>
    </row>
    <row r="2317" spans="1:28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10"/>
        <v>23</v>
      </c>
      <c r="R2317" s="53" t="str">
        <f t="shared" si="111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3">
        <f t="shared" si="112"/>
        <v>22</v>
      </c>
      <c r="Z2317" s="18">
        <v>46170</v>
      </c>
      <c r="AA2317" s="15"/>
      <c r="AB2317" s="15"/>
    </row>
    <row r="2318" spans="1:28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10"/>
        <v>23</v>
      </c>
      <c r="R2318" s="53" t="str">
        <f t="shared" si="111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3">
        <f t="shared" si="112"/>
        <v>22</v>
      </c>
      <c r="Z2318" s="18">
        <v>46170</v>
      </c>
      <c r="AA2318" s="15"/>
      <c r="AB2318" s="15"/>
    </row>
    <row r="2319" spans="1:28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10"/>
        <v>23</v>
      </c>
      <c r="R2319" s="53" t="str">
        <f t="shared" si="111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3">
        <f t="shared" si="112"/>
        <v>22</v>
      </c>
      <c r="Z2319" s="18">
        <v>46170</v>
      </c>
      <c r="AA2319" s="15"/>
      <c r="AB2319" s="15"/>
    </row>
    <row r="2320" spans="1:28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10"/>
        <v>23</v>
      </c>
      <c r="R2320" s="53" t="str">
        <f t="shared" si="111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3">
        <f t="shared" si="112"/>
        <v>22</v>
      </c>
      <c r="Z2320" s="18">
        <v>46170</v>
      </c>
      <c r="AA2320" s="15"/>
      <c r="AB2320" s="15"/>
    </row>
    <row r="2321" spans="1:28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10"/>
        <v>23</v>
      </c>
      <c r="R2321" s="53" t="str">
        <f t="shared" si="111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3">
        <f t="shared" si="112"/>
        <v>22</v>
      </c>
      <c r="Z2321" s="18">
        <v>46170</v>
      </c>
      <c r="AA2321" s="15"/>
      <c r="AB2321" s="15"/>
    </row>
    <row r="2322" spans="1:28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10"/>
        <v>23</v>
      </c>
      <c r="R2322" s="53" t="str">
        <f t="shared" si="111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3">
        <f t="shared" si="112"/>
        <v>22</v>
      </c>
      <c r="Z2322" s="18">
        <v>46170</v>
      </c>
      <c r="AA2322" s="15"/>
      <c r="AB2322" s="15"/>
    </row>
    <row r="2323" spans="1:28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10"/>
        <v>23</v>
      </c>
      <c r="R2323" s="53" t="str">
        <f t="shared" si="111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3">
        <f t="shared" si="112"/>
        <v>22</v>
      </c>
      <c r="Z2323" s="18">
        <v>46170</v>
      </c>
      <c r="AA2323" s="15"/>
      <c r="AB2323" s="15"/>
    </row>
    <row r="2324" spans="1:28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10"/>
        <v>23</v>
      </c>
      <c r="R2324" s="53" t="str">
        <f t="shared" si="111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3">
        <f t="shared" si="112"/>
        <v>22</v>
      </c>
      <c r="Z2324" s="18">
        <v>46170</v>
      </c>
      <c r="AA2324" s="15"/>
      <c r="AB2324" s="15"/>
    </row>
    <row r="2325" spans="1:28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10"/>
        <v>23</v>
      </c>
      <c r="R2325" s="53" t="str">
        <f t="shared" si="111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3">
        <f t="shared" si="112"/>
        <v>22</v>
      </c>
      <c r="Z2325" s="18">
        <v>46170</v>
      </c>
      <c r="AA2325" s="15"/>
      <c r="AB2325" s="15"/>
    </row>
    <row r="2326" spans="1:28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10"/>
        <v>23</v>
      </c>
      <c r="R2326" s="53" t="str">
        <f t="shared" si="111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3">
        <f t="shared" si="112"/>
        <v>22</v>
      </c>
      <c r="Z2326" s="18">
        <v>46170</v>
      </c>
      <c r="AA2326" s="15"/>
      <c r="AB2326" s="15"/>
    </row>
    <row r="2327" spans="1:28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10"/>
        <v>23</v>
      </c>
      <c r="R2327" s="53" t="str">
        <f t="shared" si="111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3">
        <f t="shared" si="112"/>
        <v>22</v>
      </c>
      <c r="Z2327" s="18">
        <v>46170</v>
      </c>
      <c r="AA2327" s="15"/>
      <c r="AB2327" s="15"/>
    </row>
    <row r="2328" spans="1:28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10"/>
        <v>23</v>
      </c>
      <c r="R2328" s="53" t="str">
        <f t="shared" si="111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3">
        <f t="shared" si="112"/>
        <v>22</v>
      </c>
      <c r="Z2328" s="18">
        <v>46170</v>
      </c>
      <c r="AA2328" s="15"/>
      <c r="AB2328" s="15"/>
    </row>
    <row r="2329" spans="1:28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10"/>
        <v>23</v>
      </c>
      <c r="R2329" s="53" t="str">
        <f t="shared" si="111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3">
        <f t="shared" si="112"/>
        <v>22</v>
      </c>
      <c r="Z2329" s="18">
        <v>46170</v>
      </c>
      <c r="AA2329" s="15"/>
      <c r="AB2329" s="15"/>
    </row>
    <row r="2330" spans="1:28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10"/>
        <v>23</v>
      </c>
      <c r="R2330" s="53" t="str">
        <f t="shared" si="111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3">
        <f t="shared" si="112"/>
        <v>22</v>
      </c>
      <c r="Z2330" s="18">
        <v>46170</v>
      </c>
      <c r="AA2330" s="15"/>
      <c r="AB2330" s="15"/>
    </row>
    <row r="2331" spans="1:28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10"/>
        <v>23</v>
      </c>
      <c r="R2331" s="53" t="str">
        <f t="shared" si="111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3">
        <f t="shared" si="112"/>
        <v>22</v>
      </c>
      <c r="Z2331" s="18">
        <v>46170</v>
      </c>
      <c r="AA2331" s="15"/>
      <c r="AB2331" s="15"/>
    </row>
    <row r="2332" spans="1:28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10"/>
        <v>23</v>
      </c>
      <c r="R2332" s="53" t="str">
        <f t="shared" si="111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3">
        <f t="shared" si="112"/>
        <v>22</v>
      </c>
      <c r="Z2332" s="18">
        <v>46170</v>
      </c>
      <c r="AA2332" s="15"/>
      <c r="AB2332" s="15"/>
    </row>
    <row r="2333" spans="1:28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10"/>
        <v>23</v>
      </c>
      <c r="R2333" s="53" t="str">
        <f t="shared" si="111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3">
        <f t="shared" si="112"/>
        <v>22</v>
      </c>
      <c r="Z2333" s="18">
        <v>46170</v>
      </c>
      <c r="AA2333" s="15"/>
      <c r="AB2333" s="15"/>
    </row>
    <row r="2334" spans="1:28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10"/>
        <v>23</v>
      </c>
      <c r="R2334" s="53" t="str">
        <f t="shared" si="111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3">
        <f t="shared" si="112"/>
        <v>22</v>
      </c>
      <c r="Z2334" s="18">
        <v>46170</v>
      </c>
      <c r="AA2334" s="15"/>
      <c r="AB2334" s="15"/>
    </row>
    <row r="2335" spans="1:28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10"/>
        <v>23</v>
      </c>
      <c r="R2335" s="53" t="str">
        <f t="shared" si="111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3">
        <f t="shared" si="112"/>
        <v>22</v>
      </c>
      <c r="Z2335" s="18">
        <v>46170</v>
      </c>
      <c r="AA2335" s="15"/>
      <c r="AB2335" s="15"/>
    </row>
    <row r="2336" spans="1:28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10"/>
        <v>23</v>
      </c>
      <c r="R2336" s="53" t="str">
        <f t="shared" si="111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3">
        <f t="shared" si="112"/>
        <v>22</v>
      </c>
      <c r="Z2336" s="18">
        <v>46170</v>
      </c>
      <c r="AA2336" s="15"/>
      <c r="AB2336" s="15"/>
    </row>
    <row r="2337" spans="1:28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10"/>
        <v>23</v>
      </c>
      <c r="R2337" s="53" t="str">
        <f t="shared" si="111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3">
        <f t="shared" si="112"/>
        <v>22</v>
      </c>
      <c r="Z2337" s="18">
        <v>46170</v>
      </c>
      <c r="AA2337" s="15"/>
      <c r="AB2337" s="15"/>
    </row>
    <row r="2338" spans="1:28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10"/>
        <v>23</v>
      </c>
      <c r="R2338" s="53" t="str">
        <f t="shared" si="111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3">
        <f t="shared" si="112"/>
        <v>22</v>
      </c>
      <c r="Z2338" s="18">
        <v>46170</v>
      </c>
      <c r="AA2338" s="15"/>
      <c r="AB2338" s="15"/>
    </row>
    <row r="2339" spans="1:28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10"/>
        <v>23</v>
      </c>
      <c r="R2339" s="53" t="str">
        <f t="shared" si="111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3">
        <f t="shared" si="112"/>
        <v>22</v>
      </c>
      <c r="Z2339" s="18">
        <v>46170</v>
      </c>
      <c r="AA2339" s="15"/>
      <c r="AB2339" s="15"/>
    </row>
    <row r="2340" spans="1:28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10"/>
        <v>23</v>
      </c>
      <c r="R2340" s="53" t="str">
        <f t="shared" si="111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3">
        <f t="shared" si="112"/>
        <v>22</v>
      </c>
      <c r="Z2340" s="18">
        <v>46170</v>
      </c>
      <c r="AA2340" s="15"/>
      <c r="AB2340" s="15"/>
    </row>
    <row r="2341" spans="1:28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10"/>
        <v>23</v>
      </c>
      <c r="R2341" s="53" t="str">
        <f t="shared" si="111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3">
        <f t="shared" si="112"/>
        <v>22</v>
      </c>
      <c r="Z2341" s="18">
        <v>46170</v>
      </c>
      <c r="AA2341" s="15"/>
      <c r="AB2341" s="15"/>
    </row>
    <row r="2342" spans="1:28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10"/>
        <v>23</v>
      </c>
      <c r="R2342" s="53" t="str">
        <f t="shared" si="111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3">
        <f t="shared" si="112"/>
        <v>22</v>
      </c>
      <c r="Z2342" s="18">
        <v>46170</v>
      </c>
      <c r="AA2342" s="15"/>
      <c r="AB2342" s="15"/>
    </row>
    <row r="2343" spans="1:28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13">MID(P2343,5,2)</f>
        <v>23</v>
      </c>
      <c r="R2343" s="53" t="str">
        <f t="shared" ref="R2343:R2406" si="114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3">
        <f t="shared" si="112"/>
        <v>22</v>
      </c>
      <c r="Z2343" s="18">
        <v>46170</v>
      </c>
      <c r="AA2343" s="15"/>
      <c r="AB2343" s="15"/>
    </row>
    <row r="2344" spans="1:28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13"/>
        <v>23</v>
      </c>
      <c r="R2344" s="53" t="str">
        <f t="shared" si="114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3">
        <f t="shared" si="112"/>
        <v>22</v>
      </c>
      <c r="Z2344" s="18">
        <v>46170</v>
      </c>
      <c r="AA2344" s="15"/>
      <c r="AB2344" s="15"/>
    </row>
    <row r="2345" spans="1:28">
      <c r="A2345" s="59">
        <v>46168</v>
      </c>
      <c r="B2345" s="3">
        <v>2026</v>
      </c>
      <c r="C2345" s="21" t="s">
        <v>2966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13"/>
        <v>25</v>
      </c>
      <c r="R2345" s="53" t="str">
        <f t="shared" si="114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3">
        <f t="shared" si="112"/>
        <v>2</v>
      </c>
      <c r="Z2345" s="18">
        <v>46170</v>
      </c>
      <c r="AA2345" s="15"/>
      <c r="AB2345" s="15"/>
    </row>
    <row r="2346" spans="1:28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13"/>
        <v>24</v>
      </c>
      <c r="R2346" s="53" t="str">
        <f t="shared" si="114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3">
        <f t="shared" si="112"/>
        <v>27</v>
      </c>
      <c r="Z2346" s="18">
        <v>46170</v>
      </c>
      <c r="AA2346" s="15"/>
      <c r="AB2346" s="15"/>
    </row>
    <row r="2347" spans="1:28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13"/>
        <v>24</v>
      </c>
      <c r="R2347" s="53" t="str">
        <f t="shared" si="114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3">
        <f t="shared" si="112"/>
        <v>27</v>
      </c>
      <c r="Z2347" s="18">
        <v>46170</v>
      </c>
      <c r="AA2347" s="15"/>
      <c r="AB2347" s="15"/>
    </row>
    <row r="2348" spans="1:28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13"/>
        <v>24</v>
      </c>
      <c r="R2348" s="53" t="str">
        <f t="shared" si="114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3">
        <f t="shared" si="112"/>
        <v>27</v>
      </c>
      <c r="Z2348" s="18">
        <v>46170</v>
      </c>
      <c r="AA2348" s="15"/>
      <c r="AB2348" s="15"/>
    </row>
    <row r="2349" spans="1:28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13"/>
        <v>24</v>
      </c>
      <c r="R2349" s="53" t="str">
        <f t="shared" si="114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3">
        <f t="shared" si="112"/>
        <v>27</v>
      </c>
      <c r="Z2349" s="18">
        <v>46170</v>
      </c>
      <c r="AA2349" s="15"/>
      <c r="AB2349" s="15"/>
    </row>
    <row r="2350" spans="1:28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13"/>
        <v>24</v>
      </c>
      <c r="R2350" s="53" t="str">
        <f t="shared" si="114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3">
        <f t="shared" si="112"/>
        <v>27</v>
      </c>
      <c r="Z2350" s="18">
        <v>46170</v>
      </c>
      <c r="AA2350" s="15"/>
      <c r="AB2350" s="15"/>
    </row>
    <row r="2351" spans="1:28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13"/>
        <v>24</v>
      </c>
      <c r="R2351" s="53" t="str">
        <f t="shared" si="114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3">
        <f t="shared" si="112"/>
        <v>27</v>
      </c>
      <c r="Z2351" s="18">
        <v>46170</v>
      </c>
      <c r="AA2351" s="15"/>
      <c r="AB2351" s="15"/>
    </row>
    <row r="2352" spans="1:28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13"/>
        <v>24</v>
      </c>
      <c r="R2352" s="53" t="str">
        <f t="shared" si="114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3">
        <f t="shared" si="112"/>
        <v>27</v>
      </c>
      <c r="Z2352" s="18">
        <v>46170</v>
      </c>
      <c r="AA2352" s="15"/>
      <c r="AB2352" s="15"/>
    </row>
    <row r="2353" spans="1:28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13"/>
        <v>24</v>
      </c>
      <c r="R2353" s="53" t="str">
        <f t="shared" si="114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3">
        <f t="shared" si="112"/>
        <v>27</v>
      </c>
      <c r="Z2353" s="18">
        <v>46170</v>
      </c>
      <c r="AA2353" s="15"/>
      <c r="AB2353" s="15"/>
    </row>
    <row r="2354" spans="1:28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13"/>
        <v>24</v>
      </c>
      <c r="R2354" s="53" t="str">
        <f t="shared" si="114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3">
        <f t="shared" si="112"/>
        <v>27</v>
      </c>
      <c r="Z2354" s="18">
        <v>46170</v>
      </c>
      <c r="AA2354" s="15"/>
      <c r="AB2354" s="15"/>
    </row>
    <row r="2355" spans="1:28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13"/>
        <v>24</v>
      </c>
      <c r="R2355" s="53" t="str">
        <f t="shared" si="114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3">
        <f t="shared" si="112"/>
        <v>27</v>
      </c>
      <c r="Z2355" s="18">
        <v>46170</v>
      </c>
      <c r="AA2355" s="15"/>
      <c r="AB2355" s="15"/>
    </row>
    <row r="2356" spans="1:28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13"/>
        <v>24</v>
      </c>
      <c r="R2356" s="53" t="str">
        <f t="shared" si="114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3">
        <f t="shared" si="112"/>
        <v>27</v>
      </c>
      <c r="Z2356" s="18">
        <v>46170</v>
      </c>
      <c r="AA2356" s="15"/>
      <c r="AB2356" s="15"/>
    </row>
    <row r="2357" spans="1:28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13"/>
        <v>24</v>
      </c>
      <c r="R2357" s="53" t="str">
        <f t="shared" si="114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3">
        <f t="shared" si="112"/>
        <v>27</v>
      </c>
      <c r="Z2357" s="18">
        <v>46170</v>
      </c>
      <c r="AA2357" s="15"/>
      <c r="AB2357" s="15"/>
    </row>
    <row r="2358" spans="1:28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13"/>
        <v>24</v>
      </c>
      <c r="R2358" s="53" t="str">
        <f t="shared" si="114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3">
        <f t="shared" si="112"/>
        <v>27</v>
      </c>
      <c r="Z2358" s="18">
        <v>46170</v>
      </c>
      <c r="AA2358" s="15"/>
      <c r="AB2358" s="15"/>
    </row>
    <row r="2359" spans="1:28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13"/>
        <v>24</v>
      </c>
      <c r="R2359" s="53" t="str">
        <f t="shared" si="114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3">
        <f t="shared" si="112"/>
        <v>27</v>
      </c>
      <c r="Z2359" s="18">
        <v>46170</v>
      </c>
      <c r="AA2359" s="15"/>
      <c r="AB2359" s="15"/>
    </row>
    <row r="2360" spans="1:28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13"/>
        <v>24</v>
      </c>
      <c r="R2360" s="53" t="str">
        <f t="shared" si="114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3">
        <f t="shared" si="112"/>
        <v>27</v>
      </c>
      <c r="Z2360" s="18">
        <v>46170</v>
      </c>
      <c r="AA2360" s="15"/>
      <c r="AB2360" s="15"/>
    </row>
    <row r="2361" spans="1:28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13"/>
        <v>24</v>
      </c>
      <c r="R2361" s="53" t="str">
        <f t="shared" si="114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3">
        <f t="shared" si="112"/>
        <v>27</v>
      </c>
      <c r="Z2361" s="18">
        <v>46170</v>
      </c>
      <c r="AA2361" s="15"/>
      <c r="AB2361" s="15"/>
    </row>
    <row r="2362" spans="1:28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13"/>
        <v>24</v>
      </c>
      <c r="R2362" s="53" t="str">
        <f t="shared" si="114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3">
        <f t="shared" si="112"/>
        <v>27</v>
      </c>
      <c r="Z2362" s="18">
        <v>46170</v>
      </c>
      <c r="AA2362" s="15"/>
      <c r="AB2362" s="15"/>
    </row>
    <row r="2363" spans="1:28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13"/>
        <v>24</v>
      </c>
      <c r="R2363" s="53" t="str">
        <f t="shared" si="114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3">
        <f t="shared" si="112"/>
        <v>27</v>
      </c>
      <c r="Z2363" s="18">
        <v>46170</v>
      </c>
      <c r="AA2363" s="15"/>
      <c r="AB2363" s="15"/>
    </row>
    <row r="2364" spans="1:28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13"/>
        <v>24</v>
      </c>
      <c r="R2364" s="53" t="str">
        <f t="shared" si="114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3">
        <f t="shared" si="112"/>
        <v>27</v>
      </c>
      <c r="Z2364" s="18">
        <v>46170</v>
      </c>
      <c r="AA2364" s="15"/>
      <c r="AB2364" s="15"/>
    </row>
    <row r="2365" spans="1:28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13"/>
        <v>24</v>
      </c>
      <c r="R2365" s="53" t="str">
        <f t="shared" si="114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3">
        <f t="shared" si="112"/>
        <v>27</v>
      </c>
      <c r="Z2365" s="18">
        <v>46170</v>
      </c>
      <c r="AA2365" s="15"/>
      <c r="AB2365" s="15"/>
    </row>
    <row r="2366" spans="1:28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13"/>
        <v>24</v>
      </c>
      <c r="R2366" s="53" t="str">
        <f t="shared" si="114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3">
        <f t="shared" si="112"/>
        <v>27</v>
      </c>
      <c r="Z2366" s="18">
        <v>46170</v>
      </c>
      <c r="AA2366" s="15"/>
      <c r="AB2366" s="15"/>
    </row>
    <row r="2367" spans="1:28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13"/>
        <v>24</v>
      </c>
      <c r="R2367" s="53" t="str">
        <f t="shared" si="114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3">
        <f t="shared" si="112"/>
        <v>27</v>
      </c>
      <c r="Z2367" s="18">
        <v>46170</v>
      </c>
      <c r="AA2367" s="15"/>
      <c r="AB2367" s="15"/>
    </row>
    <row r="2368" spans="1:28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13"/>
        <v>24</v>
      </c>
      <c r="R2368" s="53" t="str">
        <f t="shared" si="114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3">
        <f t="shared" si="112"/>
        <v>27</v>
      </c>
      <c r="Z2368" s="18">
        <v>46170</v>
      </c>
      <c r="AA2368" s="15"/>
      <c r="AB2368" s="15"/>
    </row>
    <row r="2369" spans="1:28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13"/>
        <v>24</v>
      </c>
      <c r="R2369" s="53" t="str">
        <f t="shared" si="114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3">
        <f t="shared" si="112"/>
        <v>27</v>
      </c>
      <c r="Z2369" s="18">
        <v>46170</v>
      </c>
      <c r="AA2369" s="15"/>
      <c r="AB2369" s="15"/>
    </row>
    <row r="2370" spans="1:28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13"/>
        <v>24</v>
      </c>
      <c r="R2370" s="53" t="str">
        <f t="shared" si="114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3">
        <f t="shared" ref="Y2370:Y2433" si="115">X2370-A2370</f>
        <v>27</v>
      </c>
      <c r="Z2370" s="18">
        <v>46170</v>
      </c>
      <c r="AA2370" s="15"/>
      <c r="AB2370" s="15"/>
    </row>
    <row r="2371" spans="1:28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13"/>
        <v>24</v>
      </c>
      <c r="R2371" s="53" t="str">
        <f t="shared" si="114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3">
        <f t="shared" si="115"/>
        <v>27</v>
      </c>
      <c r="Z2371" s="18">
        <v>46170</v>
      </c>
      <c r="AA2371" s="15"/>
      <c r="AB2371" s="15"/>
    </row>
    <row r="2372" spans="1:28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13"/>
        <v>24</v>
      </c>
      <c r="R2372" s="53" t="str">
        <f t="shared" si="114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3">
        <f t="shared" si="115"/>
        <v>27</v>
      </c>
      <c r="Z2372" s="18">
        <v>46170</v>
      </c>
      <c r="AA2372" s="15"/>
      <c r="AB2372" s="15"/>
    </row>
    <row r="2373" spans="1:28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13"/>
        <v>24</v>
      </c>
      <c r="R2373" s="53" t="str">
        <f t="shared" si="114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3">
        <f t="shared" si="115"/>
        <v>27</v>
      </c>
      <c r="Z2373" s="18">
        <v>46170</v>
      </c>
      <c r="AA2373" s="15"/>
      <c r="AB2373" s="15"/>
    </row>
    <row r="2374" spans="1:28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13"/>
        <v>24</v>
      </c>
      <c r="R2374" s="53" t="str">
        <f t="shared" si="114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3">
        <f t="shared" si="115"/>
        <v>27</v>
      </c>
      <c r="Z2374" s="18">
        <v>46170</v>
      </c>
      <c r="AA2374" s="15"/>
      <c r="AB2374" s="15"/>
    </row>
    <row r="2375" spans="1:28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13"/>
        <v>24</v>
      </c>
      <c r="R2375" s="53" t="str">
        <f t="shared" si="114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3">
        <f t="shared" si="115"/>
        <v>27</v>
      </c>
      <c r="Z2375" s="18">
        <v>46170</v>
      </c>
      <c r="AA2375" s="15"/>
      <c r="AB2375" s="15"/>
    </row>
    <row r="2376" spans="1:28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13"/>
        <v>24</v>
      </c>
      <c r="R2376" s="53" t="str">
        <f t="shared" si="114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3">
        <f t="shared" si="115"/>
        <v>27</v>
      </c>
      <c r="Z2376" s="18">
        <v>46170</v>
      </c>
      <c r="AA2376" s="15"/>
      <c r="AB2376" s="15"/>
    </row>
    <row r="2377" spans="1:28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13"/>
        <v>24</v>
      </c>
      <c r="R2377" s="53" t="str">
        <f t="shared" si="114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3">
        <f t="shared" si="115"/>
        <v>27</v>
      </c>
      <c r="Z2377" s="18">
        <v>46170</v>
      </c>
      <c r="AA2377" s="15"/>
      <c r="AB2377" s="15"/>
    </row>
    <row r="2378" spans="1:28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13"/>
        <v>24</v>
      </c>
      <c r="R2378" s="53" t="str">
        <f t="shared" si="114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3">
        <f t="shared" si="115"/>
        <v>27</v>
      </c>
      <c r="Z2378" s="18">
        <v>46170</v>
      </c>
      <c r="AA2378" s="15"/>
      <c r="AB2378" s="15"/>
    </row>
    <row r="2379" spans="1:28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13"/>
        <v>24</v>
      </c>
      <c r="R2379" s="53" t="str">
        <f t="shared" si="114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3">
        <f t="shared" si="115"/>
        <v>27</v>
      </c>
      <c r="Z2379" s="18">
        <v>46170</v>
      </c>
      <c r="AA2379" s="15"/>
      <c r="AB2379" s="15"/>
    </row>
    <row r="2380" spans="1:28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13"/>
        <v>24</v>
      </c>
      <c r="R2380" s="53" t="str">
        <f t="shared" si="114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3">
        <f t="shared" si="115"/>
        <v>27</v>
      </c>
      <c r="Z2380" s="18">
        <v>46170</v>
      </c>
      <c r="AA2380" s="15"/>
      <c r="AB2380" s="15"/>
    </row>
    <row r="2381" spans="1:28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13"/>
        <v>24</v>
      </c>
      <c r="R2381" s="53" t="str">
        <f t="shared" si="114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3">
        <f t="shared" si="115"/>
        <v>27</v>
      </c>
      <c r="Z2381" s="18">
        <v>46170</v>
      </c>
      <c r="AA2381" s="15"/>
      <c r="AB2381" s="15"/>
    </row>
    <row r="2382" spans="1:28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13"/>
        <v>24</v>
      </c>
      <c r="R2382" s="53" t="str">
        <f t="shared" si="114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3">
        <f t="shared" si="115"/>
        <v>27</v>
      </c>
      <c r="Z2382" s="18">
        <v>46170</v>
      </c>
      <c r="AA2382" s="15"/>
      <c r="AB2382" s="15"/>
    </row>
    <row r="2383" spans="1:28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13"/>
        <v>24</v>
      </c>
      <c r="R2383" s="53" t="str">
        <f t="shared" si="114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3">
        <f t="shared" si="115"/>
        <v>27</v>
      </c>
      <c r="Z2383" s="18">
        <v>46170</v>
      </c>
      <c r="AA2383" s="15"/>
      <c r="AB2383" s="15"/>
    </row>
    <row r="2384" spans="1:28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13"/>
        <v>24</v>
      </c>
      <c r="R2384" s="53" t="str">
        <f t="shared" si="114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3">
        <f t="shared" si="115"/>
        <v>27</v>
      </c>
      <c r="Z2384" s="18">
        <v>46170</v>
      </c>
      <c r="AA2384" s="15"/>
      <c r="AB2384" s="15"/>
    </row>
    <row r="2385" spans="1:28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13"/>
        <v>24</v>
      </c>
      <c r="R2385" s="53" t="str">
        <f t="shared" si="114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3">
        <f t="shared" si="115"/>
        <v>27</v>
      </c>
      <c r="Z2385" s="18">
        <v>46170</v>
      </c>
      <c r="AA2385" s="15"/>
      <c r="AB2385" s="15"/>
    </row>
    <row r="2386" spans="1:28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13"/>
        <v>24</v>
      </c>
      <c r="R2386" s="53" t="str">
        <f t="shared" si="114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3">
        <f t="shared" si="115"/>
        <v>27</v>
      </c>
      <c r="Z2386" s="18">
        <v>46170</v>
      </c>
      <c r="AA2386" s="15"/>
      <c r="AB2386" s="15"/>
    </row>
    <row r="2387" spans="1:28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13"/>
        <v>24</v>
      </c>
      <c r="R2387" s="53" t="str">
        <f t="shared" si="114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3">
        <f t="shared" si="115"/>
        <v>27</v>
      </c>
      <c r="Z2387" s="18">
        <v>46170</v>
      </c>
      <c r="AA2387" s="15"/>
      <c r="AB2387" s="15"/>
    </row>
    <row r="2388" spans="1:28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13"/>
        <v>24</v>
      </c>
      <c r="R2388" s="53" t="str">
        <f t="shared" si="114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3">
        <f t="shared" si="115"/>
        <v>27</v>
      </c>
      <c r="Z2388" s="18">
        <v>46170</v>
      </c>
      <c r="AA2388" s="15"/>
      <c r="AB2388" s="15"/>
    </row>
    <row r="2389" spans="1:28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13"/>
        <v>24</v>
      </c>
      <c r="R2389" s="53" t="str">
        <f t="shared" si="114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3">
        <f t="shared" si="115"/>
        <v>27</v>
      </c>
      <c r="Z2389" s="18">
        <v>46170</v>
      </c>
      <c r="AA2389" s="15"/>
      <c r="AB2389" s="15"/>
    </row>
    <row r="2390" spans="1:28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13"/>
        <v>24</v>
      </c>
      <c r="R2390" s="53" t="str">
        <f t="shared" si="114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3">
        <f t="shared" si="115"/>
        <v>27</v>
      </c>
      <c r="Z2390" s="18">
        <v>46170</v>
      </c>
      <c r="AA2390" s="15"/>
      <c r="AB2390" s="15"/>
    </row>
    <row r="2391" spans="1:28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13"/>
        <v>24</v>
      </c>
      <c r="R2391" s="53" t="str">
        <f t="shared" si="114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3">
        <f t="shared" si="115"/>
        <v>27</v>
      </c>
      <c r="Z2391" s="18">
        <v>46170</v>
      </c>
      <c r="AA2391" s="15"/>
      <c r="AB2391" s="15"/>
    </row>
    <row r="2392" spans="1:28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13"/>
        <v>24</v>
      </c>
      <c r="R2392" s="53" t="str">
        <f t="shared" si="114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3">
        <f t="shared" si="115"/>
        <v>27</v>
      </c>
      <c r="Z2392" s="18">
        <v>46170</v>
      </c>
      <c r="AA2392" s="15"/>
      <c r="AB2392" s="15"/>
    </row>
    <row r="2393" spans="1:28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13"/>
        <v>24</v>
      </c>
      <c r="R2393" s="53" t="str">
        <f t="shared" si="114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3">
        <f t="shared" si="115"/>
        <v>27</v>
      </c>
      <c r="Z2393" s="18">
        <v>46170</v>
      </c>
      <c r="AA2393" s="15"/>
      <c r="AB2393" s="15"/>
    </row>
    <row r="2394" spans="1:28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13"/>
        <v>24</v>
      </c>
      <c r="R2394" s="53" t="str">
        <f t="shared" si="114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3">
        <f t="shared" si="115"/>
        <v>27</v>
      </c>
      <c r="Z2394" s="18">
        <v>46170</v>
      </c>
      <c r="AA2394" s="15"/>
      <c r="AB2394" s="15"/>
    </row>
    <row r="2395" spans="1:28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13"/>
        <v>24</v>
      </c>
      <c r="R2395" s="53" t="str">
        <f t="shared" si="114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3">
        <f t="shared" si="115"/>
        <v>27</v>
      </c>
      <c r="Z2395" s="18">
        <v>46170</v>
      </c>
      <c r="AA2395" s="15"/>
      <c r="AB2395" s="15"/>
    </row>
    <row r="2396" spans="1:28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13"/>
        <v>24</v>
      </c>
      <c r="R2396" s="53" t="str">
        <f t="shared" si="114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3">
        <f t="shared" si="115"/>
        <v>27</v>
      </c>
      <c r="Z2396" s="18">
        <v>46170</v>
      </c>
      <c r="AA2396" s="15"/>
      <c r="AB2396" s="15"/>
    </row>
    <row r="2397" spans="1:28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13"/>
        <v>24</v>
      </c>
      <c r="R2397" s="53" t="str">
        <f t="shared" si="114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3">
        <f t="shared" si="115"/>
        <v>27</v>
      </c>
      <c r="Z2397" s="18">
        <v>46170</v>
      </c>
      <c r="AA2397" s="15"/>
      <c r="AB2397" s="15"/>
    </row>
    <row r="2398" spans="1:28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13"/>
        <v>24</v>
      </c>
      <c r="R2398" s="53" t="str">
        <f t="shared" si="114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3">
        <f t="shared" si="115"/>
        <v>27</v>
      </c>
      <c r="Z2398" s="18">
        <v>46170</v>
      </c>
      <c r="AA2398" s="15"/>
      <c r="AB2398" s="15"/>
    </row>
    <row r="2399" spans="1:28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13"/>
        <v>24</v>
      </c>
      <c r="R2399" s="53" t="str">
        <f t="shared" si="114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3">
        <f t="shared" si="115"/>
        <v>27</v>
      </c>
      <c r="Z2399" s="18">
        <v>46170</v>
      </c>
      <c r="AA2399" s="15"/>
      <c r="AB2399" s="15"/>
    </row>
    <row r="2400" spans="1:28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13"/>
        <v>24</v>
      </c>
      <c r="R2400" s="53" t="str">
        <f t="shared" si="114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3">
        <f t="shared" si="115"/>
        <v>27</v>
      </c>
      <c r="Z2400" s="18">
        <v>46170</v>
      </c>
      <c r="AA2400" s="15"/>
      <c r="AB2400" s="15"/>
    </row>
    <row r="2401" spans="1:28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13"/>
        <v>24</v>
      </c>
      <c r="R2401" s="53" t="str">
        <f t="shared" si="114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3">
        <f t="shared" si="115"/>
        <v>27</v>
      </c>
      <c r="Z2401" s="18">
        <v>46170</v>
      </c>
      <c r="AA2401" s="15"/>
      <c r="AB2401" s="15"/>
    </row>
    <row r="2402" spans="1:28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13"/>
        <v>24</v>
      </c>
      <c r="R2402" s="53" t="str">
        <f t="shared" si="114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3">
        <f t="shared" si="115"/>
        <v>27</v>
      </c>
      <c r="Z2402" s="18">
        <v>46170</v>
      </c>
      <c r="AA2402" s="15"/>
      <c r="AB2402" s="15"/>
    </row>
    <row r="2403" spans="1:28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13"/>
        <v>24</v>
      </c>
      <c r="R2403" s="53" t="str">
        <f t="shared" si="114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3">
        <f t="shared" si="115"/>
        <v>27</v>
      </c>
      <c r="Z2403" s="18">
        <v>46170</v>
      </c>
      <c r="AA2403" s="15"/>
      <c r="AB2403" s="15"/>
    </row>
    <row r="2404" spans="1:28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13"/>
        <v>24</v>
      </c>
      <c r="R2404" s="53" t="str">
        <f t="shared" si="114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3">
        <f t="shared" si="115"/>
        <v>27</v>
      </c>
      <c r="Z2404" s="18">
        <v>46170</v>
      </c>
      <c r="AA2404" s="15"/>
      <c r="AB2404" s="15"/>
    </row>
    <row r="2405" spans="1:28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13"/>
        <v>24</v>
      </c>
      <c r="R2405" s="53" t="str">
        <f t="shared" si="114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3">
        <f t="shared" si="115"/>
        <v>27</v>
      </c>
      <c r="Z2405" s="18">
        <v>46170</v>
      </c>
      <c r="AA2405" s="15"/>
      <c r="AB2405" s="15"/>
    </row>
    <row r="2406" spans="1:28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13"/>
        <v>24</v>
      </c>
      <c r="R2406" s="53" t="str">
        <f t="shared" si="114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3">
        <f t="shared" si="115"/>
        <v>27</v>
      </c>
      <c r="Z2406" s="18">
        <v>46170</v>
      </c>
      <c r="AA2406" s="15"/>
      <c r="AB2406" s="15"/>
    </row>
    <row r="2407" spans="1:28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16">MID(P2407,5,2)</f>
        <v>25</v>
      </c>
      <c r="R2407" s="53" t="str">
        <f t="shared" ref="R2407:R2470" si="117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3">
        <f t="shared" si="115"/>
        <v>11</v>
      </c>
      <c r="Z2407" s="18">
        <v>46171</v>
      </c>
      <c r="AA2407" s="15"/>
      <c r="AB2407" s="15"/>
    </row>
    <row r="2408" spans="1:28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16"/>
        <v>25</v>
      </c>
      <c r="R2408" s="53" t="str">
        <f t="shared" si="117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3">
        <f t="shared" si="115"/>
        <v>11</v>
      </c>
      <c r="Z2408" s="18">
        <v>46171</v>
      </c>
      <c r="AA2408" s="15"/>
      <c r="AB2408" s="15"/>
    </row>
    <row r="2409" spans="1:28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16"/>
        <v>25</v>
      </c>
      <c r="R2409" s="53" t="str">
        <f t="shared" si="117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3">
        <f t="shared" si="115"/>
        <v>3</v>
      </c>
      <c r="Z2409" s="18">
        <v>46171</v>
      </c>
      <c r="AA2409" s="15"/>
      <c r="AB2409" s="15"/>
    </row>
    <row r="2410" spans="1:28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16"/>
        <v>25</v>
      </c>
      <c r="R2410" s="53" t="str">
        <f t="shared" si="117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3">
        <f t="shared" si="115"/>
        <v>3</v>
      </c>
      <c r="Z2410" s="18">
        <v>46171</v>
      </c>
      <c r="AA2410" s="15"/>
      <c r="AB2410" s="15"/>
    </row>
    <row r="2411" spans="1:28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16"/>
        <v>25</v>
      </c>
      <c r="R2411" s="53" t="str">
        <f t="shared" si="117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3">
        <f t="shared" si="115"/>
        <v>3</v>
      </c>
      <c r="Z2411" s="18">
        <v>46171</v>
      </c>
      <c r="AA2411" s="15"/>
      <c r="AB2411" s="15"/>
    </row>
    <row r="2412" spans="1:28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16"/>
        <v>25</v>
      </c>
      <c r="R2412" s="53" t="str">
        <f t="shared" si="117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3">
        <f t="shared" si="115"/>
        <v>3</v>
      </c>
      <c r="Z2412" s="18">
        <v>46171</v>
      </c>
      <c r="AA2412" s="15"/>
      <c r="AB2412" s="15"/>
    </row>
    <row r="2413" spans="1:28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16"/>
        <v>25</v>
      </c>
      <c r="R2413" s="53" t="str">
        <f t="shared" si="117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3">
        <f t="shared" si="115"/>
        <v>3</v>
      </c>
      <c r="Z2413" s="18">
        <v>46171</v>
      </c>
      <c r="AA2413" s="15"/>
      <c r="AB2413" s="15"/>
    </row>
    <row r="2414" spans="1:28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16"/>
        <v>23</v>
      </c>
      <c r="R2414" s="53" t="str">
        <f t="shared" si="117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3">
        <f t="shared" si="115"/>
        <v>23</v>
      </c>
      <c r="Z2414" s="18">
        <v>46171</v>
      </c>
      <c r="AA2414" s="15"/>
      <c r="AB2414" s="15"/>
    </row>
    <row r="2415" spans="1:28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16"/>
        <v>23</v>
      </c>
      <c r="R2415" s="53" t="str">
        <f t="shared" si="117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3">
        <f t="shared" si="115"/>
        <v>23</v>
      </c>
      <c r="Z2415" s="18">
        <v>46171</v>
      </c>
      <c r="AA2415" s="15"/>
      <c r="AB2415" s="15"/>
    </row>
    <row r="2416" spans="1:28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16"/>
        <v>23</v>
      </c>
      <c r="R2416" s="53" t="str">
        <f t="shared" si="117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3">
        <f t="shared" si="115"/>
        <v>23</v>
      </c>
      <c r="Z2416" s="18">
        <v>46171</v>
      </c>
      <c r="AA2416" s="15"/>
      <c r="AB2416" s="15"/>
    </row>
    <row r="2417" spans="1:28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16"/>
        <v>23</v>
      </c>
      <c r="R2417" s="53" t="str">
        <f t="shared" si="117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3">
        <f t="shared" si="115"/>
        <v>23</v>
      </c>
      <c r="Z2417" s="18">
        <v>46171</v>
      </c>
      <c r="AA2417" s="15"/>
      <c r="AB2417" s="15"/>
    </row>
    <row r="2418" spans="1:28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16"/>
        <v>23</v>
      </c>
      <c r="R2418" s="53" t="str">
        <f t="shared" si="117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3">
        <f t="shared" si="115"/>
        <v>23</v>
      </c>
      <c r="Z2418" s="18">
        <v>46171</v>
      </c>
      <c r="AA2418" s="15"/>
      <c r="AB2418" s="15"/>
    </row>
    <row r="2419" spans="1:28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16"/>
        <v>23</v>
      </c>
      <c r="R2419" s="53" t="str">
        <f t="shared" si="117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3">
        <f t="shared" si="115"/>
        <v>23</v>
      </c>
      <c r="Z2419" s="18">
        <v>46171</v>
      </c>
      <c r="AA2419" s="15"/>
      <c r="AB2419" s="15"/>
    </row>
    <row r="2420" spans="1:28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16"/>
        <v>23</v>
      </c>
      <c r="R2420" s="53" t="str">
        <f t="shared" si="117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3">
        <f t="shared" si="115"/>
        <v>23</v>
      </c>
      <c r="Z2420" s="18">
        <v>46171</v>
      </c>
      <c r="AA2420" s="15"/>
      <c r="AB2420" s="15"/>
    </row>
    <row r="2421" spans="1:28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16"/>
        <v>23</v>
      </c>
      <c r="R2421" s="53" t="str">
        <f t="shared" si="117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3">
        <f t="shared" si="115"/>
        <v>23</v>
      </c>
      <c r="Z2421" s="18">
        <v>46171</v>
      </c>
      <c r="AA2421" s="15"/>
      <c r="AB2421" s="15"/>
    </row>
    <row r="2422" spans="1:28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16"/>
        <v>23</v>
      </c>
      <c r="R2422" s="53" t="str">
        <f t="shared" si="117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3">
        <f t="shared" si="115"/>
        <v>23</v>
      </c>
      <c r="Z2422" s="18">
        <v>46171</v>
      </c>
      <c r="AA2422" s="15"/>
      <c r="AB2422" s="15"/>
    </row>
    <row r="2423" spans="1:28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16"/>
        <v>23</v>
      </c>
      <c r="R2423" s="53" t="str">
        <f t="shared" si="117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3">
        <f t="shared" si="115"/>
        <v>23</v>
      </c>
      <c r="Z2423" s="18">
        <v>46171</v>
      </c>
      <c r="AA2423" s="15"/>
      <c r="AB2423" s="15"/>
    </row>
    <row r="2424" spans="1:28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16"/>
        <v>23</v>
      </c>
      <c r="R2424" s="53" t="str">
        <f t="shared" si="117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3">
        <f t="shared" si="115"/>
        <v>23</v>
      </c>
      <c r="Z2424" s="18">
        <v>46171</v>
      </c>
      <c r="AA2424" s="15"/>
      <c r="AB2424" s="15"/>
    </row>
    <row r="2425" spans="1:28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16"/>
        <v>23</v>
      </c>
      <c r="R2425" s="53" t="str">
        <f t="shared" si="117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3">
        <f t="shared" si="115"/>
        <v>23</v>
      </c>
      <c r="Z2425" s="18">
        <v>46171</v>
      </c>
      <c r="AA2425" s="15"/>
      <c r="AB2425" s="15"/>
    </row>
    <row r="2426" spans="1:28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16"/>
        <v>24</v>
      </c>
      <c r="R2426" s="53" t="str">
        <f t="shared" si="117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3">
        <f t="shared" si="115"/>
        <v>28</v>
      </c>
      <c r="Z2426" s="18">
        <v>46171</v>
      </c>
      <c r="AA2426" s="15"/>
      <c r="AB2426" s="15"/>
    </row>
    <row r="2427" spans="1:28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16"/>
        <v>24</v>
      </c>
      <c r="R2427" s="53" t="str">
        <f t="shared" si="117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3">
        <f t="shared" si="115"/>
        <v>28</v>
      </c>
      <c r="Z2427" s="18">
        <v>46171</v>
      </c>
      <c r="AA2427" s="15"/>
      <c r="AB2427" s="15"/>
    </row>
    <row r="2428" spans="1:28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16"/>
        <v>24</v>
      </c>
      <c r="R2428" s="53" t="str">
        <f t="shared" si="117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3">
        <f t="shared" si="115"/>
        <v>28</v>
      </c>
      <c r="Z2428" s="18">
        <v>46171</v>
      </c>
      <c r="AA2428" s="15"/>
      <c r="AB2428" s="15"/>
    </row>
    <row r="2429" spans="1:28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16"/>
        <v>24</v>
      </c>
      <c r="R2429" s="53" t="str">
        <f t="shared" si="117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3">
        <f t="shared" si="115"/>
        <v>28</v>
      </c>
      <c r="Z2429" s="18">
        <v>46171</v>
      </c>
      <c r="AA2429" s="15"/>
      <c r="AB2429" s="15"/>
    </row>
    <row r="2430" spans="1:28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16"/>
        <v>24</v>
      </c>
      <c r="R2430" s="53" t="str">
        <f t="shared" si="117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3">
        <f t="shared" si="115"/>
        <v>28</v>
      </c>
      <c r="Z2430" s="18">
        <v>46171</v>
      </c>
      <c r="AA2430" s="15"/>
      <c r="AB2430" s="15"/>
    </row>
    <row r="2431" spans="1:28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16"/>
        <v>24</v>
      </c>
      <c r="R2431" s="53" t="str">
        <f t="shared" si="117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3">
        <f t="shared" si="115"/>
        <v>28</v>
      </c>
      <c r="Z2431" s="18">
        <v>46171</v>
      </c>
      <c r="AA2431" s="15"/>
      <c r="AB2431" s="15"/>
    </row>
    <row r="2432" spans="1:28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16"/>
        <v>24</v>
      </c>
      <c r="R2432" s="53" t="str">
        <f t="shared" si="117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3">
        <f t="shared" si="115"/>
        <v>28</v>
      </c>
      <c r="Z2432" s="18">
        <v>46171</v>
      </c>
      <c r="AA2432" s="15"/>
      <c r="AB2432" s="15"/>
    </row>
    <row r="2433" spans="1:28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16"/>
        <v>24</v>
      </c>
      <c r="R2433" s="53" t="str">
        <f t="shared" si="117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3">
        <f t="shared" si="115"/>
        <v>28</v>
      </c>
      <c r="Z2433" s="18">
        <v>46171</v>
      </c>
      <c r="AA2433" s="15"/>
      <c r="AB2433" s="15"/>
    </row>
    <row r="2434" spans="1:28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16"/>
        <v>24</v>
      </c>
      <c r="R2434" s="53" t="str">
        <f t="shared" si="117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3">
        <f t="shared" ref="Y2434:Y2497" si="118">X2434-A2434</f>
        <v>28</v>
      </c>
      <c r="Z2434" s="18">
        <v>46171</v>
      </c>
      <c r="AA2434" s="15"/>
      <c r="AB2434" s="15"/>
    </row>
    <row r="2435" spans="1:28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16"/>
        <v>24</v>
      </c>
      <c r="R2435" s="53" t="str">
        <f t="shared" si="117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3">
        <f t="shared" si="118"/>
        <v>28</v>
      </c>
      <c r="Z2435" s="18">
        <v>46171</v>
      </c>
      <c r="AA2435" s="15"/>
      <c r="AB2435" s="15"/>
    </row>
    <row r="2436" spans="1:28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16"/>
        <v>24</v>
      </c>
      <c r="R2436" s="53" t="str">
        <f t="shared" si="117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3">
        <f t="shared" si="118"/>
        <v>28</v>
      </c>
      <c r="Z2436" s="18">
        <v>46171</v>
      </c>
      <c r="AA2436" s="15"/>
      <c r="AB2436" s="15"/>
    </row>
    <row r="2437" spans="1:28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16"/>
        <v>24</v>
      </c>
      <c r="R2437" s="53" t="str">
        <f t="shared" si="117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3">
        <f t="shared" si="118"/>
        <v>28</v>
      </c>
      <c r="Z2437" s="18">
        <v>46171</v>
      </c>
      <c r="AA2437" s="15"/>
      <c r="AB2437" s="15"/>
    </row>
    <row r="2438" spans="1:28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16"/>
        <v>24</v>
      </c>
      <c r="R2438" s="53" t="str">
        <f t="shared" si="117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3">
        <f t="shared" si="118"/>
        <v>28</v>
      </c>
      <c r="Z2438" s="18">
        <v>46171</v>
      </c>
      <c r="AA2438" s="15"/>
      <c r="AB2438" s="15"/>
    </row>
    <row r="2439" spans="1:28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16"/>
        <v>24</v>
      </c>
      <c r="R2439" s="53" t="str">
        <f t="shared" si="117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3">
        <f t="shared" si="118"/>
        <v>28</v>
      </c>
      <c r="Z2439" s="18">
        <v>46171</v>
      </c>
      <c r="AA2439" s="15"/>
      <c r="AB2439" s="15"/>
    </row>
    <row r="2440" spans="1:28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16"/>
        <v>24</v>
      </c>
      <c r="R2440" s="53" t="str">
        <f t="shared" si="117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3">
        <f t="shared" si="118"/>
        <v>28</v>
      </c>
      <c r="Z2440" s="18">
        <v>46171</v>
      </c>
      <c r="AA2440" s="15"/>
      <c r="AB2440" s="15"/>
    </row>
    <row r="2441" spans="1:28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16"/>
        <v>24</v>
      </c>
      <c r="R2441" s="53" t="str">
        <f t="shared" si="117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3">
        <f t="shared" si="118"/>
        <v>28</v>
      </c>
      <c r="Z2441" s="18">
        <v>46171</v>
      </c>
      <c r="AA2441" s="15"/>
      <c r="AB2441" s="15"/>
    </row>
    <row r="2442" spans="1:28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16"/>
        <v>24</v>
      </c>
      <c r="R2442" s="53" t="str">
        <f t="shared" si="117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3">
        <f t="shared" si="118"/>
        <v>28</v>
      </c>
      <c r="Z2442" s="18">
        <v>46171</v>
      </c>
      <c r="AA2442" s="15"/>
      <c r="AB2442" s="15"/>
    </row>
    <row r="2443" spans="1:28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16"/>
        <v>24</v>
      </c>
      <c r="R2443" s="53" t="str">
        <f t="shared" si="117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3">
        <f t="shared" si="118"/>
        <v>28</v>
      </c>
      <c r="Z2443" s="18">
        <v>46171</v>
      </c>
      <c r="AA2443" s="15"/>
      <c r="AB2443" s="15"/>
    </row>
    <row r="2444" spans="1:28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16"/>
        <v>24</v>
      </c>
      <c r="R2444" s="53" t="str">
        <f t="shared" si="117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3">
        <f t="shared" si="118"/>
        <v>28</v>
      </c>
      <c r="Z2444" s="18">
        <v>46171</v>
      </c>
      <c r="AA2444" s="15"/>
      <c r="AB2444" s="15"/>
    </row>
    <row r="2445" spans="1:28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16"/>
        <v>24</v>
      </c>
      <c r="R2445" s="53" t="str">
        <f t="shared" si="117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3">
        <f t="shared" si="118"/>
        <v>28</v>
      </c>
      <c r="Z2445" s="18">
        <v>46171</v>
      </c>
      <c r="AA2445" s="15"/>
      <c r="AB2445" s="15"/>
    </row>
    <row r="2446" spans="1:28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16"/>
        <v>24</v>
      </c>
      <c r="R2446" s="53" t="str">
        <f t="shared" si="117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3">
        <f t="shared" si="118"/>
        <v>28</v>
      </c>
      <c r="Z2446" s="18">
        <v>46171</v>
      </c>
      <c r="AA2446" s="15"/>
      <c r="AB2446" s="15"/>
    </row>
    <row r="2447" spans="1:28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16"/>
        <v>24</v>
      </c>
      <c r="R2447" s="53" t="str">
        <f t="shared" si="117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3">
        <f t="shared" si="118"/>
        <v>28</v>
      </c>
      <c r="Z2447" s="18">
        <v>46171</v>
      </c>
      <c r="AA2447" s="15"/>
      <c r="AB2447" s="15"/>
    </row>
    <row r="2448" spans="1:28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16"/>
        <v>24</v>
      </c>
      <c r="R2448" s="53" t="str">
        <f t="shared" si="117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3">
        <f t="shared" si="118"/>
        <v>28</v>
      </c>
      <c r="Z2448" s="18">
        <v>46171</v>
      </c>
      <c r="AA2448" s="15"/>
      <c r="AB2448" s="15"/>
    </row>
    <row r="2449" spans="1:28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16"/>
        <v>24</v>
      </c>
      <c r="R2449" s="53" t="str">
        <f t="shared" si="117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3">
        <f t="shared" si="118"/>
        <v>28</v>
      </c>
      <c r="Z2449" s="18">
        <v>46171</v>
      </c>
      <c r="AA2449" s="15"/>
      <c r="AB2449" s="15"/>
    </row>
    <row r="2450" spans="1:28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16"/>
        <v>24</v>
      </c>
      <c r="R2450" s="53" t="str">
        <f t="shared" si="117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3">
        <f t="shared" si="118"/>
        <v>28</v>
      </c>
      <c r="Z2450" s="18">
        <v>46171</v>
      </c>
      <c r="AA2450" s="15"/>
      <c r="AB2450" s="15"/>
    </row>
    <row r="2451" spans="1:28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16"/>
        <v>24</v>
      </c>
      <c r="R2451" s="53" t="str">
        <f t="shared" si="117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3">
        <f t="shared" si="118"/>
        <v>28</v>
      </c>
      <c r="Z2451" s="18">
        <v>46171</v>
      </c>
      <c r="AA2451" s="15"/>
      <c r="AB2451" s="15"/>
    </row>
    <row r="2452" spans="1:28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16"/>
        <v>24</v>
      </c>
      <c r="R2452" s="53" t="str">
        <f t="shared" si="117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3">
        <f t="shared" si="118"/>
        <v>28</v>
      </c>
      <c r="Z2452" s="18">
        <v>46171</v>
      </c>
      <c r="AA2452" s="15"/>
      <c r="AB2452" s="15"/>
    </row>
    <row r="2453" spans="1:28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16"/>
        <v>24</v>
      </c>
      <c r="R2453" s="53" t="str">
        <f t="shared" si="117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3">
        <f t="shared" si="118"/>
        <v>28</v>
      </c>
      <c r="Z2453" s="18">
        <v>46171</v>
      </c>
      <c r="AA2453" s="15"/>
      <c r="AB2453" s="15"/>
    </row>
    <row r="2454" spans="1:28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16"/>
        <v>24</v>
      </c>
      <c r="R2454" s="53" t="str">
        <f t="shared" si="117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3">
        <f t="shared" si="118"/>
        <v>28</v>
      </c>
      <c r="Z2454" s="18">
        <v>46171</v>
      </c>
      <c r="AA2454" s="15"/>
      <c r="AB2454" s="15"/>
    </row>
    <row r="2455" spans="1:28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16"/>
        <v>24</v>
      </c>
      <c r="R2455" s="53" t="str">
        <f t="shared" si="117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3">
        <f t="shared" si="118"/>
        <v>28</v>
      </c>
      <c r="Z2455" s="18">
        <v>46171</v>
      </c>
      <c r="AA2455" s="15"/>
      <c r="AB2455" s="15"/>
    </row>
    <row r="2456" spans="1:28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16"/>
        <v>24</v>
      </c>
      <c r="R2456" s="53" t="str">
        <f t="shared" si="117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3">
        <f t="shared" si="118"/>
        <v>28</v>
      </c>
      <c r="Z2456" s="18">
        <v>46171</v>
      </c>
      <c r="AA2456" s="15"/>
      <c r="AB2456" s="15"/>
    </row>
    <row r="2457" spans="1:28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16"/>
        <v>24</v>
      </c>
      <c r="R2457" s="53" t="str">
        <f t="shared" si="117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3">
        <f t="shared" si="118"/>
        <v>28</v>
      </c>
      <c r="Z2457" s="18">
        <v>46171</v>
      </c>
      <c r="AA2457" s="15"/>
      <c r="AB2457" s="15"/>
    </row>
    <row r="2458" spans="1:28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16"/>
        <v>24</v>
      </c>
      <c r="R2458" s="53" t="str">
        <f t="shared" si="117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3">
        <f t="shared" si="118"/>
        <v>28</v>
      </c>
      <c r="Z2458" s="18">
        <v>46171</v>
      </c>
      <c r="AA2458" s="15"/>
      <c r="AB2458" s="15"/>
    </row>
    <row r="2459" spans="1:28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16"/>
        <v>24</v>
      </c>
      <c r="R2459" s="53" t="str">
        <f t="shared" si="117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3">
        <f t="shared" si="118"/>
        <v>28</v>
      </c>
      <c r="Z2459" s="18">
        <v>46171</v>
      </c>
      <c r="AA2459" s="15"/>
      <c r="AB2459" s="15"/>
    </row>
    <row r="2460" spans="1:28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16"/>
        <v>24</v>
      </c>
      <c r="R2460" s="53" t="str">
        <f t="shared" si="117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3">
        <f t="shared" si="118"/>
        <v>28</v>
      </c>
      <c r="Z2460" s="18">
        <v>46171</v>
      </c>
      <c r="AA2460" s="15"/>
      <c r="AB2460" s="15"/>
    </row>
    <row r="2461" spans="1:28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16"/>
        <v>24</v>
      </c>
      <c r="R2461" s="53" t="str">
        <f t="shared" si="117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3">
        <f t="shared" si="118"/>
        <v>28</v>
      </c>
      <c r="Z2461" s="18">
        <v>46171</v>
      </c>
      <c r="AA2461" s="15"/>
      <c r="AB2461" s="15"/>
    </row>
    <row r="2462" spans="1:28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16"/>
        <v>24</v>
      </c>
      <c r="R2462" s="53" t="str">
        <f t="shared" si="117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3">
        <f t="shared" si="118"/>
        <v>28</v>
      </c>
      <c r="Z2462" s="18">
        <v>46171</v>
      </c>
      <c r="AA2462" s="15"/>
      <c r="AB2462" s="15"/>
    </row>
    <row r="2463" spans="1:28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16"/>
        <v>24</v>
      </c>
      <c r="R2463" s="53" t="str">
        <f t="shared" si="117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3">
        <f t="shared" si="118"/>
        <v>28</v>
      </c>
      <c r="Z2463" s="18">
        <v>46171</v>
      </c>
      <c r="AA2463" s="15"/>
      <c r="AB2463" s="15"/>
    </row>
    <row r="2464" spans="1:28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16"/>
        <v>24</v>
      </c>
      <c r="R2464" s="53" t="str">
        <f t="shared" si="117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3">
        <f t="shared" si="118"/>
        <v>28</v>
      </c>
      <c r="Z2464" s="18">
        <v>46171</v>
      </c>
      <c r="AA2464" s="15"/>
      <c r="AB2464" s="15"/>
    </row>
    <row r="2465" spans="1:28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16"/>
        <v>24</v>
      </c>
      <c r="R2465" s="53" t="str">
        <f t="shared" si="117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3">
        <f t="shared" si="118"/>
        <v>28</v>
      </c>
      <c r="Z2465" s="18">
        <v>46171</v>
      </c>
      <c r="AA2465" s="15"/>
      <c r="AB2465" s="15"/>
    </row>
    <row r="2466" spans="1:28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16"/>
        <v>24</v>
      </c>
      <c r="R2466" s="53" t="str">
        <f t="shared" si="117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3">
        <f t="shared" si="118"/>
        <v>28</v>
      </c>
      <c r="Z2466" s="18">
        <v>46171</v>
      </c>
      <c r="AA2466" s="15"/>
      <c r="AB2466" s="15"/>
    </row>
    <row r="2467" spans="1:28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16"/>
        <v>24</v>
      </c>
      <c r="R2467" s="53" t="str">
        <f t="shared" si="117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3">
        <f t="shared" si="118"/>
        <v>28</v>
      </c>
      <c r="Z2467" s="18">
        <v>46171</v>
      </c>
      <c r="AA2467" s="15"/>
      <c r="AB2467" s="15"/>
    </row>
    <row r="2468" spans="1:28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16"/>
        <v>24</v>
      </c>
      <c r="R2468" s="53" t="str">
        <f t="shared" si="117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3">
        <f t="shared" si="118"/>
        <v>28</v>
      </c>
      <c r="Z2468" s="18">
        <v>46171</v>
      </c>
      <c r="AA2468" s="15"/>
      <c r="AB2468" s="15"/>
    </row>
    <row r="2469" spans="1:28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16"/>
        <v>24</v>
      </c>
      <c r="R2469" s="53" t="str">
        <f t="shared" si="117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3">
        <f t="shared" si="118"/>
        <v>28</v>
      </c>
      <c r="Z2469" s="18">
        <v>46171</v>
      </c>
      <c r="AA2469" s="15"/>
      <c r="AB2469" s="15"/>
    </row>
    <row r="2470" spans="1:28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16"/>
        <v>24</v>
      </c>
      <c r="R2470" s="53" t="str">
        <f t="shared" si="117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3">
        <f t="shared" si="118"/>
        <v>28</v>
      </c>
      <c r="Z2470" s="18">
        <v>46171</v>
      </c>
      <c r="AA2470" s="15"/>
      <c r="AB2470" s="15"/>
    </row>
    <row r="2471" spans="1:28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19">MID(P2471,5,2)</f>
        <v>24</v>
      </c>
      <c r="R2471" s="53" t="str">
        <f t="shared" ref="R2471:R2534" si="120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3">
        <f t="shared" si="118"/>
        <v>28</v>
      </c>
      <c r="Z2471" s="18">
        <v>46171</v>
      </c>
      <c r="AA2471" s="15"/>
      <c r="AB2471" s="15"/>
    </row>
    <row r="2472" spans="1:28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19"/>
        <v>24</v>
      </c>
      <c r="R2472" s="53" t="str">
        <f t="shared" si="120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3">
        <f t="shared" si="118"/>
        <v>28</v>
      </c>
      <c r="Z2472" s="18">
        <v>46171</v>
      </c>
      <c r="AA2472" s="15"/>
      <c r="AB2472" s="15"/>
    </row>
    <row r="2473" spans="1:28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19"/>
        <v>24</v>
      </c>
      <c r="R2473" s="53" t="str">
        <f t="shared" si="120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3">
        <f t="shared" si="118"/>
        <v>28</v>
      </c>
      <c r="Z2473" s="18">
        <v>46171</v>
      </c>
      <c r="AA2473" s="15"/>
      <c r="AB2473" s="15"/>
    </row>
    <row r="2474" spans="1:28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19"/>
        <v>24</v>
      </c>
      <c r="R2474" s="53" t="str">
        <f t="shared" si="120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3">
        <f t="shared" si="118"/>
        <v>28</v>
      </c>
      <c r="Z2474" s="18">
        <v>46171</v>
      </c>
      <c r="AA2474" s="15"/>
      <c r="AB2474" s="15"/>
    </row>
    <row r="2475" spans="1:28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19"/>
        <v>24</v>
      </c>
      <c r="R2475" s="53" t="str">
        <f t="shared" si="120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3">
        <f t="shared" si="118"/>
        <v>28</v>
      </c>
      <c r="Z2475" s="18">
        <v>46171</v>
      </c>
      <c r="AA2475" s="15"/>
      <c r="AB2475" s="15"/>
    </row>
    <row r="2476" spans="1:28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19"/>
        <v>24</v>
      </c>
      <c r="R2476" s="53" t="str">
        <f t="shared" si="120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3">
        <f t="shared" si="118"/>
        <v>28</v>
      </c>
      <c r="Z2476" s="18">
        <v>46171</v>
      </c>
      <c r="AA2476" s="15"/>
      <c r="AB2476" s="15"/>
    </row>
    <row r="2477" spans="1:28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19"/>
        <v>24</v>
      </c>
      <c r="R2477" s="53" t="str">
        <f t="shared" si="120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3">
        <f t="shared" si="118"/>
        <v>28</v>
      </c>
      <c r="Z2477" s="18">
        <v>46171</v>
      </c>
      <c r="AA2477" s="15"/>
      <c r="AB2477" s="15"/>
    </row>
    <row r="2478" spans="1:28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19"/>
        <v>24</v>
      </c>
      <c r="R2478" s="53" t="str">
        <f t="shared" si="120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3">
        <f t="shared" si="118"/>
        <v>28</v>
      </c>
      <c r="Z2478" s="18">
        <v>46171</v>
      </c>
      <c r="AA2478" s="15"/>
      <c r="AB2478" s="15"/>
    </row>
    <row r="2479" spans="1:28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19"/>
        <v>24</v>
      </c>
      <c r="R2479" s="53" t="str">
        <f t="shared" si="120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3">
        <f t="shared" si="118"/>
        <v>28</v>
      </c>
      <c r="Z2479" s="18">
        <v>46171</v>
      </c>
      <c r="AA2479" s="15"/>
      <c r="AB2479" s="15"/>
    </row>
    <row r="2480" spans="1:28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19"/>
        <v>24</v>
      </c>
      <c r="R2480" s="53" t="str">
        <f t="shared" si="120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3">
        <f t="shared" si="118"/>
        <v>28</v>
      </c>
      <c r="Z2480" s="18">
        <v>46171</v>
      </c>
      <c r="AA2480" s="15"/>
      <c r="AB2480" s="15"/>
    </row>
    <row r="2481" spans="1:28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19"/>
        <v>24</v>
      </c>
      <c r="R2481" s="53" t="str">
        <f t="shared" si="120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3">
        <f t="shared" si="118"/>
        <v>28</v>
      </c>
      <c r="Z2481" s="18">
        <v>46171</v>
      </c>
      <c r="AA2481" s="15"/>
      <c r="AB2481" s="15"/>
    </row>
    <row r="2482" spans="1:28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19"/>
        <v>24</v>
      </c>
      <c r="R2482" s="53" t="str">
        <f t="shared" si="120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3">
        <f t="shared" si="118"/>
        <v>28</v>
      </c>
      <c r="Z2482" s="18">
        <v>46171</v>
      </c>
      <c r="AA2482" s="15"/>
      <c r="AB2482" s="15"/>
    </row>
    <row r="2483" spans="1:28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19"/>
        <v>24</v>
      </c>
      <c r="R2483" s="53" t="str">
        <f t="shared" si="120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3">
        <f t="shared" si="118"/>
        <v>28</v>
      </c>
      <c r="Z2483" s="18">
        <v>46171</v>
      </c>
      <c r="AA2483" s="15"/>
      <c r="AB2483" s="15"/>
    </row>
    <row r="2484" spans="1:28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19"/>
        <v>24</v>
      </c>
      <c r="R2484" s="53" t="str">
        <f t="shared" si="120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3">
        <f t="shared" si="118"/>
        <v>28</v>
      </c>
      <c r="Z2484" s="18">
        <v>46171</v>
      </c>
      <c r="AA2484" s="15"/>
      <c r="AB2484" s="15"/>
    </row>
    <row r="2485" spans="1:28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19"/>
        <v>24</v>
      </c>
      <c r="R2485" s="53" t="str">
        <f t="shared" si="120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3">
        <f t="shared" si="118"/>
        <v>28</v>
      </c>
      <c r="Z2485" s="18">
        <v>46171</v>
      </c>
      <c r="AA2485" s="15"/>
      <c r="AB2485" s="15"/>
    </row>
    <row r="2486" spans="1:28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19"/>
        <v>24</v>
      </c>
      <c r="R2486" s="53" t="str">
        <f t="shared" si="120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3">
        <f t="shared" si="118"/>
        <v>28</v>
      </c>
      <c r="Z2486" s="18">
        <v>46171</v>
      </c>
      <c r="AA2486" s="15"/>
      <c r="AB2486" s="15"/>
    </row>
    <row r="2487" spans="1:28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19"/>
        <v>24</v>
      </c>
      <c r="R2487" s="53" t="str">
        <f t="shared" si="120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3">
        <f t="shared" si="118"/>
        <v>28</v>
      </c>
      <c r="Z2487" s="18">
        <v>46171</v>
      </c>
      <c r="AA2487" s="15"/>
      <c r="AB2487" s="15"/>
    </row>
    <row r="2488" spans="1:28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19"/>
        <v>24</v>
      </c>
      <c r="R2488" s="53" t="str">
        <f t="shared" si="120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3">
        <f t="shared" si="118"/>
        <v>28</v>
      </c>
      <c r="Z2488" s="18">
        <v>46171</v>
      </c>
      <c r="AA2488" s="15"/>
      <c r="AB2488" s="15"/>
    </row>
    <row r="2489" spans="1:28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19"/>
        <v>24</v>
      </c>
      <c r="R2489" s="53" t="str">
        <f t="shared" si="120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3">
        <f t="shared" si="118"/>
        <v>28</v>
      </c>
      <c r="Z2489" s="18">
        <v>46171</v>
      </c>
      <c r="AA2489" s="15"/>
      <c r="AB2489" s="15"/>
    </row>
    <row r="2490" spans="1:28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19"/>
        <v>24</v>
      </c>
      <c r="R2490" s="53" t="str">
        <f t="shared" si="120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3">
        <f t="shared" si="118"/>
        <v>28</v>
      </c>
      <c r="Z2490" s="18">
        <v>46171</v>
      </c>
      <c r="AA2490" s="15"/>
      <c r="AB2490" s="15"/>
    </row>
    <row r="2491" spans="1:28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19"/>
        <v>23</v>
      </c>
      <c r="R2491" s="53" t="str">
        <f t="shared" si="120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3">
        <f t="shared" si="118"/>
        <v>24</v>
      </c>
      <c r="Z2491" s="18">
        <v>46172</v>
      </c>
      <c r="AA2491" s="15"/>
      <c r="AB2491" s="15"/>
    </row>
    <row r="2492" spans="1:28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19"/>
        <v>23</v>
      </c>
      <c r="R2492" s="53" t="str">
        <f t="shared" si="120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3">
        <f t="shared" si="118"/>
        <v>24</v>
      </c>
      <c r="Z2492" s="18">
        <v>46172</v>
      </c>
      <c r="AA2492" s="15"/>
      <c r="AB2492" s="15"/>
    </row>
    <row r="2493" spans="1:28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19"/>
        <v>23</v>
      </c>
      <c r="R2493" s="53" t="str">
        <f t="shared" si="120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3">
        <f t="shared" si="118"/>
        <v>24</v>
      </c>
      <c r="Z2493" s="18">
        <v>46172</v>
      </c>
      <c r="AA2493" s="15"/>
      <c r="AB2493" s="15"/>
    </row>
    <row r="2494" spans="1:28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19"/>
        <v>23</v>
      </c>
      <c r="R2494" s="53" t="str">
        <f t="shared" si="120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3">
        <f t="shared" si="118"/>
        <v>24</v>
      </c>
      <c r="Z2494" s="18">
        <v>46172</v>
      </c>
      <c r="AA2494" s="15"/>
      <c r="AB2494" s="15"/>
    </row>
    <row r="2495" spans="1:28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19"/>
        <v>23</v>
      </c>
      <c r="R2495" s="53" t="str">
        <f t="shared" si="120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3">
        <f t="shared" si="118"/>
        <v>24</v>
      </c>
      <c r="Z2495" s="18">
        <v>46172</v>
      </c>
      <c r="AA2495" s="15"/>
      <c r="AB2495" s="15"/>
    </row>
    <row r="2496" spans="1:28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19"/>
        <v>23</v>
      </c>
      <c r="R2496" s="53" t="str">
        <f t="shared" si="120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3">
        <f t="shared" si="118"/>
        <v>24</v>
      </c>
      <c r="Z2496" s="18">
        <v>46172</v>
      </c>
      <c r="AA2496" s="15"/>
      <c r="AB2496" s="15"/>
    </row>
    <row r="2497" spans="1:28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19"/>
        <v>23</v>
      </c>
      <c r="R2497" s="53" t="str">
        <f t="shared" si="120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3">
        <f t="shared" si="118"/>
        <v>24</v>
      </c>
      <c r="Z2497" s="18">
        <v>46172</v>
      </c>
      <c r="AA2497" s="15"/>
      <c r="AB2497" s="15"/>
    </row>
    <row r="2498" spans="1:28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19"/>
        <v>23</v>
      </c>
      <c r="R2498" s="53" t="str">
        <f t="shared" si="120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3">
        <f t="shared" ref="Y2498:Y2561" si="121">X2498-A2498</f>
        <v>24</v>
      </c>
      <c r="Z2498" s="18">
        <v>46172</v>
      </c>
      <c r="AA2498" s="15"/>
      <c r="AB2498" s="15"/>
    </row>
    <row r="2499" spans="1:28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19"/>
        <v>23</v>
      </c>
      <c r="R2499" s="53" t="str">
        <f t="shared" si="120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3">
        <f t="shared" si="121"/>
        <v>24</v>
      </c>
      <c r="Z2499" s="18">
        <v>46172</v>
      </c>
      <c r="AA2499" s="15"/>
      <c r="AB2499" s="15"/>
    </row>
    <row r="2500" spans="1:28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19"/>
        <v>23</v>
      </c>
      <c r="R2500" s="53" t="str">
        <f t="shared" si="120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3">
        <f t="shared" si="121"/>
        <v>24</v>
      </c>
      <c r="Z2500" s="18">
        <v>46172</v>
      </c>
      <c r="AA2500" s="15"/>
      <c r="AB2500" s="15"/>
    </row>
    <row r="2501" spans="1:28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19"/>
        <v>23</v>
      </c>
      <c r="R2501" s="53" t="str">
        <f t="shared" si="120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3">
        <f t="shared" si="121"/>
        <v>24</v>
      </c>
      <c r="Z2501" s="18">
        <v>46172</v>
      </c>
      <c r="AA2501" s="15"/>
      <c r="AB2501" s="15"/>
    </row>
    <row r="2502" spans="1:28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19"/>
        <v>23</v>
      </c>
      <c r="R2502" s="53" t="str">
        <f t="shared" si="120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3">
        <f t="shared" si="121"/>
        <v>24</v>
      </c>
      <c r="Z2502" s="18">
        <v>46172</v>
      </c>
      <c r="AA2502" s="15"/>
      <c r="AB2502" s="15"/>
    </row>
    <row r="2503" spans="1:28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19"/>
        <v>23</v>
      </c>
      <c r="R2503" s="53" t="str">
        <f t="shared" si="120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3">
        <f t="shared" si="121"/>
        <v>24</v>
      </c>
      <c r="Z2503" s="18">
        <v>46172</v>
      </c>
      <c r="AA2503" s="15"/>
      <c r="AB2503" s="15"/>
    </row>
    <row r="2504" spans="1:28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19"/>
        <v>23</v>
      </c>
      <c r="R2504" s="53" t="str">
        <f t="shared" si="120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3">
        <f t="shared" si="121"/>
        <v>24</v>
      </c>
      <c r="Z2504" s="18">
        <v>46172</v>
      </c>
      <c r="AA2504" s="15"/>
      <c r="AB2504" s="15"/>
    </row>
    <row r="2505" spans="1:28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19"/>
        <v>23</v>
      </c>
      <c r="R2505" s="53" t="str">
        <f t="shared" si="120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3">
        <f t="shared" si="121"/>
        <v>24</v>
      </c>
      <c r="Z2505" s="18">
        <v>46172</v>
      </c>
      <c r="AA2505" s="15"/>
      <c r="AB2505" s="15"/>
    </row>
    <row r="2506" spans="1:28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19"/>
        <v>23</v>
      </c>
      <c r="R2506" s="53" t="str">
        <f t="shared" si="120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3">
        <f t="shared" si="121"/>
        <v>24</v>
      </c>
      <c r="Z2506" s="18">
        <v>46172</v>
      </c>
      <c r="AA2506" s="15"/>
      <c r="AB2506" s="15"/>
    </row>
    <row r="2507" spans="1:28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19"/>
        <v>23</v>
      </c>
      <c r="R2507" s="53" t="str">
        <f t="shared" si="120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3">
        <f t="shared" si="121"/>
        <v>24</v>
      </c>
      <c r="Z2507" s="18">
        <v>46172</v>
      </c>
      <c r="AA2507" s="15"/>
      <c r="AB2507" s="15"/>
    </row>
    <row r="2508" spans="1:28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19"/>
        <v>23</v>
      </c>
      <c r="R2508" s="53" t="str">
        <f t="shared" si="120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3">
        <f t="shared" si="121"/>
        <v>24</v>
      </c>
      <c r="Z2508" s="18">
        <v>46172</v>
      </c>
      <c r="AA2508" s="15"/>
      <c r="AB2508" s="15"/>
    </row>
    <row r="2509" spans="1:28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19"/>
        <v>23</v>
      </c>
      <c r="R2509" s="53" t="str">
        <f t="shared" si="120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3">
        <f t="shared" si="121"/>
        <v>24</v>
      </c>
      <c r="Z2509" s="18">
        <v>46172</v>
      </c>
      <c r="AA2509" s="15"/>
      <c r="AB2509" s="15"/>
    </row>
    <row r="2510" spans="1:28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19"/>
        <v>23</v>
      </c>
      <c r="R2510" s="53" t="str">
        <f t="shared" si="120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3">
        <f t="shared" si="121"/>
        <v>24</v>
      </c>
      <c r="Z2510" s="18">
        <v>46172</v>
      </c>
      <c r="AA2510" s="15"/>
      <c r="AB2510" s="15"/>
    </row>
    <row r="2511" spans="1:28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19"/>
        <v>23</v>
      </c>
      <c r="R2511" s="53" t="str">
        <f t="shared" si="120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3">
        <f t="shared" si="121"/>
        <v>24</v>
      </c>
      <c r="Z2511" s="18">
        <v>46172</v>
      </c>
      <c r="AA2511" s="15"/>
      <c r="AB2511" s="15"/>
    </row>
    <row r="2512" spans="1:28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19"/>
        <v>23</v>
      </c>
      <c r="R2512" s="53" t="str">
        <f t="shared" si="120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3">
        <f t="shared" si="121"/>
        <v>24</v>
      </c>
      <c r="Z2512" s="18">
        <v>46172</v>
      </c>
      <c r="AA2512" s="15"/>
      <c r="AB2512" s="15"/>
    </row>
    <row r="2513" spans="1:28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19"/>
        <v>23</v>
      </c>
      <c r="R2513" s="53" t="str">
        <f t="shared" si="120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3">
        <f t="shared" si="121"/>
        <v>24</v>
      </c>
      <c r="Z2513" s="18">
        <v>46172</v>
      </c>
      <c r="AA2513" s="15"/>
      <c r="AB2513" s="15"/>
    </row>
    <row r="2514" spans="1:28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19"/>
        <v>23</v>
      </c>
      <c r="R2514" s="53" t="str">
        <f t="shared" si="120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3">
        <f t="shared" si="121"/>
        <v>24</v>
      </c>
      <c r="Z2514" s="18">
        <v>46172</v>
      </c>
      <c r="AA2514" s="15"/>
      <c r="AB2514" s="15"/>
    </row>
    <row r="2515" spans="1:28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19"/>
        <v>23</v>
      </c>
      <c r="R2515" s="53" t="str">
        <f t="shared" si="120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3">
        <f t="shared" si="121"/>
        <v>24</v>
      </c>
      <c r="Z2515" s="18">
        <v>46172</v>
      </c>
      <c r="AA2515" s="15"/>
      <c r="AB2515" s="15"/>
    </row>
    <row r="2516" spans="1:28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19"/>
        <v>23</v>
      </c>
      <c r="R2516" s="53" t="str">
        <f t="shared" si="120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3">
        <f t="shared" si="121"/>
        <v>24</v>
      </c>
      <c r="Z2516" s="18">
        <v>46172</v>
      </c>
      <c r="AA2516" s="15"/>
      <c r="AB2516" s="15"/>
    </row>
    <row r="2517" spans="1:28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19"/>
        <v>23</v>
      </c>
      <c r="R2517" s="53" t="str">
        <f t="shared" si="120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3">
        <f t="shared" si="121"/>
        <v>24</v>
      </c>
      <c r="Z2517" s="18">
        <v>46172</v>
      </c>
      <c r="AA2517" s="15"/>
      <c r="AB2517" s="15"/>
    </row>
    <row r="2518" spans="1:28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19"/>
        <v>23</v>
      </c>
      <c r="R2518" s="53" t="str">
        <f t="shared" si="120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3">
        <f t="shared" si="121"/>
        <v>24</v>
      </c>
      <c r="Z2518" s="18">
        <v>46172</v>
      </c>
      <c r="AA2518" s="15"/>
      <c r="AB2518" s="15"/>
    </row>
    <row r="2519" spans="1:28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19"/>
        <v>23</v>
      </c>
      <c r="R2519" s="53" t="str">
        <f t="shared" si="120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3">
        <f t="shared" si="121"/>
        <v>24</v>
      </c>
      <c r="Z2519" s="18">
        <v>46172</v>
      </c>
      <c r="AA2519" s="15"/>
      <c r="AB2519" s="15"/>
    </row>
    <row r="2520" spans="1:28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19"/>
        <v>23</v>
      </c>
      <c r="R2520" s="53" t="str">
        <f t="shared" si="120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3">
        <f t="shared" si="121"/>
        <v>24</v>
      </c>
      <c r="Z2520" s="18">
        <v>46172</v>
      </c>
      <c r="AA2520" s="15"/>
      <c r="AB2520" s="15"/>
    </row>
    <row r="2521" spans="1:28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19"/>
        <v>23</v>
      </c>
      <c r="R2521" s="53" t="str">
        <f t="shared" si="120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3">
        <f t="shared" si="121"/>
        <v>24</v>
      </c>
      <c r="Z2521" s="18">
        <v>46172</v>
      </c>
      <c r="AA2521" s="15"/>
      <c r="AB2521" s="15"/>
    </row>
    <row r="2522" spans="1:28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19"/>
        <v>23</v>
      </c>
      <c r="R2522" s="53" t="str">
        <f t="shared" si="120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3">
        <f t="shared" si="121"/>
        <v>24</v>
      </c>
      <c r="Z2522" s="18">
        <v>46172</v>
      </c>
      <c r="AA2522" s="15"/>
      <c r="AB2522" s="15"/>
    </row>
    <row r="2523" spans="1:28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19"/>
        <v>23</v>
      </c>
      <c r="R2523" s="53" t="str">
        <f t="shared" si="120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3">
        <f t="shared" si="121"/>
        <v>24</v>
      </c>
      <c r="Z2523" s="18">
        <v>46172</v>
      </c>
      <c r="AA2523" s="15"/>
      <c r="AB2523" s="15"/>
    </row>
    <row r="2524" spans="1:28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19"/>
        <v>23</v>
      </c>
      <c r="R2524" s="53" t="str">
        <f t="shared" si="120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3">
        <f t="shared" si="121"/>
        <v>24</v>
      </c>
      <c r="Z2524" s="18">
        <v>46172</v>
      </c>
      <c r="AA2524" s="15"/>
      <c r="AB2524" s="15"/>
    </row>
    <row r="2525" spans="1:28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19"/>
        <v>23</v>
      </c>
      <c r="R2525" s="53" t="str">
        <f t="shared" si="120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3">
        <f t="shared" si="121"/>
        <v>24</v>
      </c>
      <c r="Z2525" s="18">
        <v>46172</v>
      </c>
      <c r="AA2525" s="15"/>
      <c r="AB2525" s="15"/>
    </row>
    <row r="2526" spans="1:28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19"/>
        <v>23</v>
      </c>
      <c r="R2526" s="53" t="str">
        <f t="shared" si="120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3">
        <f t="shared" si="121"/>
        <v>24</v>
      </c>
      <c r="Z2526" s="18">
        <v>46172</v>
      </c>
      <c r="AA2526" s="15"/>
      <c r="AB2526" s="15"/>
    </row>
    <row r="2527" spans="1:28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19"/>
        <v>23</v>
      </c>
      <c r="R2527" s="53" t="str">
        <f t="shared" si="120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3">
        <f t="shared" si="121"/>
        <v>24</v>
      </c>
      <c r="Z2527" s="18">
        <v>46172</v>
      </c>
      <c r="AA2527" s="15"/>
      <c r="AB2527" s="15"/>
    </row>
    <row r="2528" spans="1:28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19"/>
        <v>23</v>
      </c>
      <c r="R2528" s="53" t="str">
        <f t="shared" si="120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3">
        <f t="shared" si="121"/>
        <v>24</v>
      </c>
      <c r="Z2528" s="18">
        <v>46172</v>
      </c>
      <c r="AA2528" s="15"/>
      <c r="AB2528" s="15"/>
    </row>
    <row r="2529" spans="1:28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19"/>
        <v>23</v>
      </c>
      <c r="R2529" s="53" t="str">
        <f t="shared" si="120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3">
        <f t="shared" si="121"/>
        <v>24</v>
      </c>
      <c r="Z2529" s="18">
        <v>46172</v>
      </c>
      <c r="AA2529" s="15"/>
      <c r="AB2529" s="15"/>
    </row>
    <row r="2530" spans="1:28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19"/>
        <v>23</v>
      </c>
      <c r="R2530" s="53" t="str">
        <f t="shared" si="120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3">
        <f t="shared" si="121"/>
        <v>24</v>
      </c>
      <c r="Z2530" s="18">
        <v>46172</v>
      </c>
      <c r="AA2530" s="15"/>
      <c r="AB2530" s="15"/>
    </row>
    <row r="2531" spans="1:28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19"/>
        <v>23</v>
      </c>
      <c r="R2531" s="53" t="str">
        <f t="shared" si="120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3">
        <f t="shared" si="121"/>
        <v>24</v>
      </c>
      <c r="Z2531" s="18">
        <v>46172</v>
      </c>
      <c r="AA2531" s="15"/>
      <c r="AB2531" s="15"/>
    </row>
    <row r="2532" spans="1:28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19"/>
        <v>23</v>
      </c>
      <c r="R2532" s="53" t="str">
        <f t="shared" si="120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3">
        <f t="shared" si="121"/>
        <v>24</v>
      </c>
      <c r="Z2532" s="18">
        <v>46172</v>
      </c>
      <c r="AA2532" s="15"/>
      <c r="AB2532" s="15"/>
    </row>
    <row r="2533" spans="1:28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19"/>
        <v>23</v>
      </c>
      <c r="R2533" s="53" t="str">
        <f t="shared" si="120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3">
        <f t="shared" si="121"/>
        <v>24</v>
      </c>
      <c r="Z2533" s="18">
        <v>46172</v>
      </c>
      <c r="AA2533" s="15"/>
      <c r="AB2533" s="15"/>
    </row>
    <row r="2534" spans="1:28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19"/>
        <v>23</v>
      </c>
      <c r="R2534" s="53" t="str">
        <f t="shared" si="120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3">
        <f t="shared" si="121"/>
        <v>24</v>
      </c>
      <c r="Z2534" s="18">
        <v>46172</v>
      </c>
      <c r="AA2534" s="15"/>
      <c r="AB2534" s="15"/>
    </row>
    <row r="2535" spans="1:28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22">MID(P2535,5,2)</f>
        <v>23</v>
      </c>
      <c r="R2535" s="53" t="str">
        <f t="shared" ref="R2535:R2598" si="123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3">
        <f t="shared" si="121"/>
        <v>24</v>
      </c>
      <c r="Z2535" s="18">
        <v>46172</v>
      </c>
      <c r="AA2535" s="15"/>
      <c r="AB2535" s="15"/>
    </row>
    <row r="2536" spans="1:28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22"/>
        <v>23</v>
      </c>
      <c r="R2536" s="53" t="str">
        <f t="shared" si="123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3">
        <f t="shared" si="121"/>
        <v>24</v>
      </c>
      <c r="Z2536" s="18">
        <v>46172</v>
      </c>
      <c r="AA2536" s="15"/>
      <c r="AB2536" s="15"/>
    </row>
    <row r="2537" spans="1:28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22"/>
        <v>23</v>
      </c>
      <c r="R2537" s="53" t="str">
        <f t="shared" si="123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3">
        <f t="shared" si="121"/>
        <v>24</v>
      </c>
      <c r="Z2537" s="18">
        <v>46172</v>
      </c>
      <c r="AA2537" s="15"/>
      <c r="AB2537" s="15"/>
    </row>
    <row r="2538" spans="1:28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22"/>
        <v>23</v>
      </c>
      <c r="R2538" s="53" t="str">
        <f t="shared" si="123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3">
        <f t="shared" si="121"/>
        <v>24</v>
      </c>
      <c r="Z2538" s="18">
        <v>46172</v>
      </c>
      <c r="AA2538" s="15"/>
      <c r="AB2538" s="15"/>
    </row>
    <row r="2539" spans="1:28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22"/>
        <v>23</v>
      </c>
      <c r="R2539" s="53" t="str">
        <f t="shared" si="123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3">
        <f t="shared" si="121"/>
        <v>24</v>
      </c>
      <c r="Z2539" s="18">
        <v>46172</v>
      </c>
      <c r="AA2539" s="15"/>
      <c r="AB2539" s="15"/>
    </row>
    <row r="2540" spans="1:28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22"/>
        <v>23</v>
      </c>
      <c r="R2540" s="53" t="str">
        <f t="shared" si="123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3">
        <f t="shared" si="121"/>
        <v>24</v>
      </c>
      <c r="Z2540" s="18">
        <v>46172</v>
      </c>
      <c r="AA2540" s="15"/>
      <c r="AB2540" s="15"/>
    </row>
    <row r="2541" spans="1:28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22"/>
        <v>23</v>
      </c>
      <c r="R2541" s="53" t="str">
        <f t="shared" si="123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3">
        <f t="shared" si="121"/>
        <v>24</v>
      </c>
      <c r="Z2541" s="18">
        <v>46172</v>
      </c>
      <c r="AA2541" s="15"/>
      <c r="AB2541" s="15"/>
    </row>
    <row r="2542" spans="1:28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22"/>
        <v>23</v>
      </c>
      <c r="R2542" s="53" t="str">
        <f t="shared" si="123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3">
        <f t="shared" si="121"/>
        <v>24</v>
      </c>
      <c r="Z2542" s="18">
        <v>46172</v>
      </c>
      <c r="AA2542" s="15"/>
      <c r="AB2542" s="15"/>
    </row>
    <row r="2543" spans="1:28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22"/>
        <v>23</v>
      </c>
      <c r="R2543" s="53" t="str">
        <f t="shared" si="123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3">
        <f t="shared" si="121"/>
        <v>24</v>
      </c>
      <c r="Z2543" s="18">
        <v>46172</v>
      </c>
      <c r="AA2543" s="15"/>
      <c r="AB2543" s="15"/>
    </row>
    <row r="2544" spans="1:28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22"/>
        <v>23</v>
      </c>
      <c r="R2544" s="53" t="str">
        <f t="shared" si="123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3">
        <f t="shared" si="121"/>
        <v>24</v>
      </c>
      <c r="Z2544" s="18">
        <v>46172</v>
      </c>
      <c r="AA2544" s="15"/>
      <c r="AB2544" s="15"/>
    </row>
    <row r="2545" spans="1:28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22"/>
        <v>23</v>
      </c>
      <c r="R2545" s="53" t="str">
        <f t="shared" si="123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3">
        <f t="shared" si="121"/>
        <v>24</v>
      </c>
      <c r="Z2545" s="18">
        <v>46172</v>
      </c>
      <c r="AA2545" s="15"/>
      <c r="AB2545" s="15"/>
    </row>
    <row r="2546" spans="1:28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22"/>
        <v>23</v>
      </c>
      <c r="R2546" s="53" t="str">
        <f t="shared" si="123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3">
        <f t="shared" si="121"/>
        <v>24</v>
      </c>
      <c r="Z2546" s="18">
        <v>46172</v>
      </c>
      <c r="AA2546" s="15"/>
      <c r="AB2546" s="15"/>
    </row>
    <row r="2547" spans="1:28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22"/>
        <v>23</v>
      </c>
      <c r="R2547" s="53" t="str">
        <f t="shared" si="123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3">
        <f t="shared" si="121"/>
        <v>24</v>
      </c>
      <c r="Z2547" s="18">
        <v>46172</v>
      </c>
      <c r="AA2547" s="15"/>
      <c r="AB2547" s="15"/>
    </row>
    <row r="2548" spans="1:28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22"/>
        <v>23</v>
      </c>
      <c r="R2548" s="53" t="str">
        <f t="shared" si="123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3">
        <f t="shared" si="121"/>
        <v>24</v>
      </c>
      <c r="Z2548" s="18">
        <v>46172</v>
      </c>
      <c r="AA2548" s="15"/>
      <c r="AB2548" s="15"/>
    </row>
    <row r="2549" spans="1:28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22"/>
        <v>25</v>
      </c>
      <c r="R2549" s="53" t="str">
        <f t="shared" si="123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3">
        <f t="shared" si="121"/>
        <v>5</v>
      </c>
      <c r="Z2549" s="18">
        <v>46172</v>
      </c>
      <c r="AA2549" s="15"/>
      <c r="AB2549" s="15"/>
    </row>
    <row r="2550" spans="1:28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22"/>
        <v>25</v>
      </c>
      <c r="R2550" s="53" t="str">
        <f t="shared" si="123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3">
        <f t="shared" si="121"/>
        <v>5</v>
      </c>
      <c r="Z2550" s="18">
        <v>46172</v>
      </c>
      <c r="AA2550" s="15"/>
      <c r="AB2550" s="15"/>
    </row>
    <row r="2551" spans="1:28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22"/>
        <v>25</v>
      </c>
      <c r="R2551" s="53" t="str">
        <f t="shared" si="123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3">
        <f t="shared" si="121"/>
        <v>5</v>
      </c>
      <c r="Z2551" s="18">
        <v>46172</v>
      </c>
      <c r="AA2551" s="15"/>
      <c r="AB2551" s="15"/>
    </row>
    <row r="2552" spans="1:28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22"/>
        <v>25</v>
      </c>
      <c r="R2552" s="53" t="str">
        <f t="shared" si="123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3">
        <f t="shared" si="121"/>
        <v>5</v>
      </c>
      <c r="Z2552" s="18">
        <v>46172</v>
      </c>
      <c r="AA2552" s="15"/>
      <c r="AB2552" s="15"/>
    </row>
    <row r="2553" spans="1:28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22"/>
        <v>25</v>
      </c>
      <c r="R2553" s="53" t="str">
        <f t="shared" si="123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3">
        <f t="shared" si="121"/>
        <v>5</v>
      </c>
      <c r="Z2553" s="18">
        <v>46172</v>
      </c>
      <c r="AA2553" s="15"/>
      <c r="AB2553" s="15"/>
    </row>
    <row r="2554" spans="1:28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22"/>
        <v>25</v>
      </c>
      <c r="R2554" s="53" t="str">
        <f t="shared" si="123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3">
        <f t="shared" si="121"/>
        <v>5</v>
      </c>
      <c r="Z2554" s="18">
        <v>46172</v>
      </c>
      <c r="AA2554" s="15"/>
      <c r="AB2554" s="15"/>
    </row>
    <row r="2555" spans="1:28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22"/>
        <v>24</v>
      </c>
      <c r="R2555" s="53" t="str">
        <f t="shared" si="123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3">
        <f t="shared" si="121"/>
        <v>29</v>
      </c>
      <c r="Z2555" s="18">
        <v>46172</v>
      </c>
      <c r="AA2555" s="15"/>
      <c r="AB2555" s="15"/>
    </row>
    <row r="2556" spans="1:28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22"/>
        <v>24</v>
      </c>
      <c r="R2556" s="53" t="str">
        <f t="shared" si="123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3">
        <f t="shared" si="121"/>
        <v>29</v>
      </c>
      <c r="Z2556" s="18">
        <v>46172</v>
      </c>
      <c r="AA2556" s="15"/>
      <c r="AB2556" s="15"/>
    </row>
    <row r="2557" spans="1:28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22"/>
        <v>24</v>
      </c>
      <c r="R2557" s="53" t="str">
        <f t="shared" si="123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3">
        <f t="shared" si="121"/>
        <v>29</v>
      </c>
      <c r="Z2557" s="18">
        <v>46172</v>
      </c>
      <c r="AA2557" s="15"/>
      <c r="AB2557" s="15"/>
    </row>
    <row r="2558" spans="1:28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22"/>
        <v>24</v>
      </c>
      <c r="R2558" s="53" t="str">
        <f t="shared" si="123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3">
        <f t="shared" si="121"/>
        <v>29</v>
      </c>
      <c r="Z2558" s="18">
        <v>46172</v>
      </c>
      <c r="AA2558" s="15"/>
      <c r="AB2558" s="15"/>
    </row>
    <row r="2559" spans="1:28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22"/>
        <v>24</v>
      </c>
      <c r="R2559" s="53" t="str">
        <f t="shared" si="123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3">
        <f t="shared" si="121"/>
        <v>29</v>
      </c>
      <c r="Z2559" s="18">
        <v>46172</v>
      </c>
      <c r="AA2559" s="15"/>
      <c r="AB2559" s="15"/>
    </row>
    <row r="2560" spans="1:28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22"/>
        <v>24</v>
      </c>
      <c r="R2560" s="53" t="str">
        <f t="shared" si="123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3">
        <f t="shared" si="121"/>
        <v>29</v>
      </c>
      <c r="Z2560" s="18">
        <v>46172</v>
      </c>
      <c r="AA2560" s="15"/>
      <c r="AB2560" s="15"/>
    </row>
    <row r="2561" spans="1:28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22"/>
        <v>24</v>
      </c>
      <c r="R2561" s="53" t="str">
        <f t="shared" si="123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3">
        <f t="shared" si="121"/>
        <v>29</v>
      </c>
      <c r="Z2561" s="18">
        <v>46172</v>
      </c>
      <c r="AA2561" s="15"/>
      <c r="AB2561" s="15"/>
    </row>
    <row r="2562" spans="1:28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22"/>
        <v>24</v>
      </c>
      <c r="R2562" s="53" t="str">
        <f t="shared" si="123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3">
        <f t="shared" ref="Y2562:Y2625" si="124">X2562-A2562</f>
        <v>29</v>
      </c>
      <c r="Z2562" s="18">
        <v>46172</v>
      </c>
      <c r="AA2562" s="15"/>
      <c r="AB2562" s="15"/>
    </row>
    <row r="2563" spans="1:28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22"/>
        <v>24</v>
      </c>
      <c r="R2563" s="53" t="str">
        <f t="shared" si="123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3">
        <f t="shared" si="124"/>
        <v>29</v>
      </c>
      <c r="Z2563" s="18">
        <v>46172</v>
      </c>
      <c r="AA2563" s="15"/>
      <c r="AB2563" s="15"/>
    </row>
    <row r="2564" spans="1:28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22"/>
        <v>24</v>
      </c>
      <c r="R2564" s="53" t="str">
        <f t="shared" si="123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3">
        <f t="shared" si="124"/>
        <v>29</v>
      </c>
      <c r="Z2564" s="18">
        <v>46172</v>
      </c>
      <c r="AA2564" s="15"/>
      <c r="AB2564" s="15"/>
    </row>
    <row r="2565" spans="1:28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22"/>
        <v>24</v>
      </c>
      <c r="R2565" s="53" t="str">
        <f t="shared" si="123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3">
        <f t="shared" si="124"/>
        <v>29</v>
      </c>
      <c r="Z2565" s="18">
        <v>46172</v>
      </c>
      <c r="AA2565" s="15"/>
      <c r="AB2565" s="15"/>
    </row>
    <row r="2566" spans="1:28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22"/>
        <v>24</v>
      </c>
      <c r="R2566" s="53" t="str">
        <f t="shared" si="123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3">
        <f t="shared" si="124"/>
        <v>29</v>
      </c>
      <c r="Z2566" s="18">
        <v>46172</v>
      </c>
      <c r="AA2566" s="15"/>
      <c r="AB2566" s="15"/>
    </row>
    <row r="2567" spans="1:28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22"/>
        <v>24</v>
      </c>
      <c r="R2567" s="53" t="str">
        <f t="shared" si="123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3">
        <f t="shared" si="124"/>
        <v>29</v>
      </c>
      <c r="Z2567" s="18">
        <v>46172</v>
      </c>
      <c r="AA2567" s="15"/>
      <c r="AB2567" s="15"/>
    </row>
    <row r="2568" spans="1:28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22"/>
        <v>24</v>
      </c>
      <c r="R2568" s="53" t="str">
        <f t="shared" si="123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3">
        <f t="shared" si="124"/>
        <v>29</v>
      </c>
      <c r="Z2568" s="18">
        <v>46172</v>
      </c>
      <c r="AA2568" s="15"/>
      <c r="AB2568" s="15"/>
    </row>
    <row r="2569" spans="1:28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22"/>
        <v>24</v>
      </c>
      <c r="R2569" s="53" t="str">
        <f t="shared" si="123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3">
        <f t="shared" si="124"/>
        <v>29</v>
      </c>
      <c r="Z2569" s="18">
        <v>46172</v>
      </c>
      <c r="AA2569" s="15"/>
      <c r="AB2569" s="15"/>
    </row>
    <row r="2570" spans="1:28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22"/>
        <v>24</v>
      </c>
      <c r="R2570" s="53" t="str">
        <f t="shared" si="123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3">
        <f t="shared" si="124"/>
        <v>29</v>
      </c>
      <c r="Z2570" s="18">
        <v>46172</v>
      </c>
      <c r="AA2570" s="15"/>
      <c r="AB2570" s="15"/>
    </row>
    <row r="2571" spans="1:28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22"/>
        <v>24</v>
      </c>
      <c r="R2571" s="53" t="str">
        <f t="shared" si="123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3">
        <f t="shared" si="124"/>
        <v>29</v>
      </c>
      <c r="Z2571" s="18">
        <v>46172</v>
      </c>
      <c r="AA2571" s="15"/>
      <c r="AB2571" s="15"/>
    </row>
    <row r="2572" spans="1:28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22"/>
        <v>24</v>
      </c>
      <c r="R2572" s="53" t="str">
        <f t="shared" si="123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3">
        <f t="shared" si="124"/>
        <v>29</v>
      </c>
      <c r="Z2572" s="18">
        <v>46172</v>
      </c>
      <c r="AA2572" s="15"/>
      <c r="AB2572" s="15"/>
    </row>
    <row r="2573" spans="1:28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22"/>
        <v>24</v>
      </c>
      <c r="R2573" s="53" t="str">
        <f t="shared" si="123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3">
        <f t="shared" si="124"/>
        <v>29</v>
      </c>
      <c r="Z2573" s="18">
        <v>46172</v>
      </c>
      <c r="AA2573" s="15"/>
      <c r="AB2573" s="15"/>
    </row>
    <row r="2574" spans="1:28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22"/>
        <v>24</v>
      </c>
      <c r="R2574" s="53" t="str">
        <f t="shared" si="123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3">
        <f t="shared" si="124"/>
        <v>29</v>
      </c>
      <c r="Z2574" s="18">
        <v>46172</v>
      </c>
      <c r="AA2574" s="15"/>
      <c r="AB2574" s="15"/>
    </row>
    <row r="2575" spans="1:28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22"/>
        <v>24</v>
      </c>
      <c r="R2575" s="53" t="str">
        <f t="shared" si="123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3">
        <f t="shared" si="124"/>
        <v>29</v>
      </c>
      <c r="Z2575" s="18">
        <v>46172</v>
      </c>
      <c r="AA2575" s="15"/>
      <c r="AB2575" s="15"/>
    </row>
    <row r="2576" spans="1:28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22"/>
        <v>24</v>
      </c>
      <c r="R2576" s="53" t="str">
        <f t="shared" si="123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3">
        <f t="shared" si="124"/>
        <v>29</v>
      </c>
      <c r="Z2576" s="18">
        <v>46172</v>
      </c>
      <c r="AA2576" s="15"/>
      <c r="AB2576" s="15"/>
    </row>
    <row r="2577" spans="1:28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22"/>
        <v>24</v>
      </c>
      <c r="R2577" s="53" t="str">
        <f t="shared" si="123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3">
        <f t="shared" si="124"/>
        <v>29</v>
      </c>
      <c r="Z2577" s="18">
        <v>46172</v>
      </c>
      <c r="AA2577" s="15"/>
      <c r="AB2577" s="15"/>
    </row>
    <row r="2578" spans="1:28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22"/>
        <v>24</v>
      </c>
      <c r="R2578" s="53" t="str">
        <f t="shared" si="123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3">
        <f t="shared" si="124"/>
        <v>29</v>
      </c>
      <c r="Z2578" s="18">
        <v>46172</v>
      </c>
      <c r="AA2578" s="15"/>
      <c r="AB2578" s="15"/>
    </row>
    <row r="2579" spans="1:28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22"/>
        <v>24</v>
      </c>
      <c r="R2579" s="53" t="str">
        <f t="shared" si="123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3">
        <f t="shared" si="124"/>
        <v>29</v>
      </c>
      <c r="Z2579" s="18">
        <v>46172</v>
      </c>
      <c r="AA2579" s="15"/>
      <c r="AB2579" s="15"/>
    </row>
    <row r="2580" spans="1:28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22"/>
        <v>24</v>
      </c>
      <c r="R2580" s="53" t="str">
        <f t="shared" si="123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3">
        <f t="shared" si="124"/>
        <v>29</v>
      </c>
      <c r="Z2580" s="18">
        <v>46172</v>
      </c>
      <c r="AA2580" s="15"/>
      <c r="AB2580" s="15"/>
    </row>
    <row r="2581" spans="1:28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22"/>
        <v>24</v>
      </c>
      <c r="R2581" s="53" t="str">
        <f t="shared" si="123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3">
        <f t="shared" si="124"/>
        <v>29</v>
      </c>
      <c r="Z2581" s="18">
        <v>46172</v>
      </c>
      <c r="AA2581" s="15"/>
      <c r="AB2581" s="15"/>
    </row>
    <row r="2582" spans="1:28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22"/>
        <v>24</v>
      </c>
      <c r="R2582" s="53" t="str">
        <f t="shared" si="123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3">
        <f t="shared" si="124"/>
        <v>29</v>
      </c>
      <c r="Z2582" s="18">
        <v>46172</v>
      </c>
      <c r="AA2582" s="15"/>
      <c r="AB2582" s="15"/>
    </row>
    <row r="2583" spans="1:28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22"/>
        <v>24</v>
      </c>
      <c r="R2583" s="53" t="str">
        <f t="shared" si="123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3">
        <f t="shared" si="124"/>
        <v>29</v>
      </c>
      <c r="Z2583" s="18">
        <v>46172</v>
      </c>
      <c r="AA2583" s="15"/>
      <c r="AB2583" s="15"/>
    </row>
    <row r="2584" spans="1:28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22"/>
        <v>24</v>
      </c>
      <c r="R2584" s="53" t="str">
        <f t="shared" si="123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3">
        <f t="shared" si="124"/>
        <v>29</v>
      </c>
      <c r="Z2584" s="18">
        <v>46172</v>
      </c>
      <c r="AA2584" s="15"/>
      <c r="AB2584" s="15"/>
    </row>
    <row r="2585" spans="1:28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22"/>
        <v>24</v>
      </c>
      <c r="R2585" s="53" t="str">
        <f t="shared" si="123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3">
        <f t="shared" si="124"/>
        <v>29</v>
      </c>
      <c r="Z2585" s="18">
        <v>46172</v>
      </c>
      <c r="AA2585" s="15"/>
      <c r="AB2585" s="15"/>
    </row>
    <row r="2586" spans="1:28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22"/>
        <v>24</v>
      </c>
      <c r="R2586" s="53" t="str">
        <f t="shared" si="123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3">
        <f t="shared" si="124"/>
        <v>29</v>
      </c>
      <c r="Z2586" s="18">
        <v>46172</v>
      </c>
      <c r="AA2586" s="15"/>
      <c r="AB2586" s="15"/>
    </row>
    <row r="2587" spans="1:28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22"/>
        <v>24</v>
      </c>
      <c r="R2587" s="53" t="str">
        <f t="shared" si="123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3">
        <f t="shared" si="124"/>
        <v>29</v>
      </c>
      <c r="Z2587" s="18">
        <v>46172</v>
      </c>
      <c r="AA2587" s="15"/>
      <c r="AB2587" s="15"/>
    </row>
    <row r="2588" spans="1:28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22"/>
        <v>24</v>
      </c>
      <c r="R2588" s="53" t="str">
        <f t="shared" si="123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3">
        <f t="shared" si="124"/>
        <v>29</v>
      </c>
      <c r="Z2588" s="18">
        <v>46172</v>
      </c>
      <c r="AA2588" s="15"/>
      <c r="AB2588" s="15"/>
    </row>
    <row r="2589" spans="1:28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22"/>
        <v>24</v>
      </c>
      <c r="R2589" s="53" t="str">
        <f t="shared" si="123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3">
        <f t="shared" si="124"/>
        <v>29</v>
      </c>
      <c r="Z2589" s="18">
        <v>46172</v>
      </c>
      <c r="AA2589" s="15"/>
      <c r="AB2589" s="15"/>
    </row>
    <row r="2590" spans="1:28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22"/>
        <v>24</v>
      </c>
      <c r="R2590" s="53" t="str">
        <f t="shared" si="123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3">
        <f t="shared" si="124"/>
        <v>29</v>
      </c>
      <c r="Z2590" s="18">
        <v>46172</v>
      </c>
      <c r="AA2590" s="15"/>
      <c r="AB2590" s="15"/>
    </row>
    <row r="2591" spans="1:28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22"/>
        <v>24</v>
      </c>
      <c r="R2591" s="53" t="str">
        <f t="shared" si="123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3">
        <f t="shared" si="124"/>
        <v>29</v>
      </c>
      <c r="Z2591" s="18">
        <v>46172</v>
      </c>
      <c r="AA2591" s="15"/>
      <c r="AB2591" s="15"/>
    </row>
    <row r="2592" spans="1:28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22"/>
        <v>24</v>
      </c>
      <c r="R2592" s="53" t="str">
        <f t="shared" si="123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3">
        <f t="shared" si="124"/>
        <v>29</v>
      </c>
      <c r="Z2592" s="18">
        <v>46172</v>
      </c>
      <c r="AA2592" s="15"/>
      <c r="AB2592" s="15"/>
    </row>
    <row r="2593" spans="1:28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22"/>
        <v>24</v>
      </c>
      <c r="R2593" s="53" t="str">
        <f t="shared" si="123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3">
        <f t="shared" si="124"/>
        <v>29</v>
      </c>
      <c r="Z2593" s="18">
        <v>46172</v>
      </c>
      <c r="AA2593" s="15"/>
      <c r="AB2593" s="15"/>
    </row>
    <row r="2594" spans="1:28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22"/>
        <v>24</v>
      </c>
      <c r="R2594" s="53" t="str">
        <f t="shared" si="123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3">
        <f t="shared" si="124"/>
        <v>29</v>
      </c>
      <c r="Z2594" s="18">
        <v>46172</v>
      </c>
      <c r="AA2594" s="15"/>
      <c r="AB2594" s="15"/>
    </row>
    <row r="2595" spans="1:28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22"/>
        <v>24</v>
      </c>
      <c r="R2595" s="53" t="str">
        <f t="shared" si="123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3">
        <f t="shared" si="124"/>
        <v>29</v>
      </c>
      <c r="Z2595" s="18">
        <v>46172</v>
      </c>
      <c r="AA2595" s="15"/>
      <c r="AB2595" s="15"/>
    </row>
    <row r="2596" spans="1:28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22"/>
        <v>24</v>
      </c>
      <c r="R2596" s="53" t="str">
        <f t="shared" si="123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3">
        <f t="shared" si="124"/>
        <v>29</v>
      </c>
      <c r="Z2596" s="18">
        <v>46172</v>
      </c>
      <c r="AA2596" s="15"/>
      <c r="AB2596" s="15"/>
    </row>
    <row r="2597" spans="1:28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22"/>
        <v>24</v>
      </c>
      <c r="R2597" s="53" t="str">
        <f t="shared" si="123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3">
        <f t="shared" si="124"/>
        <v>29</v>
      </c>
      <c r="Z2597" s="18">
        <v>46172</v>
      </c>
      <c r="AA2597" s="15"/>
      <c r="AB2597" s="15"/>
    </row>
    <row r="2598" spans="1:28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22"/>
        <v>24</v>
      </c>
      <c r="R2598" s="53" t="str">
        <f t="shared" si="123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3">
        <f t="shared" si="124"/>
        <v>29</v>
      </c>
      <c r="Z2598" s="18">
        <v>46172</v>
      </c>
      <c r="AA2598" s="15"/>
      <c r="AB2598" s="15"/>
    </row>
    <row r="2599" spans="1:28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25">MID(P2599,5,2)</f>
        <v>24</v>
      </c>
      <c r="R2599" s="53" t="str">
        <f t="shared" ref="R2599:R2662" si="12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3">
        <f t="shared" si="124"/>
        <v>29</v>
      </c>
      <c r="Z2599" s="18">
        <v>46172</v>
      </c>
      <c r="AA2599" s="15"/>
      <c r="AB2599" s="15"/>
    </row>
    <row r="2600" spans="1:28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25"/>
        <v>24</v>
      </c>
      <c r="R2600" s="53" t="str">
        <f t="shared" si="12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3">
        <f t="shared" si="124"/>
        <v>29</v>
      </c>
      <c r="Z2600" s="18">
        <v>46172</v>
      </c>
      <c r="AA2600" s="15"/>
      <c r="AB2600" s="15"/>
    </row>
    <row r="2601" spans="1:28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25"/>
        <v>24</v>
      </c>
      <c r="R2601" s="53" t="str">
        <f t="shared" si="12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3">
        <f t="shared" si="124"/>
        <v>29</v>
      </c>
      <c r="Z2601" s="18">
        <v>46172</v>
      </c>
      <c r="AA2601" s="15"/>
      <c r="AB2601" s="15"/>
    </row>
    <row r="2602" spans="1:28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25"/>
        <v>24</v>
      </c>
      <c r="R2602" s="53" t="str">
        <f t="shared" si="12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3">
        <f t="shared" si="124"/>
        <v>29</v>
      </c>
      <c r="Z2602" s="18">
        <v>46172</v>
      </c>
      <c r="AA2602" s="15"/>
      <c r="AB2602" s="15"/>
    </row>
    <row r="2603" spans="1:28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25"/>
        <v>24</v>
      </c>
      <c r="R2603" s="53" t="str">
        <f t="shared" si="12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3">
        <f t="shared" si="124"/>
        <v>29</v>
      </c>
      <c r="Z2603" s="18">
        <v>46172</v>
      </c>
      <c r="AA2603" s="15"/>
      <c r="AB2603" s="15"/>
    </row>
    <row r="2604" spans="1:28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25"/>
        <v>24</v>
      </c>
      <c r="R2604" s="53" t="str">
        <f t="shared" si="12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3">
        <f t="shared" si="124"/>
        <v>29</v>
      </c>
      <c r="Z2604" s="18">
        <v>46172</v>
      </c>
      <c r="AA2604" s="15"/>
      <c r="AB2604" s="15"/>
    </row>
    <row r="2605" spans="1:28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25"/>
        <v>24</v>
      </c>
      <c r="R2605" s="53" t="str">
        <f t="shared" si="12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3">
        <f t="shared" si="124"/>
        <v>29</v>
      </c>
      <c r="Z2605" s="18">
        <v>46172</v>
      </c>
      <c r="AA2605" s="15"/>
      <c r="AB2605" s="15"/>
    </row>
    <row r="2606" spans="1:28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25"/>
        <v>24</v>
      </c>
      <c r="R2606" s="53" t="str">
        <f t="shared" si="12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3">
        <f t="shared" si="124"/>
        <v>29</v>
      </c>
      <c r="Z2606" s="18">
        <v>46172</v>
      </c>
      <c r="AA2606" s="15"/>
      <c r="AB2606" s="15"/>
    </row>
    <row r="2607" spans="1:28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25"/>
        <v>24</v>
      </c>
      <c r="R2607" s="53" t="str">
        <f t="shared" si="12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3">
        <f t="shared" si="124"/>
        <v>29</v>
      </c>
      <c r="Z2607" s="18">
        <v>46172</v>
      </c>
      <c r="AA2607" s="15"/>
      <c r="AB2607" s="15"/>
    </row>
    <row r="2608" spans="1:28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25"/>
        <v>24</v>
      </c>
      <c r="R2608" s="53" t="str">
        <f t="shared" si="12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3">
        <f t="shared" si="124"/>
        <v>29</v>
      </c>
      <c r="Z2608" s="18">
        <v>46172</v>
      </c>
      <c r="AA2608" s="15"/>
      <c r="AB2608" s="15"/>
    </row>
    <row r="2609" spans="1:28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25"/>
        <v>24</v>
      </c>
      <c r="R2609" s="53" t="str">
        <f t="shared" si="12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3">
        <f t="shared" si="124"/>
        <v>29</v>
      </c>
      <c r="Z2609" s="18">
        <v>46172</v>
      </c>
      <c r="AA2609" s="15"/>
      <c r="AB2609" s="15"/>
    </row>
    <row r="2610" spans="1:28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25"/>
        <v>24</v>
      </c>
      <c r="R2610" s="53" t="str">
        <f t="shared" si="12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3">
        <f t="shared" si="124"/>
        <v>29</v>
      </c>
      <c r="Z2610" s="18">
        <v>46172</v>
      </c>
      <c r="AA2610" s="15"/>
      <c r="AB2610" s="15"/>
    </row>
    <row r="2611" spans="1:28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25"/>
        <v>24</v>
      </c>
      <c r="R2611" s="53" t="str">
        <f t="shared" si="12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3">
        <f t="shared" si="124"/>
        <v>29</v>
      </c>
      <c r="Z2611" s="18">
        <v>46172</v>
      </c>
      <c r="AA2611" s="15"/>
      <c r="AB2611" s="15"/>
    </row>
    <row r="2612" spans="1:28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25"/>
        <v>24</v>
      </c>
      <c r="R2612" s="53" t="str">
        <f t="shared" si="12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3">
        <f t="shared" si="124"/>
        <v>29</v>
      </c>
      <c r="Z2612" s="18">
        <v>46172</v>
      </c>
      <c r="AA2612" s="15"/>
      <c r="AB2612" s="15"/>
    </row>
    <row r="2613" spans="1:28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25"/>
        <v>24</v>
      </c>
      <c r="R2613" s="53" t="str">
        <f t="shared" si="12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3">
        <f t="shared" si="124"/>
        <v>29</v>
      </c>
      <c r="Z2613" s="18">
        <v>46172</v>
      </c>
      <c r="AA2613" s="15"/>
      <c r="AB2613" s="15"/>
    </row>
    <row r="2614" spans="1:28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25"/>
        <v>24</v>
      </c>
      <c r="R2614" s="53" t="str">
        <f t="shared" si="12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3">
        <f t="shared" si="124"/>
        <v>29</v>
      </c>
      <c r="Z2614" s="18">
        <v>46172</v>
      </c>
      <c r="AA2614" s="15"/>
      <c r="AB2614" s="15"/>
    </row>
    <row r="2615" spans="1:28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25"/>
        <v>24</v>
      </c>
      <c r="R2615" s="53" t="str">
        <f t="shared" si="12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3">
        <f t="shared" si="124"/>
        <v>29</v>
      </c>
      <c r="Z2615" s="18">
        <v>46172</v>
      </c>
      <c r="AA2615" s="15"/>
      <c r="AB2615" s="15"/>
    </row>
    <row r="2616" spans="1:28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25"/>
        <v>24</v>
      </c>
      <c r="R2616" s="53" t="str">
        <f t="shared" si="12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3">
        <f t="shared" si="124"/>
        <v>29</v>
      </c>
      <c r="Z2616" s="18">
        <v>46172</v>
      </c>
      <c r="AA2616" s="15"/>
      <c r="AB2616" s="15"/>
    </row>
    <row r="2617" spans="1:28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25"/>
        <v>24</v>
      </c>
      <c r="R2617" s="53" t="str">
        <f t="shared" si="12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3">
        <f t="shared" si="124"/>
        <v>29</v>
      </c>
      <c r="Z2617" s="18">
        <v>46172</v>
      </c>
      <c r="AA2617" s="15"/>
      <c r="AB2617" s="15"/>
    </row>
    <row r="2618" spans="1:28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25"/>
        <v>24</v>
      </c>
      <c r="R2618" s="53" t="str">
        <f t="shared" si="12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3">
        <f t="shared" si="124"/>
        <v>29</v>
      </c>
      <c r="Z2618" s="18">
        <v>46172</v>
      </c>
      <c r="AA2618" s="15"/>
      <c r="AB2618" s="15"/>
    </row>
    <row r="2619" spans="1:28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25"/>
        <v>24</v>
      </c>
      <c r="R2619" s="53" t="str">
        <f t="shared" si="12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3">
        <f t="shared" si="124"/>
        <v>30</v>
      </c>
      <c r="Z2619" s="18">
        <v>46173</v>
      </c>
      <c r="AA2619" s="15"/>
      <c r="AB2619" s="15"/>
    </row>
    <row r="2620" spans="1:28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25"/>
        <v>24</v>
      </c>
      <c r="R2620" s="53" t="str">
        <f t="shared" si="12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3">
        <f t="shared" si="124"/>
        <v>30</v>
      </c>
      <c r="Z2620" s="18">
        <v>46173</v>
      </c>
      <c r="AA2620" s="15"/>
      <c r="AB2620" s="15"/>
    </row>
    <row r="2621" spans="1:28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25"/>
        <v>24</v>
      </c>
      <c r="R2621" s="53" t="str">
        <f t="shared" si="12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3">
        <f t="shared" si="124"/>
        <v>30</v>
      </c>
      <c r="Z2621" s="18">
        <v>46173</v>
      </c>
      <c r="AA2621" s="15"/>
      <c r="AB2621" s="15"/>
    </row>
    <row r="2622" spans="1:28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25"/>
        <v>24</v>
      </c>
      <c r="R2622" s="53" t="str">
        <f t="shared" si="12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3">
        <f t="shared" si="124"/>
        <v>30</v>
      </c>
      <c r="Z2622" s="18">
        <v>46173</v>
      </c>
      <c r="AA2622" s="15"/>
      <c r="AB2622" s="15"/>
    </row>
    <row r="2623" spans="1:28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25"/>
        <v>24</v>
      </c>
      <c r="R2623" s="53" t="str">
        <f t="shared" si="12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3">
        <f t="shared" si="124"/>
        <v>30</v>
      </c>
      <c r="Z2623" s="18">
        <v>46173</v>
      </c>
      <c r="AA2623" s="15"/>
      <c r="AB2623" s="15"/>
    </row>
    <row r="2624" spans="1:28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25"/>
        <v>24</v>
      </c>
      <c r="R2624" s="53" t="str">
        <f t="shared" si="12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3">
        <f t="shared" si="124"/>
        <v>30</v>
      </c>
      <c r="Z2624" s="18">
        <v>46173</v>
      </c>
      <c r="AA2624" s="15"/>
      <c r="AB2624" s="15"/>
    </row>
    <row r="2625" spans="1:28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25"/>
        <v>24</v>
      </c>
      <c r="R2625" s="53" t="str">
        <f t="shared" si="12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3">
        <f t="shared" si="124"/>
        <v>30</v>
      </c>
      <c r="Z2625" s="18">
        <v>46173</v>
      </c>
      <c r="AA2625" s="15"/>
      <c r="AB2625" s="15"/>
    </row>
    <row r="2626" spans="1:28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25"/>
        <v>24</v>
      </c>
      <c r="R2626" s="53" t="str">
        <f t="shared" si="12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3">
        <f t="shared" ref="Y2626:Y2689" si="127">X2626-A2626</f>
        <v>30</v>
      </c>
      <c r="Z2626" s="18">
        <v>46173</v>
      </c>
      <c r="AA2626" s="15"/>
      <c r="AB2626" s="15"/>
    </row>
    <row r="2627" spans="1:28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25"/>
        <v>24</v>
      </c>
      <c r="R2627" s="53" t="str">
        <f t="shared" si="12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3">
        <f t="shared" si="127"/>
        <v>30</v>
      </c>
      <c r="Z2627" s="18">
        <v>46173</v>
      </c>
      <c r="AA2627" s="15"/>
      <c r="AB2627" s="15"/>
    </row>
    <row r="2628" spans="1:28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25"/>
        <v>24</v>
      </c>
      <c r="R2628" s="53" t="str">
        <f t="shared" si="12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3">
        <f t="shared" si="127"/>
        <v>30</v>
      </c>
      <c r="Z2628" s="18">
        <v>46173</v>
      </c>
      <c r="AA2628" s="15"/>
      <c r="AB2628" s="15"/>
    </row>
    <row r="2629" spans="1:28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25"/>
        <v>24</v>
      </c>
      <c r="R2629" s="53" t="str">
        <f t="shared" si="12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3">
        <f t="shared" si="127"/>
        <v>30</v>
      </c>
      <c r="Z2629" s="18">
        <v>46173</v>
      </c>
      <c r="AA2629" s="15"/>
      <c r="AB2629" s="15"/>
    </row>
    <row r="2630" spans="1:28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25"/>
        <v>24</v>
      </c>
      <c r="R2630" s="53" t="str">
        <f t="shared" si="12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3">
        <f t="shared" si="127"/>
        <v>30</v>
      </c>
      <c r="Z2630" s="18">
        <v>46173</v>
      </c>
      <c r="AA2630" s="15"/>
      <c r="AB2630" s="15"/>
    </row>
    <row r="2631" spans="1:28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25"/>
        <v>24</v>
      </c>
      <c r="R2631" s="53" t="str">
        <f t="shared" si="12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3">
        <f t="shared" si="127"/>
        <v>30</v>
      </c>
      <c r="Z2631" s="18">
        <v>46173</v>
      </c>
      <c r="AA2631" s="15"/>
      <c r="AB2631" s="15"/>
    </row>
    <row r="2632" spans="1:28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25"/>
        <v>24</v>
      </c>
      <c r="R2632" s="53" t="str">
        <f t="shared" si="12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3">
        <f t="shared" si="127"/>
        <v>30</v>
      </c>
      <c r="Z2632" s="18">
        <v>46173</v>
      </c>
      <c r="AA2632" s="15"/>
      <c r="AB2632" s="15"/>
    </row>
    <row r="2633" spans="1:28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25"/>
        <v>24</v>
      </c>
      <c r="R2633" s="53" t="str">
        <f t="shared" si="12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3">
        <f t="shared" si="127"/>
        <v>30</v>
      </c>
      <c r="Z2633" s="18">
        <v>46173</v>
      </c>
      <c r="AA2633" s="15"/>
      <c r="AB2633" s="15"/>
    </row>
    <row r="2634" spans="1:28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25"/>
        <v>24</v>
      </c>
      <c r="R2634" s="53" t="str">
        <f t="shared" si="12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3">
        <f t="shared" si="127"/>
        <v>30</v>
      </c>
      <c r="Z2634" s="18">
        <v>46173</v>
      </c>
      <c r="AA2634" s="15"/>
      <c r="AB2634" s="15"/>
    </row>
    <row r="2635" spans="1:28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25"/>
        <v>24</v>
      </c>
      <c r="R2635" s="53" t="str">
        <f t="shared" si="12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3">
        <f t="shared" si="127"/>
        <v>30</v>
      </c>
      <c r="Z2635" s="18">
        <v>46173</v>
      </c>
      <c r="AA2635" s="15"/>
      <c r="AB2635" s="15"/>
    </row>
    <row r="2636" spans="1:28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25"/>
        <v>24</v>
      </c>
      <c r="R2636" s="53" t="str">
        <f t="shared" si="12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3">
        <f t="shared" si="127"/>
        <v>30</v>
      </c>
      <c r="Z2636" s="18">
        <v>46173</v>
      </c>
      <c r="AA2636" s="15"/>
      <c r="AB2636" s="15"/>
    </row>
    <row r="2637" spans="1:28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25"/>
        <v>24</v>
      </c>
      <c r="R2637" s="53" t="str">
        <f t="shared" si="12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3">
        <f t="shared" si="127"/>
        <v>30</v>
      </c>
      <c r="Z2637" s="18">
        <v>46173</v>
      </c>
      <c r="AA2637" s="15"/>
      <c r="AB2637" s="15"/>
    </row>
    <row r="2638" spans="1:28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25"/>
        <v>24</v>
      </c>
      <c r="R2638" s="53" t="str">
        <f t="shared" si="12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3">
        <f t="shared" si="127"/>
        <v>30</v>
      </c>
      <c r="Z2638" s="18">
        <v>46173</v>
      </c>
      <c r="AA2638" s="15"/>
      <c r="AB2638" s="15"/>
    </row>
    <row r="2639" spans="1:28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25"/>
        <v>24</v>
      </c>
      <c r="R2639" s="53" t="str">
        <f t="shared" si="12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3">
        <f t="shared" si="127"/>
        <v>30</v>
      </c>
      <c r="Z2639" s="18">
        <v>46173</v>
      </c>
      <c r="AA2639" s="15"/>
      <c r="AB2639" s="15"/>
    </row>
    <row r="2640" spans="1:28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25"/>
        <v>24</v>
      </c>
      <c r="R2640" s="53" t="str">
        <f t="shared" si="12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3">
        <f t="shared" si="127"/>
        <v>30</v>
      </c>
      <c r="Z2640" s="18">
        <v>46173</v>
      </c>
      <c r="AA2640" s="15"/>
      <c r="AB2640" s="15"/>
    </row>
    <row r="2641" spans="1:28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25"/>
        <v>24</v>
      </c>
      <c r="R2641" s="53" t="str">
        <f t="shared" si="12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3">
        <f t="shared" si="127"/>
        <v>30</v>
      </c>
      <c r="Z2641" s="18">
        <v>46173</v>
      </c>
      <c r="AA2641" s="15"/>
      <c r="AB2641" s="15"/>
    </row>
    <row r="2642" spans="1:28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25"/>
        <v>24</v>
      </c>
      <c r="R2642" s="53" t="str">
        <f t="shared" si="12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3">
        <f t="shared" si="127"/>
        <v>30</v>
      </c>
      <c r="Z2642" s="18">
        <v>46173</v>
      </c>
      <c r="AA2642" s="15"/>
      <c r="AB2642" s="15"/>
    </row>
    <row r="2643" spans="1:28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25"/>
        <v>24</v>
      </c>
      <c r="R2643" s="53" t="str">
        <f t="shared" si="12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3">
        <f t="shared" si="127"/>
        <v>30</v>
      </c>
      <c r="Z2643" s="18">
        <v>46173</v>
      </c>
      <c r="AA2643" s="15"/>
      <c r="AB2643" s="15"/>
    </row>
    <row r="2644" spans="1:28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25"/>
        <v>24</v>
      </c>
      <c r="R2644" s="53" t="str">
        <f t="shared" si="12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3">
        <f t="shared" si="127"/>
        <v>30</v>
      </c>
      <c r="Z2644" s="18">
        <v>46173</v>
      </c>
      <c r="AA2644" s="15"/>
      <c r="AB2644" s="15"/>
    </row>
    <row r="2645" spans="1:28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25"/>
        <v>24</v>
      </c>
      <c r="R2645" s="53" t="str">
        <f t="shared" si="12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3">
        <f t="shared" si="127"/>
        <v>30</v>
      </c>
      <c r="Z2645" s="18">
        <v>46173</v>
      </c>
      <c r="AA2645" s="15"/>
      <c r="AB2645" s="15"/>
    </row>
    <row r="2646" spans="1:28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25"/>
        <v>24</v>
      </c>
      <c r="R2646" s="53" t="str">
        <f t="shared" si="12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3">
        <f t="shared" si="127"/>
        <v>30</v>
      </c>
      <c r="Z2646" s="18">
        <v>46173</v>
      </c>
      <c r="AA2646" s="15"/>
      <c r="AB2646" s="15"/>
    </row>
    <row r="2647" spans="1:28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25"/>
        <v>24</v>
      </c>
      <c r="R2647" s="53" t="str">
        <f t="shared" si="12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3">
        <f t="shared" si="127"/>
        <v>30</v>
      </c>
      <c r="Z2647" s="18">
        <v>46173</v>
      </c>
      <c r="AA2647" s="15"/>
      <c r="AB2647" s="15"/>
    </row>
    <row r="2648" spans="1:28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25"/>
        <v>24</v>
      </c>
      <c r="R2648" s="53" t="str">
        <f t="shared" si="12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3">
        <f t="shared" si="127"/>
        <v>30</v>
      </c>
      <c r="Z2648" s="18">
        <v>46173</v>
      </c>
      <c r="AA2648" s="15"/>
      <c r="AB2648" s="15"/>
    </row>
    <row r="2649" spans="1:28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25"/>
        <v>24</v>
      </c>
      <c r="R2649" s="53" t="str">
        <f t="shared" si="12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3">
        <f t="shared" si="127"/>
        <v>30</v>
      </c>
      <c r="Z2649" s="18">
        <v>46173</v>
      </c>
      <c r="AA2649" s="15"/>
      <c r="AB2649" s="15"/>
    </row>
    <row r="2650" spans="1:28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25"/>
        <v>24</v>
      </c>
      <c r="R2650" s="53" t="str">
        <f t="shared" si="12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3">
        <f t="shared" si="127"/>
        <v>30</v>
      </c>
      <c r="Z2650" s="18">
        <v>46173</v>
      </c>
      <c r="AA2650" s="15"/>
      <c r="AB2650" s="15"/>
    </row>
    <row r="2651" spans="1:28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25"/>
        <v>24</v>
      </c>
      <c r="R2651" s="53" t="str">
        <f t="shared" si="12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3">
        <f t="shared" si="127"/>
        <v>30</v>
      </c>
      <c r="Z2651" s="18">
        <v>46173</v>
      </c>
      <c r="AA2651" s="15"/>
      <c r="AB2651" s="15"/>
    </row>
    <row r="2652" spans="1:28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25"/>
        <v>24</v>
      </c>
      <c r="R2652" s="53" t="str">
        <f t="shared" si="12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3">
        <f t="shared" si="127"/>
        <v>30</v>
      </c>
      <c r="Z2652" s="18">
        <v>46173</v>
      </c>
      <c r="AA2652" s="15"/>
      <c r="AB2652" s="15"/>
    </row>
    <row r="2653" spans="1:28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25"/>
        <v>24</v>
      </c>
      <c r="R2653" s="53" t="str">
        <f t="shared" si="12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3">
        <f t="shared" si="127"/>
        <v>30</v>
      </c>
      <c r="Z2653" s="18">
        <v>46173</v>
      </c>
      <c r="AA2653" s="15"/>
      <c r="AB2653" s="15"/>
    </row>
    <row r="2654" spans="1:28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25"/>
        <v>24</v>
      </c>
      <c r="R2654" s="53" t="str">
        <f t="shared" si="12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3">
        <f t="shared" si="127"/>
        <v>30</v>
      </c>
      <c r="Z2654" s="18">
        <v>46173</v>
      </c>
      <c r="AA2654" s="15"/>
      <c r="AB2654" s="15"/>
    </row>
    <row r="2655" spans="1:28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25"/>
        <v>24</v>
      </c>
      <c r="R2655" s="53" t="str">
        <f t="shared" si="12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3">
        <f t="shared" si="127"/>
        <v>30</v>
      </c>
      <c r="Z2655" s="18">
        <v>46173</v>
      </c>
      <c r="AA2655" s="15"/>
      <c r="AB2655" s="15"/>
    </row>
    <row r="2656" spans="1:28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25"/>
        <v>24</v>
      </c>
      <c r="R2656" s="53" t="str">
        <f t="shared" si="12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3">
        <f t="shared" si="127"/>
        <v>30</v>
      </c>
      <c r="Z2656" s="18">
        <v>46173</v>
      </c>
      <c r="AA2656" s="15"/>
      <c r="AB2656" s="15"/>
    </row>
    <row r="2657" spans="1:28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25"/>
        <v>24</v>
      </c>
      <c r="R2657" s="53" t="str">
        <f t="shared" si="12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3">
        <f t="shared" si="127"/>
        <v>30</v>
      </c>
      <c r="Z2657" s="18">
        <v>46173</v>
      </c>
      <c r="AA2657" s="15"/>
      <c r="AB2657" s="15"/>
    </row>
    <row r="2658" spans="1:28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25"/>
        <v>24</v>
      </c>
      <c r="R2658" s="53" t="str">
        <f t="shared" si="12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3">
        <f t="shared" si="127"/>
        <v>30</v>
      </c>
      <c r="Z2658" s="18">
        <v>46173</v>
      </c>
      <c r="AA2658" s="15"/>
      <c r="AB2658" s="15"/>
    </row>
    <row r="2659" spans="1:28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25"/>
        <v>24</v>
      </c>
      <c r="R2659" s="53" t="str">
        <f t="shared" si="12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3">
        <f t="shared" si="127"/>
        <v>30</v>
      </c>
      <c r="Z2659" s="18">
        <v>46173</v>
      </c>
      <c r="AA2659" s="15"/>
      <c r="AB2659" s="15"/>
    </row>
    <row r="2660" spans="1:28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25"/>
        <v>24</v>
      </c>
      <c r="R2660" s="53" t="str">
        <f t="shared" si="12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3">
        <f t="shared" si="127"/>
        <v>30</v>
      </c>
      <c r="Z2660" s="18">
        <v>46173</v>
      </c>
      <c r="AA2660" s="15"/>
      <c r="AB2660" s="15"/>
    </row>
    <row r="2661" spans="1:28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25"/>
        <v>24</v>
      </c>
      <c r="R2661" s="53" t="str">
        <f t="shared" si="12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3">
        <f t="shared" si="127"/>
        <v>30</v>
      </c>
      <c r="Z2661" s="18">
        <v>46173</v>
      </c>
      <c r="AA2661" s="15"/>
      <c r="AB2661" s="15"/>
    </row>
    <row r="2662" spans="1:28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25"/>
        <v>24</v>
      </c>
      <c r="R2662" s="53" t="str">
        <f t="shared" si="12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3">
        <f t="shared" si="127"/>
        <v>30</v>
      </c>
      <c r="Z2662" s="18">
        <v>46173</v>
      </c>
      <c r="AA2662" s="15"/>
      <c r="AB2662" s="15"/>
    </row>
    <row r="2663" spans="1:28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726" si="128">MID(P2663,5,2)</f>
        <v>24</v>
      </c>
      <c r="R2663" s="53" t="str">
        <f t="shared" ref="R2663:R2726" si="129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3">
        <f t="shared" si="127"/>
        <v>30</v>
      </c>
      <c r="Z2663" s="18">
        <v>46173</v>
      </c>
      <c r="AA2663" s="15"/>
      <c r="AB2663" s="15"/>
    </row>
    <row r="2664" spans="1:28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28"/>
        <v>24</v>
      </c>
      <c r="R2664" s="53" t="str">
        <f t="shared" si="129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3">
        <f t="shared" si="127"/>
        <v>30</v>
      </c>
      <c r="Z2664" s="18">
        <v>46173</v>
      </c>
      <c r="AA2664" s="15"/>
      <c r="AB2664" s="15"/>
    </row>
    <row r="2665" spans="1:28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28"/>
        <v>24</v>
      </c>
      <c r="R2665" s="53" t="str">
        <f t="shared" si="129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3">
        <f t="shared" si="127"/>
        <v>30</v>
      </c>
      <c r="Z2665" s="18">
        <v>46173</v>
      </c>
      <c r="AA2665" s="15"/>
      <c r="AB2665" s="15"/>
    </row>
    <row r="2666" spans="1:28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28"/>
        <v>24</v>
      </c>
      <c r="R2666" s="53" t="str">
        <f t="shared" si="129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3">
        <f t="shared" si="127"/>
        <v>30</v>
      </c>
      <c r="Z2666" s="18">
        <v>46173</v>
      </c>
      <c r="AA2666" s="15"/>
      <c r="AB2666" s="15"/>
    </row>
    <row r="2667" spans="1:28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28"/>
        <v>24</v>
      </c>
      <c r="R2667" s="53" t="str">
        <f t="shared" si="129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3">
        <f t="shared" si="127"/>
        <v>30</v>
      </c>
      <c r="Z2667" s="18">
        <v>46173</v>
      </c>
      <c r="AA2667" s="15"/>
      <c r="AB2667" s="15"/>
    </row>
    <row r="2668" spans="1:28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28"/>
        <v>24</v>
      </c>
      <c r="R2668" s="53" t="str">
        <f t="shared" si="129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3">
        <f t="shared" si="127"/>
        <v>30</v>
      </c>
      <c r="Z2668" s="18">
        <v>46173</v>
      </c>
      <c r="AA2668" s="15"/>
      <c r="AB2668" s="15"/>
    </row>
    <row r="2669" spans="1:28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28"/>
        <v>24</v>
      </c>
      <c r="R2669" s="53" t="str">
        <f t="shared" si="129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3">
        <f t="shared" si="127"/>
        <v>30</v>
      </c>
      <c r="Z2669" s="18">
        <v>46173</v>
      </c>
      <c r="AA2669" s="15"/>
      <c r="AB2669" s="15"/>
    </row>
    <row r="2670" spans="1:28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28"/>
        <v>24</v>
      </c>
      <c r="R2670" s="53" t="str">
        <f t="shared" si="129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3">
        <f t="shared" si="127"/>
        <v>30</v>
      </c>
      <c r="Z2670" s="18">
        <v>46173</v>
      </c>
      <c r="AA2670" s="15"/>
      <c r="AB2670" s="15"/>
    </row>
    <row r="2671" spans="1:28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28"/>
        <v>24</v>
      </c>
      <c r="R2671" s="53" t="str">
        <f t="shared" si="129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3">
        <f t="shared" si="127"/>
        <v>30</v>
      </c>
      <c r="Z2671" s="18">
        <v>46173</v>
      </c>
      <c r="AA2671" s="15"/>
      <c r="AB2671" s="15"/>
    </row>
    <row r="2672" spans="1:28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28"/>
        <v>24</v>
      </c>
      <c r="R2672" s="53" t="str">
        <f t="shared" si="129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3">
        <f t="shared" si="127"/>
        <v>30</v>
      </c>
      <c r="Z2672" s="18">
        <v>46173</v>
      </c>
      <c r="AA2672" s="15"/>
      <c r="AB2672" s="15"/>
    </row>
    <row r="2673" spans="1:28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28"/>
        <v>24</v>
      </c>
      <c r="R2673" s="53" t="str">
        <f t="shared" si="129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3">
        <f t="shared" si="127"/>
        <v>30</v>
      </c>
      <c r="Z2673" s="18">
        <v>46173</v>
      </c>
      <c r="AA2673" s="15"/>
      <c r="AB2673" s="15"/>
    </row>
    <row r="2674" spans="1:28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28"/>
        <v>24</v>
      </c>
      <c r="R2674" s="53" t="str">
        <f t="shared" si="129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3">
        <f t="shared" si="127"/>
        <v>30</v>
      </c>
      <c r="Z2674" s="18">
        <v>46173</v>
      </c>
      <c r="AA2674" s="15"/>
      <c r="AB2674" s="15"/>
    </row>
    <row r="2675" spans="1:28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28"/>
        <v>24</v>
      </c>
      <c r="R2675" s="53" t="str">
        <f t="shared" si="129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3">
        <f t="shared" si="127"/>
        <v>30</v>
      </c>
      <c r="Z2675" s="18">
        <v>46173</v>
      </c>
      <c r="AA2675" s="15"/>
      <c r="AB2675" s="15"/>
    </row>
    <row r="2676" spans="1:28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28"/>
        <v>24</v>
      </c>
      <c r="R2676" s="53" t="str">
        <f t="shared" si="129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3">
        <f t="shared" si="127"/>
        <v>30</v>
      </c>
      <c r="Z2676" s="18">
        <v>46173</v>
      </c>
      <c r="AA2676" s="15"/>
      <c r="AB2676" s="15"/>
    </row>
    <row r="2677" spans="1:28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28"/>
        <v>24</v>
      </c>
      <c r="R2677" s="53" t="str">
        <f t="shared" si="129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3">
        <f t="shared" si="127"/>
        <v>30</v>
      </c>
      <c r="Z2677" s="18">
        <v>46173</v>
      </c>
      <c r="AA2677" s="15"/>
      <c r="AB2677" s="15"/>
    </row>
    <row r="2678" spans="1:28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28"/>
        <v>24</v>
      </c>
      <c r="R2678" s="53" t="str">
        <f t="shared" si="129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3">
        <f t="shared" si="127"/>
        <v>30</v>
      </c>
      <c r="Z2678" s="18">
        <v>46173</v>
      </c>
      <c r="AA2678" s="15"/>
      <c r="AB2678" s="15"/>
    </row>
    <row r="2679" spans="1:28">
      <c r="A2679" s="37">
        <v>46143</v>
      </c>
      <c r="B2679" s="3">
        <v>2026</v>
      </c>
      <c r="C2679" s="26" t="s">
        <v>879</v>
      </c>
      <c r="D2679" s="3" t="s">
        <v>54</v>
      </c>
      <c r="E2679" s="3"/>
      <c r="F2679" s="3" t="s">
        <v>31</v>
      </c>
      <c r="G2679" s="9" t="s">
        <v>880</v>
      </c>
      <c r="H2679" s="26">
        <v>9983975581</v>
      </c>
      <c r="I2679" s="38" t="s">
        <v>881</v>
      </c>
      <c r="J2679" s="26" t="s">
        <v>882</v>
      </c>
      <c r="K2679" s="39" t="s">
        <v>883</v>
      </c>
      <c r="L2679" s="39" t="s">
        <v>49</v>
      </c>
      <c r="M2679" s="9" t="s">
        <v>119</v>
      </c>
      <c r="N2679" s="3" t="s">
        <v>50</v>
      </c>
      <c r="O2679" s="56">
        <v>575</v>
      </c>
      <c r="P2679" s="47" t="s">
        <v>2922</v>
      </c>
      <c r="Q2679" s="54" t="str">
        <f t="shared" si="128"/>
        <v>24</v>
      </c>
      <c r="R2679" s="53" t="str">
        <f t="shared" si="129"/>
        <v>07</v>
      </c>
      <c r="S2679" s="3" t="s">
        <v>121</v>
      </c>
      <c r="T2679" s="3" t="s">
        <v>122</v>
      </c>
      <c r="U2679" s="19" t="s">
        <v>51</v>
      </c>
      <c r="V2679" s="19" t="s">
        <v>52</v>
      </c>
      <c r="W2679" s="3" t="s">
        <v>43</v>
      </c>
      <c r="X2679" s="18">
        <v>46173</v>
      </c>
      <c r="Y2679" s="3">
        <f t="shared" si="127"/>
        <v>30</v>
      </c>
      <c r="Z2679" s="18">
        <v>46173</v>
      </c>
      <c r="AA2679" s="15"/>
      <c r="AB2679" s="15"/>
    </row>
    <row r="2680" spans="1:28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61" t="s">
        <v>2923</v>
      </c>
      <c r="N2680" s="19" t="s">
        <v>305</v>
      </c>
      <c r="O2680" s="56">
        <v>575</v>
      </c>
      <c r="P2680" s="46" t="s">
        <v>2924</v>
      </c>
      <c r="Q2680" s="54" t="str">
        <f t="shared" si="128"/>
        <v>24</v>
      </c>
      <c r="R2680" s="53" t="str">
        <f t="shared" si="129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74</v>
      </c>
      <c r="X2680" s="18">
        <v>46173</v>
      </c>
      <c r="Y2680" s="3">
        <f t="shared" si="127"/>
        <v>30</v>
      </c>
      <c r="Z2680" s="18">
        <v>46173</v>
      </c>
      <c r="AA2680" s="15"/>
      <c r="AB2680" s="15"/>
    </row>
    <row r="2681" spans="1:28">
      <c r="A2681" s="59">
        <v>46148</v>
      </c>
      <c r="B2681" s="3">
        <v>2026</v>
      </c>
      <c r="C2681" s="21" t="s">
        <v>1982</v>
      </c>
      <c r="D2681" s="3" t="s">
        <v>54</v>
      </c>
      <c r="E2681" s="3"/>
      <c r="F2681" s="3" t="s">
        <v>31</v>
      </c>
      <c r="G2681" s="21" t="s">
        <v>1983</v>
      </c>
      <c r="H2681" s="21">
        <v>8917436223</v>
      </c>
      <c r="I2681" s="38" t="s">
        <v>1984</v>
      </c>
      <c r="J2681" s="21" t="s">
        <v>1985</v>
      </c>
      <c r="K2681" s="21" t="s">
        <v>1986</v>
      </c>
      <c r="L2681" s="21" t="s">
        <v>59</v>
      </c>
      <c r="M2681" s="95" t="s">
        <v>119</v>
      </c>
      <c r="N2681" s="3" t="s">
        <v>50</v>
      </c>
      <c r="O2681" s="62">
        <v>540</v>
      </c>
      <c r="P2681" s="95" t="s">
        <v>2983</v>
      </c>
      <c r="Q2681" s="53" t="str">
        <f t="shared" si="128"/>
        <v>23</v>
      </c>
      <c r="R2681" s="53" t="str">
        <f t="shared" si="129"/>
        <v>05</v>
      </c>
      <c r="S2681" s="3" t="s">
        <v>39</v>
      </c>
      <c r="T2681" s="3" t="s">
        <v>40</v>
      </c>
      <c r="U2681" s="3" t="s">
        <v>51</v>
      </c>
      <c r="V2681" s="3" t="s">
        <v>52</v>
      </c>
      <c r="W2681" s="3" t="s">
        <v>43</v>
      </c>
      <c r="X2681" s="18">
        <v>46174</v>
      </c>
      <c r="Y2681" s="3">
        <f t="shared" si="127"/>
        <v>26</v>
      </c>
      <c r="Z2681" s="18">
        <v>46174</v>
      </c>
      <c r="AA2681" s="15"/>
      <c r="AB2681" s="15"/>
    </row>
    <row r="2682" spans="1:28">
      <c r="A2682" s="59">
        <v>46148</v>
      </c>
      <c r="B2682" s="3">
        <v>2026</v>
      </c>
      <c r="C2682" s="21" t="s">
        <v>1982</v>
      </c>
      <c r="D2682" s="3" t="s">
        <v>54</v>
      </c>
      <c r="E2682" s="3"/>
      <c r="F2682" s="3" t="s">
        <v>31</v>
      </c>
      <c r="G2682" s="21" t="s">
        <v>1983</v>
      </c>
      <c r="H2682" s="21">
        <v>8917436223</v>
      </c>
      <c r="I2682" s="38" t="s">
        <v>1984</v>
      </c>
      <c r="J2682" s="21" t="s">
        <v>1985</v>
      </c>
      <c r="K2682" s="21" t="s">
        <v>1986</v>
      </c>
      <c r="L2682" s="21" t="s">
        <v>59</v>
      </c>
      <c r="M2682" s="96" t="s">
        <v>119</v>
      </c>
      <c r="N2682" s="3" t="s">
        <v>50</v>
      </c>
      <c r="O2682" s="62">
        <v>540</v>
      </c>
      <c r="P2682" s="96" t="s">
        <v>2984</v>
      </c>
      <c r="Q2682" s="53" t="str">
        <f t="shared" si="128"/>
        <v>23</v>
      </c>
      <c r="R2682" s="53" t="str">
        <f t="shared" si="129"/>
        <v>05</v>
      </c>
      <c r="S2682" s="3" t="s">
        <v>39</v>
      </c>
      <c r="T2682" s="3" t="s">
        <v>40</v>
      </c>
      <c r="U2682" s="3" t="s">
        <v>51</v>
      </c>
      <c r="V2682" s="3" t="s">
        <v>52</v>
      </c>
      <c r="W2682" s="3" t="s">
        <v>43</v>
      </c>
      <c r="X2682" s="18">
        <v>46174</v>
      </c>
      <c r="Y2682" s="3">
        <f t="shared" si="127"/>
        <v>26</v>
      </c>
      <c r="Z2682" s="18">
        <v>46174</v>
      </c>
      <c r="AA2682" s="15"/>
      <c r="AB2682" s="15"/>
    </row>
    <row r="2683" spans="1:28">
      <c r="A2683" s="59">
        <v>46148</v>
      </c>
      <c r="B2683" s="3">
        <v>2026</v>
      </c>
      <c r="C2683" s="21" t="s">
        <v>1982</v>
      </c>
      <c r="D2683" s="3" t="s">
        <v>54</v>
      </c>
      <c r="E2683" s="3"/>
      <c r="F2683" s="3" t="s">
        <v>31</v>
      </c>
      <c r="G2683" s="21" t="s">
        <v>1983</v>
      </c>
      <c r="H2683" s="21">
        <v>8917436223</v>
      </c>
      <c r="I2683" s="38" t="s">
        <v>1984</v>
      </c>
      <c r="J2683" s="21" t="s">
        <v>1985</v>
      </c>
      <c r="K2683" s="21" t="s">
        <v>1986</v>
      </c>
      <c r="L2683" s="21" t="s">
        <v>59</v>
      </c>
      <c r="M2683" s="96" t="s">
        <v>119</v>
      </c>
      <c r="N2683" s="3" t="s">
        <v>50</v>
      </c>
      <c r="O2683" s="62">
        <v>540</v>
      </c>
      <c r="P2683" s="96" t="s">
        <v>2985</v>
      </c>
      <c r="Q2683" s="53" t="str">
        <f t="shared" si="128"/>
        <v>23</v>
      </c>
      <c r="R2683" s="53" t="str">
        <f t="shared" si="129"/>
        <v>05</v>
      </c>
      <c r="S2683" s="3" t="s">
        <v>39</v>
      </c>
      <c r="T2683" s="3" t="s">
        <v>40</v>
      </c>
      <c r="U2683" s="3" t="s">
        <v>51</v>
      </c>
      <c r="V2683" s="3" t="s">
        <v>52</v>
      </c>
      <c r="W2683" s="3" t="s">
        <v>43</v>
      </c>
      <c r="X2683" s="18">
        <v>46174</v>
      </c>
      <c r="Y2683" s="3">
        <f t="shared" si="127"/>
        <v>26</v>
      </c>
      <c r="Z2683" s="18">
        <v>46174</v>
      </c>
      <c r="AA2683" s="15"/>
      <c r="AB2683" s="15"/>
    </row>
    <row r="2684" spans="1:28">
      <c r="A2684" s="59">
        <v>46148</v>
      </c>
      <c r="B2684" s="3">
        <v>2026</v>
      </c>
      <c r="C2684" s="21" t="s">
        <v>1982</v>
      </c>
      <c r="D2684" s="3" t="s">
        <v>54</v>
      </c>
      <c r="E2684" s="3"/>
      <c r="F2684" s="3" t="s">
        <v>31</v>
      </c>
      <c r="G2684" s="21" t="s">
        <v>1983</v>
      </c>
      <c r="H2684" s="21">
        <v>8917436223</v>
      </c>
      <c r="I2684" s="38" t="s">
        <v>1984</v>
      </c>
      <c r="J2684" s="21" t="s">
        <v>1985</v>
      </c>
      <c r="K2684" s="21" t="s">
        <v>1986</v>
      </c>
      <c r="L2684" s="21" t="s">
        <v>59</v>
      </c>
      <c r="M2684" s="96" t="s">
        <v>119</v>
      </c>
      <c r="N2684" s="3" t="s">
        <v>50</v>
      </c>
      <c r="O2684" s="62">
        <v>540</v>
      </c>
      <c r="P2684" s="96" t="s">
        <v>2986</v>
      </c>
      <c r="Q2684" s="53" t="str">
        <f t="shared" si="128"/>
        <v>23</v>
      </c>
      <c r="R2684" s="53" t="str">
        <f t="shared" si="129"/>
        <v>05</v>
      </c>
      <c r="S2684" s="3" t="s">
        <v>39</v>
      </c>
      <c r="T2684" s="3" t="s">
        <v>40</v>
      </c>
      <c r="U2684" s="3" t="s">
        <v>51</v>
      </c>
      <c r="V2684" s="3" t="s">
        <v>52</v>
      </c>
      <c r="W2684" s="3" t="s">
        <v>43</v>
      </c>
      <c r="X2684" s="18">
        <v>46174</v>
      </c>
      <c r="Y2684" s="3">
        <f t="shared" si="127"/>
        <v>26</v>
      </c>
      <c r="Z2684" s="18">
        <v>46174</v>
      </c>
      <c r="AA2684" s="15"/>
      <c r="AB2684" s="15"/>
    </row>
    <row r="2685" spans="1:28">
      <c r="A2685" s="59">
        <v>46148</v>
      </c>
      <c r="B2685" s="3">
        <v>2026</v>
      </c>
      <c r="C2685" s="21" t="s">
        <v>1982</v>
      </c>
      <c r="D2685" s="3" t="s">
        <v>54</v>
      </c>
      <c r="E2685" s="3"/>
      <c r="F2685" s="3" t="s">
        <v>31</v>
      </c>
      <c r="G2685" s="21" t="s">
        <v>1983</v>
      </c>
      <c r="H2685" s="21">
        <v>8917436223</v>
      </c>
      <c r="I2685" s="38" t="s">
        <v>1984</v>
      </c>
      <c r="J2685" s="21" t="s">
        <v>1985</v>
      </c>
      <c r="K2685" s="21" t="s">
        <v>1986</v>
      </c>
      <c r="L2685" s="21" t="s">
        <v>59</v>
      </c>
      <c r="M2685" s="96" t="s">
        <v>119</v>
      </c>
      <c r="N2685" s="3" t="s">
        <v>50</v>
      </c>
      <c r="O2685" s="62">
        <v>540</v>
      </c>
      <c r="P2685" s="96" t="s">
        <v>2987</v>
      </c>
      <c r="Q2685" s="53" t="str">
        <f t="shared" si="128"/>
        <v>23</v>
      </c>
      <c r="R2685" s="53" t="str">
        <f t="shared" si="129"/>
        <v>05</v>
      </c>
      <c r="S2685" s="3" t="s">
        <v>39</v>
      </c>
      <c r="T2685" s="3" t="s">
        <v>40</v>
      </c>
      <c r="U2685" s="3" t="s">
        <v>51</v>
      </c>
      <c r="V2685" s="3" t="s">
        <v>52</v>
      </c>
      <c r="W2685" s="3" t="s">
        <v>43</v>
      </c>
      <c r="X2685" s="18">
        <v>46174</v>
      </c>
      <c r="Y2685" s="3">
        <f t="shared" si="127"/>
        <v>26</v>
      </c>
      <c r="Z2685" s="18">
        <v>46174</v>
      </c>
      <c r="AA2685" s="15"/>
      <c r="AB2685" s="15"/>
    </row>
    <row r="2686" spans="1:28">
      <c r="A2686" s="59">
        <v>46148</v>
      </c>
      <c r="B2686" s="3">
        <v>2026</v>
      </c>
      <c r="C2686" s="21" t="s">
        <v>1982</v>
      </c>
      <c r="D2686" s="3" t="s">
        <v>54</v>
      </c>
      <c r="E2686" s="3"/>
      <c r="F2686" s="3" t="s">
        <v>31</v>
      </c>
      <c r="G2686" s="21" t="s">
        <v>1983</v>
      </c>
      <c r="H2686" s="21">
        <v>8917436223</v>
      </c>
      <c r="I2686" s="38" t="s">
        <v>1984</v>
      </c>
      <c r="J2686" s="21" t="s">
        <v>1985</v>
      </c>
      <c r="K2686" s="21" t="s">
        <v>1986</v>
      </c>
      <c r="L2686" s="21" t="s">
        <v>59</v>
      </c>
      <c r="M2686" s="96" t="s">
        <v>119</v>
      </c>
      <c r="N2686" s="3" t="s">
        <v>50</v>
      </c>
      <c r="O2686" s="62">
        <v>540</v>
      </c>
      <c r="P2686" s="96" t="s">
        <v>2988</v>
      </c>
      <c r="Q2686" s="53" t="str">
        <f t="shared" si="128"/>
        <v>23</v>
      </c>
      <c r="R2686" s="53" t="str">
        <f t="shared" si="129"/>
        <v>05</v>
      </c>
      <c r="S2686" s="3" t="s">
        <v>39</v>
      </c>
      <c r="T2686" s="3" t="s">
        <v>40</v>
      </c>
      <c r="U2686" s="3" t="s">
        <v>51</v>
      </c>
      <c r="V2686" s="3" t="s">
        <v>52</v>
      </c>
      <c r="W2686" s="3" t="s">
        <v>43</v>
      </c>
      <c r="X2686" s="18">
        <v>46174</v>
      </c>
      <c r="Y2686" s="3">
        <f t="shared" si="127"/>
        <v>26</v>
      </c>
      <c r="Z2686" s="18">
        <v>46174</v>
      </c>
      <c r="AA2686" s="15"/>
      <c r="AB2686" s="15"/>
    </row>
    <row r="2687" spans="1:28">
      <c r="A2687" s="59">
        <v>46148</v>
      </c>
      <c r="B2687" s="3">
        <v>2026</v>
      </c>
      <c r="C2687" s="21" t="s">
        <v>1982</v>
      </c>
      <c r="D2687" s="3" t="s">
        <v>54</v>
      </c>
      <c r="E2687" s="3"/>
      <c r="F2687" s="3" t="s">
        <v>31</v>
      </c>
      <c r="G2687" s="21" t="s">
        <v>1983</v>
      </c>
      <c r="H2687" s="21">
        <v>8917436223</v>
      </c>
      <c r="I2687" s="38" t="s">
        <v>1984</v>
      </c>
      <c r="J2687" s="21" t="s">
        <v>1985</v>
      </c>
      <c r="K2687" s="21" t="s">
        <v>1986</v>
      </c>
      <c r="L2687" s="21" t="s">
        <v>59</v>
      </c>
      <c r="M2687" s="96" t="s">
        <v>130</v>
      </c>
      <c r="N2687" s="26" t="s">
        <v>37</v>
      </c>
      <c r="O2687" s="60">
        <v>540</v>
      </c>
      <c r="P2687" s="96" t="s">
        <v>2989</v>
      </c>
      <c r="Q2687" s="53" t="str">
        <f t="shared" si="128"/>
        <v>23</v>
      </c>
      <c r="R2687" s="53" t="str">
        <f t="shared" si="129"/>
        <v>05</v>
      </c>
      <c r="S2687" s="3" t="s">
        <v>39</v>
      </c>
      <c r="T2687" s="3" t="s">
        <v>40</v>
      </c>
      <c r="U2687" s="19" t="s">
        <v>132</v>
      </c>
      <c r="V2687" s="19" t="s">
        <v>42</v>
      </c>
      <c r="W2687" s="3" t="s">
        <v>43</v>
      </c>
      <c r="X2687" s="18">
        <v>46174</v>
      </c>
      <c r="Y2687" s="3">
        <f t="shared" si="127"/>
        <v>26</v>
      </c>
      <c r="Z2687" s="18">
        <v>46174</v>
      </c>
      <c r="AA2687" s="15"/>
      <c r="AB2687" s="15"/>
    </row>
    <row r="2688" spans="1:28">
      <c r="A2688" s="59">
        <v>46148</v>
      </c>
      <c r="B2688" s="3">
        <v>2026</v>
      </c>
      <c r="C2688" s="21" t="s">
        <v>1982</v>
      </c>
      <c r="D2688" s="3" t="s">
        <v>54</v>
      </c>
      <c r="E2688" s="3"/>
      <c r="F2688" s="3" t="s">
        <v>31</v>
      </c>
      <c r="G2688" s="21" t="s">
        <v>1983</v>
      </c>
      <c r="H2688" s="21">
        <v>8917436223</v>
      </c>
      <c r="I2688" s="38" t="s">
        <v>1984</v>
      </c>
      <c r="J2688" s="21" t="s">
        <v>1985</v>
      </c>
      <c r="K2688" s="21" t="s">
        <v>1986</v>
      </c>
      <c r="L2688" s="21" t="s">
        <v>59</v>
      </c>
      <c r="M2688" s="96" t="s">
        <v>127</v>
      </c>
      <c r="N2688" s="3" t="s">
        <v>37</v>
      </c>
      <c r="O2688" s="62">
        <v>540</v>
      </c>
      <c r="P2688" s="96" t="s">
        <v>2990</v>
      </c>
      <c r="Q2688" s="53" t="str">
        <f t="shared" si="128"/>
        <v>23</v>
      </c>
      <c r="R2688" s="53" t="str">
        <f t="shared" si="129"/>
        <v>05</v>
      </c>
      <c r="S2688" s="3" t="s">
        <v>39</v>
      </c>
      <c r="T2688" s="3" t="s">
        <v>40</v>
      </c>
      <c r="U2688" s="3" t="s">
        <v>129</v>
      </c>
      <c r="V2688" s="15" t="s">
        <v>42</v>
      </c>
      <c r="W2688" s="3" t="s">
        <v>43</v>
      </c>
      <c r="X2688" s="18">
        <v>46174</v>
      </c>
      <c r="Y2688" s="3">
        <f t="shared" si="127"/>
        <v>26</v>
      </c>
      <c r="Z2688" s="18">
        <v>46174</v>
      </c>
      <c r="AA2688" s="15"/>
      <c r="AB2688" s="15"/>
    </row>
    <row r="2689" spans="1:28">
      <c r="A2689" s="59">
        <v>46148</v>
      </c>
      <c r="B2689" s="3">
        <v>2026</v>
      </c>
      <c r="C2689" s="21" t="s">
        <v>1982</v>
      </c>
      <c r="D2689" s="3" t="s">
        <v>54</v>
      </c>
      <c r="E2689" s="3"/>
      <c r="F2689" s="3" t="s">
        <v>31</v>
      </c>
      <c r="G2689" s="21" t="s">
        <v>1983</v>
      </c>
      <c r="H2689" s="21">
        <v>8917436223</v>
      </c>
      <c r="I2689" s="38" t="s">
        <v>1984</v>
      </c>
      <c r="J2689" s="21" t="s">
        <v>1985</v>
      </c>
      <c r="K2689" s="21" t="s">
        <v>1986</v>
      </c>
      <c r="L2689" s="21" t="s">
        <v>59</v>
      </c>
      <c r="M2689" s="96" t="s">
        <v>119</v>
      </c>
      <c r="N2689" s="3" t="s">
        <v>50</v>
      </c>
      <c r="O2689" s="62">
        <v>540</v>
      </c>
      <c r="P2689" s="96" t="s">
        <v>2991</v>
      </c>
      <c r="Q2689" s="53" t="str">
        <f t="shared" si="128"/>
        <v>23</v>
      </c>
      <c r="R2689" s="53" t="str">
        <f t="shared" si="129"/>
        <v>05</v>
      </c>
      <c r="S2689" s="3" t="s">
        <v>39</v>
      </c>
      <c r="T2689" s="3" t="s">
        <v>40</v>
      </c>
      <c r="U2689" s="3" t="s">
        <v>51</v>
      </c>
      <c r="V2689" s="3" t="s">
        <v>52</v>
      </c>
      <c r="W2689" s="3" t="s">
        <v>43</v>
      </c>
      <c r="X2689" s="18">
        <v>46174</v>
      </c>
      <c r="Y2689" s="3">
        <f t="shared" si="127"/>
        <v>26</v>
      </c>
      <c r="Z2689" s="18">
        <v>46174</v>
      </c>
      <c r="AA2689" s="15"/>
      <c r="AB2689" s="15"/>
    </row>
    <row r="2690" spans="1:28">
      <c r="A2690" s="59">
        <v>46148</v>
      </c>
      <c r="B2690" s="3">
        <v>2026</v>
      </c>
      <c r="C2690" s="21" t="s">
        <v>1982</v>
      </c>
      <c r="D2690" s="3" t="s">
        <v>54</v>
      </c>
      <c r="E2690" s="3"/>
      <c r="F2690" s="3" t="s">
        <v>31</v>
      </c>
      <c r="G2690" s="21" t="s">
        <v>1983</v>
      </c>
      <c r="H2690" s="21">
        <v>8917436223</v>
      </c>
      <c r="I2690" s="38" t="s">
        <v>1984</v>
      </c>
      <c r="J2690" s="21" t="s">
        <v>1985</v>
      </c>
      <c r="K2690" s="21" t="s">
        <v>1986</v>
      </c>
      <c r="L2690" s="21" t="s">
        <v>59</v>
      </c>
      <c r="M2690" s="96" t="s">
        <v>119</v>
      </c>
      <c r="N2690" s="3" t="s">
        <v>50</v>
      </c>
      <c r="O2690" s="62">
        <v>540</v>
      </c>
      <c r="P2690" s="96" t="s">
        <v>2992</v>
      </c>
      <c r="Q2690" s="53" t="str">
        <f t="shared" si="128"/>
        <v>23</v>
      </c>
      <c r="R2690" s="53" t="str">
        <f t="shared" si="129"/>
        <v>05</v>
      </c>
      <c r="S2690" s="3" t="s">
        <v>39</v>
      </c>
      <c r="T2690" s="3" t="s">
        <v>40</v>
      </c>
      <c r="U2690" s="3" t="s">
        <v>51</v>
      </c>
      <c r="V2690" s="3" t="s">
        <v>52</v>
      </c>
      <c r="W2690" s="3" t="s">
        <v>43</v>
      </c>
      <c r="X2690" s="18">
        <v>46174</v>
      </c>
      <c r="Y2690" s="3">
        <f t="shared" ref="Y2690:Y2753" si="130">X2690-A2690</f>
        <v>26</v>
      </c>
      <c r="Z2690" s="18">
        <v>46174</v>
      </c>
      <c r="AA2690" s="15"/>
      <c r="AB2690" s="15"/>
    </row>
    <row r="2691" spans="1:28">
      <c r="A2691" s="59">
        <v>46148</v>
      </c>
      <c r="B2691" s="3">
        <v>2026</v>
      </c>
      <c r="C2691" s="21" t="s">
        <v>1982</v>
      </c>
      <c r="D2691" s="3" t="s">
        <v>54</v>
      </c>
      <c r="E2691" s="3"/>
      <c r="F2691" s="3" t="s">
        <v>31</v>
      </c>
      <c r="G2691" s="21" t="s">
        <v>1983</v>
      </c>
      <c r="H2691" s="21">
        <v>8917436223</v>
      </c>
      <c r="I2691" s="38" t="s">
        <v>1984</v>
      </c>
      <c r="J2691" s="21" t="s">
        <v>1985</v>
      </c>
      <c r="K2691" s="21" t="s">
        <v>1986</v>
      </c>
      <c r="L2691" s="21" t="s">
        <v>59</v>
      </c>
      <c r="M2691" s="96" t="s">
        <v>123</v>
      </c>
      <c r="N2691" s="26" t="s">
        <v>50</v>
      </c>
      <c r="O2691" s="60">
        <v>540</v>
      </c>
      <c r="P2691" s="96" t="s">
        <v>2993</v>
      </c>
      <c r="Q2691" s="53" t="str">
        <f t="shared" si="128"/>
        <v>23</v>
      </c>
      <c r="R2691" s="53" t="str">
        <f t="shared" si="129"/>
        <v>05</v>
      </c>
      <c r="S2691" s="3" t="s">
        <v>39</v>
      </c>
      <c r="T2691" s="3" t="s">
        <v>40</v>
      </c>
      <c r="U2691" s="19" t="s">
        <v>125</v>
      </c>
      <c r="V2691" s="19" t="s">
        <v>52</v>
      </c>
      <c r="W2691" s="3" t="s">
        <v>43</v>
      </c>
      <c r="X2691" s="18">
        <v>46174</v>
      </c>
      <c r="Y2691" s="3">
        <f t="shared" si="130"/>
        <v>26</v>
      </c>
      <c r="Z2691" s="18">
        <v>46174</v>
      </c>
      <c r="AA2691" s="15"/>
      <c r="AB2691" s="15"/>
    </row>
    <row r="2692" spans="1:28">
      <c r="A2692" s="59">
        <v>46148</v>
      </c>
      <c r="B2692" s="3">
        <v>2026</v>
      </c>
      <c r="C2692" s="21" t="s">
        <v>1982</v>
      </c>
      <c r="D2692" s="3" t="s">
        <v>54</v>
      </c>
      <c r="E2692" s="3"/>
      <c r="F2692" s="3" t="s">
        <v>31</v>
      </c>
      <c r="G2692" s="21" t="s">
        <v>1983</v>
      </c>
      <c r="H2692" s="21">
        <v>8917436223</v>
      </c>
      <c r="I2692" s="38" t="s">
        <v>1984</v>
      </c>
      <c r="J2692" s="21" t="s">
        <v>1985</v>
      </c>
      <c r="K2692" s="21" t="s">
        <v>1986</v>
      </c>
      <c r="L2692" s="21" t="s">
        <v>59</v>
      </c>
      <c r="M2692" s="96" t="s">
        <v>119</v>
      </c>
      <c r="N2692" s="3" t="s">
        <v>50</v>
      </c>
      <c r="O2692" s="62">
        <v>540</v>
      </c>
      <c r="P2692" s="96" t="s">
        <v>2994</v>
      </c>
      <c r="Q2692" s="53" t="str">
        <f t="shared" si="128"/>
        <v>23</v>
      </c>
      <c r="R2692" s="53" t="str">
        <f t="shared" si="129"/>
        <v>05</v>
      </c>
      <c r="S2692" s="3" t="s">
        <v>39</v>
      </c>
      <c r="T2692" s="3" t="s">
        <v>40</v>
      </c>
      <c r="U2692" s="3" t="s">
        <v>51</v>
      </c>
      <c r="V2692" s="3" t="s">
        <v>52</v>
      </c>
      <c r="W2692" s="3" t="s">
        <v>43</v>
      </c>
      <c r="X2692" s="18">
        <v>46174</v>
      </c>
      <c r="Y2692" s="3">
        <f t="shared" si="130"/>
        <v>26</v>
      </c>
      <c r="Z2692" s="18">
        <v>46174</v>
      </c>
      <c r="AA2692" s="15"/>
      <c r="AB2692" s="15"/>
    </row>
    <row r="2693" spans="1:28">
      <c r="A2693" s="59">
        <v>46148</v>
      </c>
      <c r="B2693" s="3">
        <v>2026</v>
      </c>
      <c r="C2693" s="21" t="s">
        <v>1982</v>
      </c>
      <c r="D2693" s="3" t="s">
        <v>54</v>
      </c>
      <c r="E2693" s="3"/>
      <c r="F2693" s="3" t="s">
        <v>31</v>
      </c>
      <c r="G2693" s="21" t="s">
        <v>1983</v>
      </c>
      <c r="H2693" s="21">
        <v>8917436223</v>
      </c>
      <c r="I2693" s="38" t="s">
        <v>1984</v>
      </c>
      <c r="J2693" s="21" t="s">
        <v>1985</v>
      </c>
      <c r="K2693" s="21" t="s">
        <v>1986</v>
      </c>
      <c r="L2693" s="21" t="s">
        <v>59</v>
      </c>
      <c r="M2693" s="96" t="s">
        <v>119</v>
      </c>
      <c r="N2693" s="3" t="s">
        <v>50</v>
      </c>
      <c r="O2693" s="62">
        <v>540</v>
      </c>
      <c r="P2693" s="96" t="s">
        <v>2995</v>
      </c>
      <c r="Q2693" s="53" t="str">
        <f t="shared" si="128"/>
        <v>23</v>
      </c>
      <c r="R2693" s="53" t="str">
        <f t="shared" si="129"/>
        <v>05</v>
      </c>
      <c r="S2693" s="3" t="s">
        <v>39</v>
      </c>
      <c r="T2693" s="3" t="s">
        <v>40</v>
      </c>
      <c r="U2693" s="3" t="s">
        <v>51</v>
      </c>
      <c r="V2693" s="3" t="s">
        <v>52</v>
      </c>
      <c r="W2693" s="3" t="s">
        <v>43</v>
      </c>
      <c r="X2693" s="18">
        <v>46174</v>
      </c>
      <c r="Y2693" s="3">
        <f t="shared" si="130"/>
        <v>26</v>
      </c>
      <c r="Z2693" s="18">
        <v>46174</v>
      </c>
      <c r="AA2693" s="15"/>
      <c r="AB2693" s="15"/>
    </row>
    <row r="2694" spans="1:28">
      <c r="A2694" s="59">
        <v>46148</v>
      </c>
      <c r="B2694" s="3">
        <v>2026</v>
      </c>
      <c r="C2694" s="21" t="s">
        <v>1982</v>
      </c>
      <c r="D2694" s="3" t="s">
        <v>54</v>
      </c>
      <c r="E2694" s="3"/>
      <c r="F2694" s="3" t="s">
        <v>31</v>
      </c>
      <c r="G2694" s="21" t="s">
        <v>1983</v>
      </c>
      <c r="H2694" s="21">
        <v>8917436223</v>
      </c>
      <c r="I2694" s="38" t="s">
        <v>1984</v>
      </c>
      <c r="J2694" s="21" t="s">
        <v>1985</v>
      </c>
      <c r="K2694" s="21" t="s">
        <v>1986</v>
      </c>
      <c r="L2694" s="21" t="s">
        <v>59</v>
      </c>
      <c r="M2694" s="96" t="s">
        <v>119</v>
      </c>
      <c r="N2694" s="3" t="s">
        <v>50</v>
      </c>
      <c r="O2694" s="62">
        <v>540</v>
      </c>
      <c r="P2694" s="96" t="s">
        <v>2996</v>
      </c>
      <c r="Q2694" s="53" t="str">
        <f t="shared" si="128"/>
        <v>23</v>
      </c>
      <c r="R2694" s="53" t="str">
        <f t="shared" si="129"/>
        <v>05</v>
      </c>
      <c r="S2694" s="3" t="s">
        <v>39</v>
      </c>
      <c r="T2694" s="3" t="s">
        <v>40</v>
      </c>
      <c r="U2694" s="3" t="s">
        <v>51</v>
      </c>
      <c r="V2694" s="3" t="s">
        <v>52</v>
      </c>
      <c r="W2694" s="3" t="s">
        <v>43</v>
      </c>
      <c r="X2694" s="18">
        <v>46174</v>
      </c>
      <c r="Y2694" s="3">
        <f t="shared" si="130"/>
        <v>26</v>
      </c>
      <c r="Z2694" s="18">
        <v>46174</v>
      </c>
      <c r="AA2694" s="15"/>
      <c r="AB2694" s="15"/>
    </row>
    <row r="2695" spans="1:28">
      <c r="A2695" s="59">
        <v>46148</v>
      </c>
      <c r="B2695" s="3">
        <v>2026</v>
      </c>
      <c r="C2695" s="21" t="s">
        <v>1982</v>
      </c>
      <c r="D2695" s="3" t="s">
        <v>54</v>
      </c>
      <c r="E2695" s="3"/>
      <c r="F2695" s="3" t="s">
        <v>31</v>
      </c>
      <c r="G2695" s="21" t="s">
        <v>1983</v>
      </c>
      <c r="H2695" s="21">
        <v>8917436223</v>
      </c>
      <c r="I2695" s="38" t="s">
        <v>1984</v>
      </c>
      <c r="J2695" s="21" t="s">
        <v>1985</v>
      </c>
      <c r="K2695" s="21" t="s">
        <v>1986</v>
      </c>
      <c r="L2695" s="21" t="s">
        <v>59</v>
      </c>
      <c r="M2695" s="96" t="s">
        <v>127</v>
      </c>
      <c r="N2695" s="3" t="s">
        <v>37</v>
      </c>
      <c r="O2695" s="62">
        <v>540</v>
      </c>
      <c r="P2695" s="96" t="s">
        <v>2997</v>
      </c>
      <c r="Q2695" s="53" t="str">
        <f t="shared" si="128"/>
        <v>23</v>
      </c>
      <c r="R2695" s="53" t="str">
        <f t="shared" si="129"/>
        <v>05</v>
      </c>
      <c r="S2695" s="3" t="s">
        <v>39</v>
      </c>
      <c r="T2695" s="3" t="s">
        <v>40</v>
      </c>
      <c r="U2695" s="3" t="s">
        <v>129</v>
      </c>
      <c r="V2695" s="15" t="s">
        <v>42</v>
      </c>
      <c r="W2695" s="3" t="s">
        <v>43</v>
      </c>
      <c r="X2695" s="18">
        <v>46174</v>
      </c>
      <c r="Y2695" s="3">
        <f t="shared" si="130"/>
        <v>26</v>
      </c>
      <c r="Z2695" s="18">
        <v>46174</v>
      </c>
      <c r="AA2695" s="15"/>
      <c r="AB2695" s="15"/>
    </row>
    <row r="2696" spans="1:28">
      <c r="A2696" s="59">
        <v>46148</v>
      </c>
      <c r="B2696" s="3">
        <v>2026</v>
      </c>
      <c r="C2696" s="21" t="s">
        <v>1982</v>
      </c>
      <c r="D2696" s="3" t="s">
        <v>54</v>
      </c>
      <c r="E2696" s="3"/>
      <c r="F2696" s="3" t="s">
        <v>31</v>
      </c>
      <c r="G2696" s="21" t="s">
        <v>1983</v>
      </c>
      <c r="H2696" s="21">
        <v>8917436223</v>
      </c>
      <c r="I2696" s="38" t="s">
        <v>1984</v>
      </c>
      <c r="J2696" s="21" t="s">
        <v>1985</v>
      </c>
      <c r="K2696" s="21" t="s">
        <v>1986</v>
      </c>
      <c r="L2696" s="21" t="s">
        <v>59</v>
      </c>
      <c r="M2696" s="96" t="s">
        <v>119</v>
      </c>
      <c r="N2696" s="3" t="s">
        <v>50</v>
      </c>
      <c r="O2696" s="62">
        <v>540</v>
      </c>
      <c r="P2696" s="96" t="s">
        <v>2998</v>
      </c>
      <c r="Q2696" s="53" t="str">
        <f t="shared" si="128"/>
        <v>23</v>
      </c>
      <c r="R2696" s="53" t="str">
        <f t="shared" si="129"/>
        <v>05</v>
      </c>
      <c r="S2696" s="3" t="s">
        <v>39</v>
      </c>
      <c r="T2696" s="3" t="s">
        <v>40</v>
      </c>
      <c r="U2696" s="3" t="s">
        <v>51</v>
      </c>
      <c r="V2696" s="3" t="s">
        <v>52</v>
      </c>
      <c r="W2696" s="3" t="s">
        <v>43</v>
      </c>
      <c r="X2696" s="18">
        <v>46174</v>
      </c>
      <c r="Y2696" s="3">
        <f t="shared" si="130"/>
        <v>26</v>
      </c>
      <c r="Z2696" s="18">
        <v>46174</v>
      </c>
      <c r="AA2696" s="15"/>
      <c r="AB2696" s="15"/>
    </row>
    <row r="2697" spans="1:28">
      <c r="A2697" s="59">
        <v>46148</v>
      </c>
      <c r="B2697" s="3">
        <v>2026</v>
      </c>
      <c r="C2697" s="21" t="s">
        <v>1982</v>
      </c>
      <c r="D2697" s="3" t="s">
        <v>54</v>
      </c>
      <c r="E2697" s="3"/>
      <c r="F2697" s="3" t="s">
        <v>31</v>
      </c>
      <c r="G2697" s="21" t="s">
        <v>1983</v>
      </c>
      <c r="H2697" s="21">
        <v>8917436223</v>
      </c>
      <c r="I2697" s="38" t="s">
        <v>1984</v>
      </c>
      <c r="J2697" s="21" t="s">
        <v>1985</v>
      </c>
      <c r="K2697" s="21" t="s">
        <v>1986</v>
      </c>
      <c r="L2697" s="21" t="s">
        <v>59</v>
      </c>
      <c r="M2697" s="96" t="s">
        <v>119</v>
      </c>
      <c r="N2697" s="3" t="s">
        <v>50</v>
      </c>
      <c r="O2697" s="62">
        <v>540</v>
      </c>
      <c r="P2697" s="96" t="s">
        <v>2999</v>
      </c>
      <c r="Q2697" s="53" t="str">
        <f t="shared" si="128"/>
        <v>23</v>
      </c>
      <c r="R2697" s="53" t="str">
        <f t="shared" si="129"/>
        <v>05</v>
      </c>
      <c r="S2697" s="3" t="s">
        <v>39</v>
      </c>
      <c r="T2697" s="3" t="s">
        <v>40</v>
      </c>
      <c r="U2697" s="3" t="s">
        <v>51</v>
      </c>
      <c r="V2697" s="3" t="s">
        <v>52</v>
      </c>
      <c r="W2697" s="3" t="s">
        <v>43</v>
      </c>
      <c r="X2697" s="18">
        <v>46174</v>
      </c>
      <c r="Y2697" s="3">
        <f t="shared" si="130"/>
        <v>26</v>
      </c>
      <c r="Z2697" s="18">
        <v>46174</v>
      </c>
      <c r="AA2697" s="15"/>
      <c r="AB2697" s="15"/>
    </row>
    <row r="2698" spans="1:28">
      <c r="A2698" s="59">
        <v>46148</v>
      </c>
      <c r="B2698" s="3">
        <v>2026</v>
      </c>
      <c r="C2698" s="21" t="s">
        <v>1982</v>
      </c>
      <c r="D2698" s="3" t="s">
        <v>54</v>
      </c>
      <c r="E2698" s="3"/>
      <c r="F2698" s="3" t="s">
        <v>31</v>
      </c>
      <c r="G2698" s="21" t="s">
        <v>1983</v>
      </c>
      <c r="H2698" s="21">
        <v>8917436223</v>
      </c>
      <c r="I2698" s="38" t="s">
        <v>1984</v>
      </c>
      <c r="J2698" s="21" t="s">
        <v>1985</v>
      </c>
      <c r="K2698" s="21" t="s">
        <v>1986</v>
      </c>
      <c r="L2698" s="21" t="s">
        <v>59</v>
      </c>
      <c r="M2698" s="96" t="s">
        <v>119</v>
      </c>
      <c r="N2698" s="3" t="s">
        <v>50</v>
      </c>
      <c r="O2698" s="62">
        <v>540</v>
      </c>
      <c r="P2698" s="96" t="s">
        <v>3000</v>
      </c>
      <c r="Q2698" s="53" t="str">
        <f t="shared" si="128"/>
        <v>23</v>
      </c>
      <c r="R2698" s="53" t="str">
        <f t="shared" si="129"/>
        <v>05</v>
      </c>
      <c r="S2698" s="3" t="s">
        <v>39</v>
      </c>
      <c r="T2698" s="3" t="s">
        <v>40</v>
      </c>
      <c r="U2698" s="3" t="s">
        <v>51</v>
      </c>
      <c r="V2698" s="3" t="s">
        <v>52</v>
      </c>
      <c r="W2698" s="3" t="s">
        <v>43</v>
      </c>
      <c r="X2698" s="18">
        <v>46174</v>
      </c>
      <c r="Y2698" s="3">
        <f t="shared" si="130"/>
        <v>26</v>
      </c>
      <c r="Z2698" s="18">
        <v>46174</v>
      </c>
      <c r="AA2698" s="15"/>
      <c r="AB2698" s="15"/>
    </row>
    <row r="2699" spans="1:28">
      <c r="A2699" s="59">
        <v>46148</v>
      </c>
      <c r="B2699" s="3">
        <v>2026</v>
      </c>
      <c r="C2699" s="21" t="s">
        <v>1982</v>
      </c>
      <c r="D2699" s="3" t="s">
        <v>54</v>
      </c>
      <c r="E2699" s="3"/>
      <c r="F2699" s="3" t="s">
        <v>31</v>
      </c>
      <c r="G2699" s="21" t="s">
        <v>1983</v>
      </c>
      <c r="H2699" s="21">
        <v>8917436223</v>
      </c>
      <c r="I2699" s="38" t="s">
        <v>1984</v>
      </c>
      <c r="J2699" s="21" t="s">
        <v>1985</v>
      </c>
      <c r="K2699" s="21" t="s">
        <v>1986</v>
      </c>
      <c r="L2699" s="21" t="s">
        <v>59</v>
      </c>
      <c r="M2699" s="96" t="s">
        <v>119</v>
      </c>
      <c r="N2699" s="3" t="s">
        <v>50</v>
      </c>
      <c r="O2699" s="62">
        <v>540</v>
      </c>
      <c r="P2699" s="96" t="s">
        <v>3001</v>
      </c>
      <c r="Q2699" s="53" t="str">
        <f t="shared" si="128"/>
        <v>23</v>
      </c>
      <c r="R2699" s="53" t="str">
        <f t="shared" si="129"/>
        <v>05</v>
      </c>
      <c r="S2699" s="3" t="s">
        <v>39</v>
      </c>
      <c r="T2699" s="3" t="s">
        <v>40</v>
      </c>
      <c r="U2699" s="3" t="s">
        <v>51</v>
      </c>
      <c r="V2699" s="3" t="s">
        <v>52</v>
      </c>
      <c r="W2699" s="3" t="s">
        <v>43</v>
      </c>
      <c r="X2699" s="18">
        <v>46174</v>
      </c>
      <c r="Y2699" s="3">
        <f t="shared" si="130"/>
        <v>26</v>
      </c>
      <c r="Z2699" s="18">
        <v>46174</v>
      </c>
      <c r="AA2699" s="15"/>
      <c r="AB2699" s="15"/>
    </row>
    <row r="2700" spans="1:28">
      <c r="A2700" s="59">
        <v>46148</v>
      </c>
      <c r="B2700" s="3">
        <v>2026</v>
      </c>
      <c r="C2700" s="21" t="s">
        <v>1982</v>
      </c>
      <c r="D2700" s="3" t="s">
        <v>54</v>
      </c>
      <c r="E2700" s="3"/>
      <c r="F2700" s="3" t="s">
        <v>31</v>
      </c>
      <c r="G2700" s="21" t="s">
        <v>1983</v>
      </c>
      <c r="H2700" s="21">
        <v>8917436223</v>
      </c>
      <c r="I2700" s="38" t="s">
        <v>1984</v>
      </c>
      <c r="J2700" s="21" t="s">
        <v>1985</v>
      </c>
      <c r="K2700" s="21" t="s">
        <v>1986</v>
      </c>
      <c r="L2700" s="21" t="s">
        <v>59</v>
      </c>
      <c r="M2700" s="96" t="s">
        <v>127</v>
      </c>
      <c r="N2700" s="3" t="s">
        <v>37</v>
      </c>
      <c r="O2700" s="62">
        <v>540</v>
      </c>
      <c r="P2700" s="96" t="s">
        <v>3002</v>
      </c>
      <c r="Q2700" s="53" t="str">
        <f t="shared" si="128"/>
        <v>23</v>
      </c>
      <c r="R2700" s="53" t="str">
        <f t="shared" si="129"/>
        <v>04</v>
      </c>
      <c r="S2700" s="3" t="s">
        <v>39</v>
      </c>
      <c r="T2700" s="3" t="s">
        <v>40</v>
      </c>
      <c r="U2700" s="3" t="s">
        <v>129</v>
      </c>
      <c r="V2700" s="15" t="s">
        <v>42</v>
      </c>
      <c r="W2700" s="3" t="s">
        <v>43</v>
      </c>
      <c r="X2700" s="18">
        <v>46174</v>
      </c>
      <c r="Y2700" s="3">
        <f t="shared" si="130"/>
        <v>26</v>
      </c>
      <c r="Z2700" s="18">
        <v>46174</v>
      </c>
      <c r="AA2700" s="15"/>
      <c r="AB2700" s="15"/>
    </row>
    <row r="2701" spans="1:28">
      <c r="A2701" s="59">
        <v>46148</v>
      </c>
      <c r="B2701" s="3">
        <v>2026</v>
      </c>
      <c r="C2701" s="21" t="s">
        <v>1982</v>
      </c>
      <c r="D2701" s="3" t="s">
        <v>54</v>
      </c>
      <c r="E2701" s="3"/>
      <c r="F2701" s="3" t="s">
        <v>31</v>
      </c>
      <c r="G2701" s="21" t="s">
        <v>1983</v>
      </c>
      <c r="H2701" s="21">
        <v>8917436223</v>
      </c>
      <c r="I2701" s="38" t="s">
        <v>1984</v>
      </c>
      <c r="J2701" s="21" t="s">
        <v>1985</v>
      </c>
      <c r="K2701" s="21" t="s">
        <v>1986</v>
      </c>
      <c r="L2701" s="21" t="s">
        <v>59</v>
      </c>
      <c r="M2701" s="96" t="s">
        <v>127</v>
      </c>
      <c r="N2701" s="3" t="s">
        <v>37</v>
      </c>
      <c r="O2701" s="62">
        <v>540</v>
      </c>
      <c r="P2701" s="96" t="s">
        <v>3003</v>
      </c>
      <c r="Q2701" s="53" t="str">
        <f t="shared" si="128"/>
        <v>23</v>
      </c>
      <c r="R2701" s="53" t="str">
        <f t="shared" si="129"/>
        <v>05</v>
      </c>
      <c r="S2701" s="3" t="s">
        <v>39</v>
      </c>
      <c r="T2701" s="3" t="s">
        <v>40</v>
      </c>
      <c r="U2701" s="3" t="s">
        <v>129</v>
      </c>
      <c r="V2701" s="15" t="s">
        <v>42</v>
      </c>
      <c r="W2701" s="3" t="s">
        <v>43</v>
      </c>
      <c r="X2701" s="18">
        <v>46174</v>
      </c>
      <c r="Y2701" s="3">
        <f t="shared" si="130"/>
        <v>26</v>
      </c>
      <c r="Z2701" s="18">
        <v>46174</v>
      </c>
      <c r="AA2701" s="15"/>
      <c r="AB2701" s="15"/>
    </row>
    <row r="2702" spans="1:28">
      <c r="A2702" s="59">
        <v>46148</v>
      </c>
      <c r="B2702" s="3">
        <v>2026</v>
      </c>
      <c r="C2702" s="21" t="s">
        <v>1982</v>
      </c>
      <c r="D2702" s="3" t="s">
        <v>54</v>
      </c>
      <c r="E2702" s="3"/>
      <c r="F2702" s="3" t="s">
        <v>31</v>
      </c>
      <c r="G2702" s="21" t="s">
        <v>1983</v>
      </c>
      <c r="H2702" s="21">
        <v>8917436223</v>
      </c>
      <c r="I2702" s="38" t="s">
        <v>1984</v>
      </c>
      <c r="J2702" s="21" t="s">
        <v>1985</v>
      </c>
      <c r="K2702" s="21" t="s">
        <v>1986</v>
      </c>
      <c r="L2702" s="21" t="s">
        <v>59</v>
      </c>
      <c r="M2702" s="96" t="s">
        <v>127</v>
      </c>
      <c r="N2702" s="3" t="s">
        <v>37</v>
      </c>
      <c r="O2702" s="62">
        <v>540</v>
      </c>
      <c r="P2702" s="96" t="s">
        <v>3004</v>
      </c>
      <c r="Q2702" s="53" t="str">
        <f t="shared" si="128"/>
        <v>23</v>
      </c>
      <c r="R2702" s="53" t="str">
        <f t="shared" si="129"/>
        <v>04</v>
      </c>
      <c r="S2702" s="3" t="s">
        <v>39</v>
      </c>
      <c r="T2702" s="3" t="s">
        <v>40</v>
      </c>
      <c r="U2702" s="3" t="s">
        <v>129</v>
      </c>
      <c r="V2702" s="15" t="s">
        <v>42</v>
      </c>
      <c r="W2702" s="3" t="s">
        <v>43</v>
      </c>
      <c r="X2702" s="18">
        <v>46174</v>
      </c>
      <c r="Y2702" s="3">
        <f t="shared" si="130"/>
        <v>26</v>
      </c>
      <c r="Z2702" s="18">
        <v>46174</v>
      </c>
      <c r="AA2702" s="15"/>
      <c r="AB2702" s="15"/>
    </row>
    <row r="2703" spans="1:28">
      <c r="A2703" s="59">
        <v>46148</v>
      </c>
      <c r="B2703" s="3">
        <v>2026</v>
      </c>
      <c r="C2703" s="21" t="s">
        <v>1982</v>
      </c>
      <c r="D2703" s="3" t="s">
        <v>54</v>
      </c>
      <c r="E2703" s="3"/>
      <c r="F2703" s="3" t="s">
        <v>31</v>
      </c>
      <c r="G2703" s="21" t="s">
        <v>1983</v>
      </c>
      <c r="H2703" s="21">
        <v>8917436223</v>
      </c>
      <c r="I2703" s="38" t="s">
        <v>1984</v>
      </c>
      <c r="J2703" s="21" t="s">
        <v>1985</v>
      </c>
      <c r="K2703" s="21" t="s">
        <v>1986</v>
      </c>
      <c r="L2703" s="21" t="s">
        <v>59</v>
      </c>
      <c r="M2703" s="96" t="s">
        <v>119</v>
      </c>
      <c r="N2703" s="3" t="s">
        <v>50</v>
      </c>
      <c r="O2703" s="62">
        <v>540</v>
      </c>
      <c r="P2703" s="96" t="s">
        <v>3005</v>
      </c>
      <c r="Q2703" s="53" t="str">
        <f t="shared" si="128"/>
        <v>23</v>
      </c>
      <c r="R2703" s="53" t="str">
        <f t="shared" si="129"/>
        <v>04</v>
      </c>
      <c r="S2703" s="3" t="s">
        <v>39</v>
      </c>
      <c r="T2703" s="3" t="s">
        <v>40</v>
      </c>
      <c r="U2703" s="3" t="s">
        <v>51</v>
      </c>
      <c r="V2703" s="3" t="s">
        <v>52</v>
      </c>
      <c r="W2703" s="3" t="s">
        <v>43</v>
      </c>
      <c r="X2703" s="18">
        <v>46174</v>
      </c>
      <c r="Y2703" s="3">
        <f t="shared" si="130"/>
        <v>26</v>
      </c>
      <c r="Z2703" s="18">
        <v>46174</v>
      </c>
      <c r="AA2703" s="15"/>
      <c r="AB2703" s="15"/>
    </row>
    <row r="2704" spans="1:28">
      <c r="A2704" s="59">
        <v>46148</v>
      </c>
      <c r="B2704" s="3">
        <v>2026</v>
      </c>
      <c r="C2704" s="21" t="s">
        <v>1982</v>
      </c>
      <c r="D2704" s="3" t="s">
        <v>54</v>
      </c>
      <c r="E2704" s="3"/>
      <c r="F2704" s="3" t="s">
        <v>31</v>
      </c>
      <c r="G2704" s="21" t="s">
        <v>1983</v>
      </c>
      <c r="H2704" s="21">
        <v>8917436223</v>
      </c>
      <c r="I2704" s="38" t="s">
        <v>1984</v>
      </c>
      <c r="J2704" s="21" t="s">
        <v>1985</v>
      </c>
      <c r="K2704" s="21" t="s">
        <v>1986</v>
      </c>
      <c r="L2704" s="21" t="s">
        <v>59</v>
      </c>
      <c r="M2704" s="96" t="s">
        <v>119</v>
      </c>
      <c r="N2704" s="3" t="s">
        <v>50</v>
      </c>
      <c r="O2704" s="62">
        <v>540</v>
      </c>
      <c r="P2704" s="96" t="s">
        <v>3006</v>
      </c>
      <c r="Q2704" s="53" t="str">
        <f t="shared" si="128"/>
        <v>23</v>
      </c>
      <c r="R2704" s="53" t="str">
        <f t="shared" si="129"/>
        <v>05</v>
      </c>
      <c r="S2704" s="3" t="s">
        <v>39</v>
      </c>
      <c r="T2704" s="3" t="s">
        <v>40</v>
      </c>
      <c r="U2704" s="3" t="s">
        <v>51</v>
      </c>
      <c r="V2704" s="3" t="s">
        <v>52</v>
      </c>
      <c r="W2704" s="3" t="s">
        <v>43</v>
      </c>
      <c r="X2704" s="18">
        <v>46174</v>
      </c>
      <c r="Y2704" s="3">
        <f t="shared" si="130"/>
        <v>26</v>
      </c>
      <c r="Z2704" s="18">
        <v>46174</v>
      </c>
      <c r="AA2704" s="15"/>
      <c r="AB2704" s="15"/>
    </row>
    <row r="2705" spans="1:28">
      <c r="A2705" s="59">
        <v>46148</v>
      </c>
      <c r="B2705" s="3">
        <v>2026</v>
      </c>
      <c r="C2705" s="21" t="s">
        <v>1982</v>
      </c>
      <c r="D2705" s="3" t="s">
        <v>54</v>
      </c>
      <c r="E2705" s="3"/>
      <c r="F2705" s="3" t="s">
        <v>31</v>
      </c>
      <c r="G2705" s="21" t="s">
        <v>1983</v>
      </c>
      <c r="H2705" s="21">
        <v>8917436223</v>
      </c>
      <c r="I2705" s="38" t="s">
        <v>1984</v>
      </c>
      <c r="J2705" s="21" t="s">
        <v>1985</v>
      </c>
      <c r="K2705" s="21" t="s">
        <v>1986</v>
      </c>
      <c r="L2705" s="21" t="s">
        <v>59</v>
      </c>
      <c r="M2705" s="96" t="s">
        <v>119</v>
      </c>
      <c r="N2705" s="3" t="s">
        <v>50</v>
      </c>
      <c r="O2705" s="62">
        <v>540</v>
      </c>
      <c r="P2705" s="96" t="s">
        <v>3007</v>
      </c>
      <c r="Q2705" s="53" t="str">
        <f t="shared" si="128"/>
        <v>23</v>
      </c>
      <c r="R2705" s="53" t="str">
        <f t="shared" si="129"/>
        <v>05</v>
      </c>
      <c r="S2705" s="3" t="s">
        <v>39</v>
      </c>
      <c r="T2705" s="3" t="s">
        <v>40</v>
      </c>
      <c r="U2705" s="3" t="s">
        <v>51</v>
      </c>
      <c r="V2705" s="3" t="s">
        <v>52</v>
      </c>
      <c r="W2705" s="3" t="s">
        <v>43</v>
      </c>
      <c r="X2705" s="18">
        <v>46174</v>
      </c>
      <c r="Y2705" s="3">
        <f t="shared" si="130"/>
        <v>26</v>
      </c>
      <c r="Z2705" s="18">
        <v>46174</v>
      </c>
      <c r="AA2705" s="15"/>
      <c r="AB2705" s="15"/>
    </row>
    <row r="2706" spans="1:28">
      <c r="A2706" s="59">
        <v>46148</v>
      </c>
      <c r="B2706" s="3">
        <v>2026</v>
      </c>
      <c r="C2706" s="21" t="s">
        <v>1982</v>
      </c>
      <c r="D2706" s="3" t="s">
        <v>54</v>
      </c>
      <c r="E2706" s="3"/>
      <c r="F2706" s="3" t="s">
        <v>31</v>
      </c>
      <c r="G2706" s="21" t="s">
        <v>1983</v>
      </c>
      <c r="H2706" s="21">
        <v>8917436223</v>
      </c>
      <c r="I2706" s="38" t="s">
        <v>1984</v>
      </c>
      <c r="J2706" s="21" t="s">
        <v>1985</v>
      </c>
      <c r="K2706" s="21" t="s">
        <v>1986</v>
      </c>
      <c r="L2706" s="21" t="s">
        <v>59</v>
      </c>
      <c r="M2706" s="96" t="s">
        <v>119</v>
      </c>
      <c r="N2706" s="3" t="s">
        <v>50</v>
      </c>
      <c r="O2706" s="62">
        <v>540</v>
      </c>
      <c r="P2706" s="96" t="s">
        <v>3008</v>
      </c>
      <c r="Q2706" s="53" t="str">
        <f t="shared" si="128"/>
        <v>23</v>
      </c>
      <c r="R2706" s="53" t="str">
        <f t="shared" si="129"/>
        <v>05</v>
      </c>
      <c r="S2706" s="3" t="s">
        <v>39</v>
      </c>
      <c r="T2706" s="3" t="s">
        <v>40</v>
      </c>
      <c r="U2706" s="3" t="s">
        <v>51</v>
      </c>
      <c r="V2706" s="3" t="s">
        <v>52</v>
      </c>
      <c r="W2706" s="3" t="s">
        <v>43</v>
      </c>
      <c r="X2706" s="18">
        <v>46174</v>
      </c>
      <c r="Y2706" s="3">
        <f t="shared" si="130"/>
        <v>26</v>
      </c>
      <c r="Z2706" s="18">
        <v>46174</v>
      </c>
      <c r="AA2706" s="15"/>
      <c r="AB2706" s="15"/>
    </row>
    <row r="2707" spans="1:28">
      <c r="A2707" s="59">
        <v>46148</v>
      </c>
      <c r="B2707" s="3">
        <v>2026</v>
      </c>
      <c r="C2707" s="21" t="s">
        <v>1982</v>
      </c>
      <c r="D2707" s="3" t="s">
        <v>54</v>
      </c>
      <c r="E2707" s="3"/>
      <c r="F2707" s="3" t="s">
        <v>31</v>
      </c>
      <c r="G2707" s="21" t="s">
        <v>1983</v>
      </c>
      <c r="H2707" s="21">
        <v>8917436223</v>
      </c>
      <c r="I2707" s="38" t="s">
        <v>1984</v>
      </c>
      <c r="J2707" s="21" t="s">
        <v>1985</v>
      </c>
      <c r="K2707" s="21" t="s">
        <v>1986</v>
      </c>
      <c r="L2707" s="21" t="s">
        <v>59</v>
      </c>
      <c r="M2707" s="96" t="s">
        <v>119</v>
      </c>
      <c r="N2707" s="3" t="s">
        <v>50</v>
      </c>
      <c r="O2707" s="62">
        <v>540</v>
      </c>
      <c r="P2707" s="96" t="s">
        <v>3009</v>
      </c>
      <c r="Q2707" s="53" t="str">
        <f t="shared" si="128"/>
        <v>23</v>
      </c>
      <c r="R2707" s="53" t="str">
        <f t="shared" si="129"/>
        <v>05</v>
      </c>
      <c r="S2707" s="3" t="s">
        <v>39</v>
      </c>
      <c r="T2707" s="3" t="s">
        <v>40</v>
      </c>
      <c r="U2707" s="3" t="s">
        <v>51</v>
      </c>
      <c r="V2707" s="3" t="s">
        <v>52</v>
      </c>
      <c r="W2707" s="3" t="s">
        <v>43</v>
      </c>
      <c r="X2707" s="18">
        <v>46174</v>
      </c>
      <c r="Y2707" s="3">
        <f t="shared" si="130"/>
        <v>26</v>
      </c>
      <c r="Z2707" s="18">
        <v>46174</v>
      </c>
      <c r="AA2707" s="15"/>
      <c r="AB2707" s="15"/>
    </row>
    <row r="2708" spans="1:28">
      <c r="A2708" s="59">
        <v>46148</v>
      </c>
      <c r="B2708" s="3">
        <v>2026</v>
      </c>
      <c r="C2708" s="21" t="s">
        <v>1982</v>
      </c>
      <c r="D2708" s="3" t="s">
        <v>54</v>
      </c>
      <c r="E2708" s="3"/>
      <c r="F2708" s="3" t="s">
        <v>31</v>
      </c>
      <c r="G2708" s="21" t="s">
        <v>1983</v>
      </c>
      <c r="H2708" s="21">
        <v>8917436223</v>
      </c>
      <c r="I2708" s="38" t="s">
        <v>1984</v>
      </c>
      <c r="J2708" s="21" t="s">
        <v>1985</v>
      </c>
      <c r="K2708" s="21" t="s">
        <v>1986</v>
      </c>
      <c r="L2708" s="21" t="s">
        <v>59</v>
      </c>
      <c r="M2708" s="96" t="s">
        <v>119</v>
      </c>
      <c r="N2708" s="3" t="s">
        <v>50</v>
      </c>
      <c r="O2708" s="62">
        <v>540</v>
      </c>
      <c r="P2708" s="96" t="s">
        <v>3010</v>
      </c>
      <c r="Q2708" s="53" t="str">
        <f t="shared" si="128"/>
        <v>23</v>
      </c>
      <c r="R2708" s="53" t="str">
        <f t="shared" si="129"/>
        <v>05</v>
      </c>
      <c r="S2708" s="3" t="s">
        <v>39</v>
      </c>
      <c r="T2708" s="3" t="s">
        <v>40</v>
      </c>
      <c r="U2708" s="3" t="s">
        <v>51</v>
      </c>
      <c r="V2708" s="3" t="s">
        <v>52</v>
      </c>
      <c r="W2708" s="3" t="s">
        <v>43</v>
      </c>
      <c r="X2708" s="18">
        <v>46174</v>
      </c>
      <c r="Y2708" s="3">
        <f t="shared" si="130"/>
        <v>26</v>
      </c>
      <c r="Z2708" s="18">
        <v>46174</v>
      </c>
      <c r="AA2708" s="15"/>
      <c r="AB2708" s="15"/>
    </row>
    <row r="2709" spans="1:28">
      <c r="A2709" s="59">
        <v>46148</v>
      </c>
      <c r="B2709" s="3">
        <v>2026</v>
      </c>
      <c r="C2709" s="21" t="s">
        <v>1982</v>
      </c>
      <c r="D2709" s="3" t="s">
        <v>54</v>
      </c>
      <c r="E2709" s="3"/>
      <c r="F2709" s="3" t="s">
        <v>31</v>
      </c>
      <c r="G2709" s="21" t="s">
        <v>1983</v>
      </c>
      <c r="H2709" s="21">
        <v>8917436223</v>
      </c>
      <c r="I2709" s="38" t="s">
        <v>1984</v>
      </c>
      <c r="J2709" s="21" t="s">
        <v>1985</v>
      </c>
      <c r="K2709" s="21" t="s">
        <v>1986</v>
      </c>
      <c r="L2709" s="21" t="s">
        <v>59</v>
      </c>
      <c r="M2709" s="96" t="s">
        <v>119</v>
      </c>
      <c r="N2709" s="3" t="s">
        <v>50</v>
      </c>
      <c r="O2709" s="62">
        <v>540</v>
      </c>
      <c r="P2709" s="96" t="s">
        <v>3011</v>
      </c>
      <c r="Q2709" s="53" t="str">
        <f t="shared" si="128"/>
        <v>23</v>
      </c>
      <c r="R2709" s="53" t="str">
        <f t="shared" si="129"/>
        <v>05</v>
      </c>
      <c r="S2709" s="3" t="s">
        <v>39</v>
      </c>
      <c r="T2709" s="3" t="s">
        <v>40</v>
      </c>
      <c r="U2709" s="3" t="s">
        <v>51</v>
      </c>
      <c r="V2709" s="3" t="s">
        <v>52</v>
      </c>
      <c r="W2709" s="3" t="s">
        <v>43</v>
      </c>
      <c r="X2709" s="18">
        <v>46174</v>
      </c>
      <c r="Y2709" s="3">
        <f t="shared" si="130"/>
        <v>26</v>
      </c>
      <c r="Z2709" s="18">
        <v>46174</v>
      </c>
      <c r="AA2709" s="15"/>
      <c r="AB2709" s="15"/>
    </row>
    <row r="2710" spans="1:28">
      <c r="A2710" s="59">
        <v>46148</v>
      </c>
      <c r="B2710" s="3">
        <v>2026</v>
      </c>
      <c r="C2710" s="21" t="s">
        <v>1982</v>
      </c>
      <c r="D2710" s="3" t="s">
        <v>54</v>
      </c>
      <c r="E2710" s="3"/>
      <c r="F2710" s="3" t="s">
        <v>31</v>
      </c>
      <c r="G2710" s="21" t="s">
        <v>1983</v>
      </c>
      <c r="H2710" s="21">
        <v>8917436223</v>
      </c>
      <c r="I2710" s="38" t="s">
        <v>1984</v>
      </c>
      <c r="J2710" s="21" t="s">
        <v>1985</v>
      </c>
      <c r="K2710" s="21" t="s">
        <v>1986</v>
      </c>
      <c r="L2710" s="21" t="s">
        <v>59</v>
      </c>
      <c r="M2710" s="96" t="s">
        <v>127</v>
      </c>
      <c r="N2710" s="3" t="s">
        <v>37</v>
      </c>
      <c r="O2710" s="62">
        <v>540</v>
      </c>
      <c r="P2710" s="96" t="s">
        <v>3012</v>
      </c>
      <c r="Q2710" s="53" t="str">
        <f t="shared" si="128"/>
        <v>23</v>
      </c>
      <c r="R2710" s="53" t="str">
        <f t="shared" si="129"/>
        <v>04</v>
      </c>
      <c r="S2710" s="3" t="s">
        <v>39</v>
      </c>
      <c r="T2710" s="3" t="s">
        <v>40</v>
      </c>
      <c r="U2710" s="3" t="s">
        <v>129</v>
      </c>
      <c r="V2710" s="15" t="s">
        <v>42</v>
      </c>
      <c r="W2710" s="3" t="s">
        <v>43</v>
      </c>
      <c r="X2710" s="18">
        <v>46174</v>
      </c>
      <c r="Y2710" s="3">
        <f t="shared" si="130"/>
        <v>26</v>
      </c>
      <c r="Z2710" s="18">
        <v>46174</v>
      </c>
      <c r="AA2710" s="15"/>
      <c r="AB2710" s="15"/>
    </row>
    <row r="2711" spans="1:28">
      <c r="A2711" s="59">
        <v>46148</v>
      </c>
      <c r="B2711" s="3">
        <v>2026</v>
      </c>
      <c r="C2711" s="21" t="s">
        <v>1982</v>
      </c>
      <c r="D2711" s="3" t="s">
        <v>54</v>
      </c>
      <c r="E2711" s="3"/>
      <c r="F2711" s="3" t="s">
        <v>31</v>
      </c>
      <c r="G2711" s="21" t="s">
        <v>1983</v>
      </c>
      <c r="H2711" s="21">
        <v>8917436223</v>
      </c>
      <c r="I2711" s="38" t="s">
        <v>1984</v>
      </c>
      <c r="J2711" s="21" t="s">
        <v>1985</v>
      </c>
      <c r="K2711" s="21" t="s">
        <v>1986</v>
      </c>
      <c r="L2711" s="21" t="s">
        <v>59</v>
      </c>
      <c r="M2711" s="96" t="s">
        <v>130</v>
      </c>
      <c r="N2711" s="26" t="s">
        <v>37</v>
      </c>
      <c r="O2711" s="60">
        <v>540</v>
      </c>
      <c r="P2711" s="96" t="s">
        <v>3013</v>
      </c>
      <c r="Q2711" s="53" t="str">
        <f t="shared" si="128"/>
        <v>23</v>
      </c>
      <c r="R2711" s="53" t="str">
        <f t="shared" si="129"/>
        <v>04</v>
      </c>
      <c r="S2711" s="3" t="s">
        <v>39</v>
      </c>
      <c r="T2711" s="3" t="s">
        <v>40</v>
      </c>
      <c r="U2711" s="19" t="s">
        <v>132</v>
      </c>
      <c r="V2711" s="19" t="s">
        <v>42</v>
      </c>
      <c r="W2711" s="3" t="s">
        <v>43</v>
      </c>
      <c r="X2711" s="18">
        <v>46174</v>
      </c>
      <c r="Y2711" s="3">
        <f t="shared" si="130"/>
        <v>26</v>
      </c>
      <c r="Z2711" s="18">
        <v>46174</v>
      </c>
      <c r="AA2711" s="15"/>
      <c r="AB2711" s="15"/>
    </row>
    <row r="2712" spans="1:28">
      <c r="A2712" s="59">
        <v>46148</v>
      </c>
      <c r="B2712" s="3">
        <v>2026</v>
      </c>
      <c r="C2712" s="21" t="s">
        <v>1982</v>
      </c>
      <c r="D2712" s="3" t="s">
        <v>54</v>
      </c>
      <c r="E2712" s="3"/>
      <c r="F2712" s="3" t="s">
        <v>31</v>
      </c>
      <c r="G2712" s="21" t="s">
        <v>1983</v>
      </c>
      <c r="H2712" s="21">
        <v>8917436223</v>
      </c>
      <c r="I2712" s="38" t="s">
        <v>1984</v>
      </c>
      <c r="J2712" s="21" t="s">
        <v>1985</v>
      </c>
      <c r="K2712" s="21" t="s">
        <v>1986</v>
      </c>
      <c r="L2712" s="21" t="s">
        <v>59</v>
      </c>
      <c r="M2712" s="96" t="s">
        <v>119</v>
      </c>
      <c r="N2712" s="3" t="s">
        <v>50</v>
      </c>
      <c r="O2712" s="62">
        <v>540</v>
      </c>
      <c r="P2712" s="96" t="s">
        <v>3014</v>
      </c>
      <c r="Q2712" s="53" t="str">
        <f t="shared" si="128"/>
        <v>23</v>
      </c>
      <c r="R2712" s="53" t="str">
        <f t="shared" si="129"/>
        <v>04</v>
      </c>
      <c r="S2712" s="3" t="s">
        <v>39</v>
      </c>
      <c r="T2712" s="3" t="s">
        <v>40</v>
      </c>
      <c r="U2712" s="3" t="s">
        <v>51</v>
      </c>
      <c r="V2712" s="3" t="s">
        <v>52</v>
      </c>
      <c r="W2712" s="3" t="s">
        <v>43</v>
      </c>
      <c r="X2712" s="18">
        <v>46174</v>
      </c>
      <c r="Y2712" s="3">
        <f t="shared" si="130"/>
        <v>26</v>
      </c>
      <c r="Z2712" s="18">
        <v>46174</v>
      </c>
      <c r="AA2712" s="15"/>
      <c r="AB2712" s="15"/>
    </row>
    <row r="2713" spans="1:28">
      <c r="A2713" s="59">
        <v>46148</v>
      </c>
      <c r="B2713" s="3">
        <v>2026</v>
      </c>
      <c r="C2713" s="21" t="s">
        <v>1982</v>
      </c>
      <c r="D2713" s="3" t="s">
        <v>54</v>
      </c>
      <c r="E2713" s="3"/>
      <c r="F2713" s="3" t="s">
        <v>31</v>
      </c>
      <c r="G2713" s="21" t="s">
        <v>1983</v>
      </c>
      <c r="H2713" s="21">
        <v>8917436223</v>
      </c>
      <c r="I2713" s="38" t="s">
        <v>1984</v>
      </c>
      <c r="J2713" s="21" t="s">
        <v>1985</v>
      </c>
      <c r="K2713" s="21" t="s">
        <v>1986</v>
      </c>
      <c r="L2713" s="21" t="s">
        <v>59</v>
      </c>
      <c r="M2713" s="96" t="s">
        <v>119</v>
      </c>
      <c r="N2713" s="3" t="s">
        <v>50</v>
      </c>
      <c r="O2713" s="62">
        <v>540</v>
      </c>
      <c r="P2713" s="96" t="s">
        <v>3015</v>
      </c>
      <c r="Q2713" s="53" t="str">
        <f t="shared" si="128"/>
        <v>23</v>
      </c>
      <c r="R2713" s="53" t="str">
        <f t="shared" si="129"/>
        <v>04</v>
      </c>
      <c r="S2713" s="3" t="s">
        <v>39</v>
      </c>
      <c r="T2713" s="3" t="s">
        <v>40</v>
      </c>
      <c r="U2713" s="3" t="s">
        <v>51</v>
      </c>
      <c r="V2713" s="3" t="s">
        <v>52</v>
      </c>
      <c r="W2713" s="3" t="s">
        <v>43</v>
      </c>
      <c r="X2713" s="18">
        <v>46174</v>
      </c>
      <c r="Y2713" s="3">
        <f t="shared" si="130"/>
        <v>26</v>
      </c>
      <c r="Z2713" s="18">
        <v>46174</v>
      </c>
      <c r="AA2713" s="15"/>
      <c r="AB2713" s="15"/>
    </row>
    <row r="2714" spans="1:28">
      <c r="A2714" s="59">
        <v>46148</v>
      </c>
      <c r="B2714" s="3">
        <v>2026</v>
      </c>
      <c r="C2714" s="21" t="s">
        <v>1982</v>
      </c>
      <c r="D2714" s="3" t="s">
        <v>54</v>
      </c>
      <c r="E2714" s="3"/>
      <c r="F2714" s="3" t="s">
        <v>31</v>
      </c>
      <c r="G2714" s="21" t="s">
        <v>1983</v>
      </c>
      <c r="H2714" s="21">
        <v>8917436223</v>
      </c>
      <c r="I2714" s="38" t="s">
        <v>1984</v>
      </c>
      <c r="J2714" s="21" t="s">
        <v>1985</v>
      </c>
      <c r="K2714" s="21" t="s">
        <v>1986</v>
      </c>
      <c r="L2714" s="21" t="s">
        <v>59</v>
      </c>
      <c r="M2714" s="96" t="s">
        <v>119</v>
      </c>
      <c r="N2714" s="3" t="s">
        <v>50</v>
      </c>
      <c r="O2714" s="62">
        <v>540</v>
      </c>
      <c r="P2714" s="96" t="s">
        <v>3016</v>
      </c>
      <c r="Q2714" s="53" t="str">
        <f t="shared" si="128"/>
        <v>23</v>
      </c>
      <c r="R2714" s="53" t="str">
        <f t="shared" si="129"/>
        <v>05</v>
      </c>
      <c r="S2714" s="3" t="s">
        <v>39</v>
      </c>
      <c r="T2714" s="3" t="s">
        <v>40</v>
      </c>
      <c r="U2714" s="3" t="s">
        <v>51</v>
      </c>
      <c r="V2714" s="3" t="s">
        <v>52</v>
      </c>
      <c r="W2714" s="3" t="s">
        <v>43</v>
      </c>
      <c r="X2714" s="18">
        <v>46174</v>
      </c>
      <c r="Y2714" s="3">
        <f t="shared" si="130"/>
        <v>26</v>
      </c>
      <c r="Z2714" s="18">
        <v>46174</v>
      </c>
      <c r="AA2714" s="15"/>
      <c r="AB2714" s="15"/>
    </row>
    <row r="2715" spans="1:28">
      <c r="A2715" s="59">
        <v>46148</v>
      </c>
      <c r="B2715" s="3">
        <v>2026</v>
      </c>
      <c r="C2715" s="21" t="s">
        <v>1982</v>
      </c>
      <c r="D2715" s="3" t="s">
        <v>54</v>
      </c>
      <c r="E2715" s="3"/>
      <c r="F2715" s="3" t="s">
        <v>31</v>
      </c>
      <c r="G2715" s="21" t="s">
        <v>1983</v>
      </c>
      <c r="H2715" s="21">
        <v>8917436223</v>
      </c>
      <c r="I2715" s="38" t="s">
        <v>1984</v>
      </c>
      <c r="J2715" s="21" t="s">
        <v>1985</v>
      </c>
      <c r="K2715" s="21" t="s">
        <v>1986</v>
      </c>
      <c r="L2715" s="21" t="s">
        <v>59</v>
      </c>
      <c r="M2715" s="96" t="s">
        <v>123</v>
      </c>
      <c r="N2715" s="26" t="s">
        <v>50</v>
      </c>
      <c r="O2715" s="60">
        <v>540</v>
      </c>
      <c r="P2715" s="96" t="s">
        <v>3017</v>
      </c>
      <c r="Q2715" s="53" t="str">
        <f t="shared" si="128"/>
        <v>23</v>
      </c>
      <c r="R2715" s="53" t="str">
        <f t="shared" si="129"/>
        <v>05</v>
      </c>
      <c r="S2715" s="3" t="s">
        <v>39</v>
      </c>
      <c r="T2715" s="3" t="s">
        <v>40</v>
      </c>
      <c r="U2715" s="19" t="s">
        <v>125</v>
      </c>
      <c r="V2715" s="19" t="s">
        <v>52</v>
      </c>
      <c r="W2715" s="3" t="s">
        <v>43</v>
      </c>
      <c r="X2715" s="18">
        <v>46174</v>
      </c>
      <c r="Y2715" s="3">
        <f t="shared" si="130"/>
        <v>26</v>
      </c>
      <c r="Z2715" s="18">
        <v>46174</v>
      </c>
      <c r="AA2715" s="15"/>
      <c r="AB2715" s="15"/>
    </row>
    <row r="2716" spans="1:28">
      <c r="A2716" s="59">
        <v>46148</v>
      </c>
      <c r="B2716" s="3">
        <v>2026</v>
      </c>
      <c r="C2716" s="21" t="s">
        <v>1982</v>
      </c>
      <c r="D2716" s="3" t="s">
        <v>54</v>
      </c>
      <c r="E2716" s="3"/>
      <c r="F2716" s="3" t="s">
        <v>31</v>
      </c>
      <c r="G2716" s="21" t="s">
        <v>1983</v>
      </c>
      <c r="H2716" s="21">
        <v>8917436223</v>
      </c>
      <c r="I2716" s="38" t="s">
        <v>1984</v>
      </c>
      <c r="J2716" s="21" t="s">
        <v>1985</v>
      </c>
      <c r="K2716" s="21" t="s">
        <v>1986</v>
      </c>
      <c r="L2716" s="21" t="s">
        <v>59</v>
      </c>
      <c r="M2716" s="96" t="s">
        <v>123</v>
      </c>
      <c r="N2716" s="26" t="s">
        <v>50</v>
      </c>
      <c r="O2716" s="60">
        <v>540</v>
      </c>
      <c r="P2716" s="96" t="s">
        <v>3018</v>
      </c>
      <c r="Q2716" s="53" t="str">
        <f t="shared" si="128"/>
        <v>23</v>
      </c>
      <c r="R2716" s="53" t="str">
        <f t="shared" si="129"/>
        <v>05</v>
      </c>
      <c r="S2716" s="3" t="s">
        <v>39</v>
      </c>
      <c r="T2716" s="3" t="s">
        <v>40</v>
      </c>
      <c r="U2716" s="19" t="s">
        <v>125</v>
      </c>
      <c r="V2716" s="19" t="s">
        <v>52</v>
      </c>
      <c r="W2716" s="3" t="s">
        <v>43</v>
      </c>
      <c r="X2716" s="18">
        <v>46174</v>
      </c>
      <c r="Y2716" s="3">
        <f t="shared" si="130"/>
        <v>26</v>
      </c>
      <c r="Z2716" s="18">
        <v>46174</v>
      </c>
      <c r="AA2716" s="15"/>
      <c r="AB2716" s="15"/>
    </row>
    <row r="2717" spans="1:28">
      <c r="A2717" s="59">
        <v>46148</v>
      </c>
      <c r="B2717" s="3">
        <v>2026</v>
      </c>
      <c r="C2717" s="21" t="s">
        <v>1982</v>
      </c>
      <c r="D2717" s="3" t="s">
        <v>54</v>
      </c>
      <c r="E2717" s="3"/>
      <c r="F2717" s="3" t="s">
        <v>31</v>
      </c>
      <c r="G2717" s="21" t="s">
        <v>1983</v>
      </c>
      <c r="H2717" s="21">
        <v>8917436223</v>
      </c>
      <c r="I2717" s="38" t="s">
        <v>1984</v>
      </c>
      <c r="J2717" s="21" t="s">
        <v>1985</v>
      </c>
      <c r="K2717" s="21" t="s">
        <v>1986</v>
      </c>
      <c r="L2717" s="21" t="s">
        <v>59</v>
      </c>
      <c r="M2717" s="96" t="s">
        <v>127</v>
      </c>
      <c r="N2717" s="3" t="s">
        <v>37</v>
      </c>
      <c r="O2717" s="62">
        <v>540</v>
      </c>
      <c r="P2717" s="96" t="s">
        <v>3019</v>
      </c>
      <c r="Q2717" s="53" t="str">
        <f t="shared" si="128"/>
        <v>23</v>
      </c>
      <c r="R2717" s="53" t="str">
        <f t="shared" si="129"/>
        <v>05</v>
      </c>
      <c r="S2717" s="3" t="s">
        <v>39</v>
      </c>
      <c r="T2717" s="3" t="s">
        <v>40</v>
      </c>
      <c r="U2717" s="3" t="s">
        <v>129</v>
      </c>
      <c r="V2717" s="15" t="s">
        <v>42</v>
      </c>
      <c r="W2717" s="3" t="s">
        <v>43</v>
      </c>
      <c r="X2717" s="18">
        <v>46174</v>
      </c>
      <c r="Y2717" s="3">
        <f t="shared" si="130"/>
        <v>26</v>
      </c>
      <c r="Z2717" s="18">
        <v>46174</v>
      </c>
      <c r="AA2717" s="15"/>
      <c r="AB2717" s="15"/>
    </row>
    <row r="2718" spans="1:28">
      <c r="A2718" s="59">
        <v>46148</v>
      </c>
      <c r="B2718" s="3">
        <v>2026</v>
      </c>
      <c r="C2718" s="21" t="s">
        <v>1982</v>
      </c>
      <c r="D2718" s="3" t="s">
        <v>54</v>
      </c>
      <c r="E2718" s="3"/>
      <c r="F2718" s="3" t="s">
        <v>31</v>
      </c>
      <c r="G2718" s="21" t="s">
        <v>1983</v>
      </c>
      <c r="H2718" s="21">
        <v>8917436223</v>
      </c>
      <c r="I2718" s="38" t="s">
        <v>1984</v>
      </c>
      <c r="J2718" s="21" t="s">
        <v>1985</v>
      </c>
      <c r="K2718" s="21" t="s">
        <v>1986</v>
      </c>
      <c r="L2718" s="21" t="s">
        <v>59</v>
      </c>
      <c r="M2718" s="96" t="s">
        <v>119</v>
      </c>
      <c r="N2718" s="3" t="s">
        <v>50</v>
      </c>
      <c r="O2718" s="62">
        <v>540</v>
      </c>
      <c r="P2718" s="96" t="s">
        <v>3020</v>
      </c>
      <c r="Q2718" s="53" t="str">
        <f t="shared" si="128"/>
        <v>23</v>
      </c>
      <c r="R2718" s="53" t="str">
        <f t="shared" si="129"/>
        <v>04</v>
      </c>
      <c r="S2718" s="3" t="s">
        <v>39</v>
      </c>
      <c r="T2718" s="3" t="s">
        <v>40</v>
      </c>
      <c r="U2718" s="3" t="s">
        <v>51</v>
      </c>
      <c r="V2718" s="3" t="s">
        <v>52</v>
      </c>
      <c r="W2718" s="3" t="s">
        <v>43</v>
      </c>
      <c r="X2718" s="18">
        <v>46174</v>
      </c>
      <c r="Y2718" s="3">
        <f t="shared" si="130"/>
        <v>26</v>
      </c>
      <c r="Z2718" s="18">
        <v>46174</v>
      </c>
      <c r="AA2718" s="15"/>
      <c r="AB2718" s="15"/>
    </row>
    <row r="2719" spans="1:28">
      <c r="A2719" s="59">
        <v>46148</v>
      </c>
      <c r="B2719" s="3">
        <v>2026</v>
      </c>
      <c r="C2719" s="21" t="s">
        <v>1982</v>
      </c>
      <c r="D2719" s="3" t="s">
        <v>54</v>
      </c>
      <c r="E2719" s="3"/>
      <c r="F2719" s="3" t="s">
        <v>31</v>
      </c>
      <c r="G2719" s="21" t="s">
        <v>1983</v>
      </c>
      <c r="H2719" s="21">
        <v>8917436223</v>
      </c>
      <c r="I2719" s="38" t="s">
        <v>1984</v>
      </c>
      <c r="J2719" s="21" t="s">
        <v>1985</v>
      </c>
      <c r="K2719" s="21" t="s">
        <v>1986</v>
      </c>
      <c r="L2719" s="21" t="s">
        <v>59</v>
      </c>
      <c r="M2719" s="96" t="s">
        <v>127</v>
      </c>
      <c r="N2719" s="3" t="s">
        <v>37</v>
      </c>
      <c r="O2719" s="62">
        <v>540</v>
      </c>
      <c r="P2719" s="96" t="s">
        <v>3021</v>
      </c>
      <c r="Q2719" s="53" t="str">
        <f t="shared" si="128"/>
        <v>23</v>
      </c>
      <c r="R2719" s="53" t="str">
        <f t="shared" si="129"/>
        <v>04</v>
      </c>
      <c r="S2719" s="3" t="s">
        <v>39</v>
      </c>
      <c r="T2719" s="3" t="s">
        <v>40</v>
      </c>
      <c r="U2719" s="3" t="s">
        <v>129</v>
      </c>
      <c r="V2719" s="15" t="s">
        <v>42</v>
      </c>
      <c r="W2719" s="3" t="s">
        <v>43</v>
      </c>
      <c r="X2719" s="18">
        <v>46174</v>
      </c>
      <c r="Y2719" s="3">
        <f t="shared" si="130"/>
        <v>26</v>
      </c>
      <c r="Z2719" s="18">
        <v>46174</v>
      </c>
      <c r="AA2719" s="15"/>
      <c r="AB2719" s="15"/>
    </row>
    <row r="2720" spans="1:28">
      <c r="A2720" s="59">
        <v>46148</v>
      </c>
      <c r="B2720" s="3">
        <v>2026</v>
      </c>
      <c r="C2720" s="21" t="s">
        <v>1982</v>
      </c>
      <c r="D2720" s="3" t="s">
        <v>54</v>
      </c>
      <c r="E2720" s="3"/>
      <c r="F2720" s="3" t="s">
        <v>31</v>
      </c>
      <c r="G2720" s="21" t="s">
        <v>1983</v>
      </c>
      <c r="H2720" s="21">
        <v>8917436223</v>
      </c>
      <c r="I2720" s="38" t="s">
        <v>1984</v>
      </c>
      <c r="J2720" s="21" t="s">
        <v>1985</v>
      </c>
      <c r="K2720" s="21" t="s">
        <v>1986</v>
      </c>
      <c r="L2720" s="21" t="s">
        <v>59</v>
      </c>
      <c r="M2720" s="96" t="s">
        <v>127</v>
      </c>
      <c r="N2720" s="3" t="s">
        <v>37</v>
      </c>
      <c r="O2720" s="62">
        <v>540</v>
      </c>
      <c r="P2720" s="96" t="s">
        <v>3022</v>
      </c>
      <c r="Q2720" s="53" t="str">
        <f t="shared" si="128"/>
        <v>23</v>
      </c>
      <c r="R2720" s="53" t="str">
        <f t="shared" si="129"/>
        <v>04</v>
      </c>
      <c r="S2720" s="3" t="s">
        <v>39</v>
      </c>
      <c r="T2720" s="3" t="s">
        <v>40</v>
      </c>
      <c r="U2720" s="3" t="s">
        <v>129</v>
      </c>
      <c r="V2720" s="15" t="s">
        <v>42</v>
      </c>
      <c r="W2720" s="3" t="s">
        <v>43</v>
      </c>
      <c r="X2720" s="18">
        <v>46174</v>
      </c>
      <c r="Y2720" s="3">
        <f t="shared" si="130"/>
        <v>26</v>
      </c>
      <c r="Z2720" s="18">
        <v>46174</v>
      </c>
      <c r="AA2720" s="15"/>
      <c r="AB2720" s="15"/>
    </row>
    <row r="2721" spans="1:28">
      <c r="A2721" s="59">
        <v>46148</v>
      </c>
      <c r="B2721" s="3">
        <v>2026</v>
      </c>
      <c r="C2721" s="21" t="s">
        <v>1982</v>
      </c>
      <c r="D2721" s="3" t="s">
        <v>54</v>
      </c>
      <c r="E2721" s="3"/>
      <c r="F2721" s="3" t="s">
        <v>31</v>
      </c>
      <c r="G2721" s="21" t="s">
        <v>1983</v>
      </c>
      <c r="H2721" s="21">
        <v>8917436223</v>
      </c>
      <c r="I2721" s="38" t="s">
        <v>1984</v>
      </c>
      <c r="J2721" s="21" t="s">
        <v>1985</v>
      </c>
      <c r="K2721" s="21" t="s">
        <v>1986</v>
      </c>
      <c r="L2721" s="21" t="s">
        <v>59</v>
      </c>
      <c r="M2721" s="96" t="s">
        <v>119</v>
      </c>
      <c r="N2721" s="3" t="s">
        <v>50</v>
      </c>
      <c r="O2721" s="62">
        <v>540</v>
      </c>
      <c r="P2721" s="96" t="s">
        <v>3023</v>
      </c>
      <c r="Q2721" s="53" t="str">
        <f t="shared" si="128"/>
        <v>23</v>
      </c>
      <c r="R2721" s="53" t="str">
        <f t="shared" si="129"/>
        <v>04</v>
      </c>
      <c r="S2721" s="3" t="s">
        <v>39</v>
      </c>
      <c r="T2721" s="3" t="s">
        <v>40</v>
      </c>
      <c r="U2721" s="3" t="s">
        <v>51</v>
      </c>
      <c r="V2721" s="3" t="s">
        <v>52</v>
      </c>
      <c r="W2721" s="3" t="s">
        <v>43</v>
      </c>
      <c r="X2721" s="18">
        <v>46174</v>
      </c>
      <c r="Y2721" s="3">
        <f t="shared" si="130"/>
        <v>26</v>
      </c>
      <c r="Z2721" s="18">
        <v>46174</v>
      </c>
      <c r="AA2721" s="15"/>
      <c r="AB2721" s="15"/>
    </row>
    <row r="2722" spans="1:28">
      <c r="A2722" s="59">
        <v>46148</v>
      </c>
      <c r="B2722" s="3">
        <v>2026</v>
      </c>
      <c r="C2722" s="21" t="s">
        <v>1982</v>
      </c>
      <c r="D2722" s="3" t="s">
        <v>54</v>
      </c>
      <c r="E2722" s="3"/>
      <c r="F2722" s="3" t="s">
        <v>31</v>
      </c>
      <c r="G2722" s="21" t="s">
        <v>1983</v>
      </c>
      <c r="H2722" s="21">
        <v>8917436223</v>
      </c>
      <c r="I2722" s="38" t="s">
        <v>1984</v>
      </c>
      <c r="J2722" s="21" t="s">
        <v>1985</v>
      </c>
      <c r="K2722" s="21" t="s">
        <v>1986</v>
      </c>
      <c r="L2722" s="21" t="s">
        <v>59</v>
      </c>
      <c r="M2722" s="96" t="s">
        <v>2555</v>
      </c>
      <c r="N2722" s="3" t="s">
        <v>197</v>
      </c>
      <c r="O2722" s="62">
        <v>540</v>
      </c>
      <c r="P2722" s="96" t="s">
        <v>3024</v>
      </c>
      <c r="Q2722" s="53" t="str">
        <f t="shared" si="128"/>
        <v>23</v>
      </c>
      <c r="R2722" s="53" t="str">
        <f t="shared" si="129"/>
        <v>04</v>
      </c>
      <c r="S2722" s="3" t="s">
        <v>39</v>
      </c>
      <c r="T2722" s="3" t="s">
        <v>40</v>
      </c>
      <c r="U2722" s="19" t="s">
        <v>200</v>
      </c>
      <c r="V2722" s="19" t="s">
        <v>201</v>
      </c>
      <c r="W2722" s="3" t="s">
        <v>43</v>
      </c>
      <c r="X2722" s="18">
        <v>46174</v>
      </c>
      <c r="Y2722" s="3">
        <f t="shared" si="130"/>
        <v>26</v>
      </c>
      <c r="Z2722" s="18">
        <v>46174</v>
      </c>
      <c r="AA2722" s="15"/>
      <c r="AB2722" s="15"/>
    </row>
    <row r="2723" spans="1:28">
      <c r="A2723" s="59">
        <v>46148</v>
      </c>
      <c r="B2723" s="3">
        <v>2026</v>
      </c>
      <c r="C2723" s="21" t="s">
        <v>1982</v>
      </c>
      <c r="D2723" s="3" t="s">
        <v>54</v>
      </c>
      <c r="E2723" s="3"/>
      <c r="F2723" s="3" t="s">
        <v>31</v>
      </c>
      <c r="G2723" s="21" t="s">
        <v>1983</v>
      </c>
      <c r="H2723" s="21">
        <v>8917436223</v>
      </c>
      <c r="I2723" s="38" t="s">
        <v>1984</v>
      </c>
      <c r="J2723" s="21" t="s">
        <v>1985</v>
      </c>
      <c r="K2723" s="21" t="s">
        <v>1986</v>
      </c>
      <c r="L2723" s="21" t="s">
        <v>59</v>
      </c>
      <c r="M2723" s="96" t="s">
        <v>119</v>
      </c>
      <c r="N2723" s="3" t="s">
        <v>50</v>
      </c>
      <c r="O2723" s="62">
        <v>540</v>
      </c>
      <c r="P2723" s="96" t="s">
        <v>3025</v>
      </c>
      <c r="Q2723" s="53" t="str">
        <f t="shared" si="128"/>
        <v>23</v>
      </c>
      <c r="R2723" s="53" t="str">
        <f t="shared" si="129"/>
        <v>04</v>
      </c>
      <c r="S2723" s="3" t="s">
        <v>39</v>
      </c>
      <c r="T2723" s="3" t="s">
        <v>40</v>
      </c>
      <c r="U2723" s="3" t="s">
        <v>51</v>
      </c>
      <c r="V2723" s="3" t="s">
        <v>52</v>
      </c>
      <c r="W2723" s="3" t="s">
        <v>43</v>
      </c>
      <c r="X2723" s="18">
        <v>46174</v>
      </c>
      <c r="Y2723" s="3">
        <f t="shared" si="130"/>
        <v>26</v>
      </c>
      <c r="Z2723" s="18">
        <v>46174</v>
      </c>
      <c r="AA2723" s="15"/>
      <c r="AB2723" s="15"/>
    </row>
    <row r="2724" spans="1:28">
      <c r="A2724" s="59">
        <v>46148</v>
      </c>
      <c r="B2724" s="3">
        <v>2026</v>
      </c>
      <c r="C2724" s="21" t="s">
        <v>1982</v>
      </c>
      <c r="D2724" s="3" t="s">
        <v>54</v>
      </c>
      <c r="E2724" s="3"/>
      <c r="F2724" s="3" t="s">
        <v>31</v>
      </c>
      <c r="G2724" s="21" t="s">
        <v>1983</v>
      </c>
      <c r="H2724" s="21">
        <v>8917436223</v>
      </c>
      <c r="I2724" s="38" t="s">
        <v>1984</v>
      </c>
      <c r="J2724" s="21" t="s">
        <v>1985</v>
      </c>
      <c r="K2724" s="21" t="s">
        <v>1986</v>
      </c>
      <c r="L2724" s="21" t="s">
        <v>59</v>
      </c>
      <c r="M2724" s="96" t="s">
        <v>2555</v>
      </c>
      <c r="N2724" s="3" t="s">
        <v>197</v>
      </c>
      <c r="O2724" s="62">
        <v>540</v>
      </c>
      <c r="P2724" s="96" t="s">
        <v>3026</v>
      </c>
      <c r="Q2724" s="53" t="str">
        <f t="shared" si="128"/>
        <v>23</v>
      </c>
      <c r="R2724" s="53" t="str">
        <f t="shared" si="129"/>
        <v>04</v>
      </c>
      <c r="S2724" s="3" t="s">
        <v>39</v>
      </c>
      <c r="T2724" s="3" t="s">
        <v>40</v>
      </c>
      <c r="U2724" s="19" t="s">
        <v>200</v>
      </c>
      <c r="V2724" s="19" t="s">
        <v>201</v>
      </c>
      <c r="W2724" s="3" t="s">
        <v>43</v>
      </c>
      <c r="X2724" s="18">
        <v>46174</v>
      </c>
      <c r="Y2724" s="3">
        <f t="shared" si="130"/>
        <v>26</v>
      </c>
      <c r="Z2724" s="18">
        <v>46174</v>
      </c>
      <c r="AA2724" s="15"/>
      <c r="AB2724" s="15"/>
    </row>
    <row r="2725" spans="1:28">
      <c r="A2725" s="59">
        <v>46148</v>
      </c>
      <c r="B2725" s="3">
        <v>2026</v>
      </c>
      <c r="C2725" s="21" t="s">
        <v>1982</v>
      </c>
      <c r="D2725" s="3" t="s">
        <v>54</v>
      </c>
      <c r="E2725" s="3"/>
      <c r="F2725" s="3" t="s">
        <v>31</v>
      </c>
      <c r="G2725" s="21" t="s">
        <v>1983</v>
      </c>
      <c r="H2725" s="21">
        <v>8917436223</v>
      </c>
      <c r="I2725" s="38" t="s">
        <v>1984</v>
      </c>
      <c r="J2725" s="21" t="s">
        <v>1985</v>
      </c>
      <c r="K2725" s="21" t="s">
        <v>1986</v>
      </c>
      <c r="L2725" s="21" t="s">
        <v>59</v>
      </c>
      <c r="M2725" s="96" t="s">
        <v>123</v>
      </c>
      <c r="N2725" s="26" t="s">
        <v>50</v>
      </c>
      <c r="O2725" s="60">
        <v>540</v>
      </c>
      <c r="P2725" s="96" t="s">
        <v>3027</v>
      </c>
      <c r="Q2725" s="53" t="str">
        <f t="shared" si="128"/>
        <v>23</v>
      </c>
      <c r="R2725" s="53" t="str">
        <f t="shared" si="129"/>
        <v>04</v>
      </c>
      <c r="S2725" s="3" t="s">
        <v>39</v>
      </c>
      <c r="T2725" s="3" t="s">
        <v>40</v>
      </c>
      <c r="U2725" s="19" t="s">
        <v>125</v>
      </c>
      <c r="V2725" s="19" t="s">
        <v>52</v>
      </c>
      <c r="W2725" s="3" t="s">
        <v>43</v>
      </c>
      <c r="X2725" s="18">
        <v>46174</v>
      </c>
      <c r="Y2725" s="3">
        <f t="shared" si="130"/>
        <v>26</v>
      </c>
      <c r="Z2725" s="18">
        <v>46174</v>
      </c>
      <c r="AA2725" s="15"/>
      <c r="AB2725" s="15"/>
    </row>
    <row r="2726" spans="1:28">
      <c r="A2726" s="59">
        <v>46148</v>
      </c>
      <c r="B2726" s="3">
        <v>2026</v>
      </c>
      <c r="C2726" s="21" t="s">
        <v>1982</v>
      </c>
      <c r="D2726" s="3" t="s">
        <v>54</v>
      </c>
      <c r="E2726" s="3"/>
      <c r="F2726" s="3" t="s">
        <v>31</v>
      </c>
      <c r="G2726" s="21" t="s">
        <v>1983</v>
      </c>
      <c r="H2726" s="21">
        <v>8917436223</v>
      </c>
      <c r="I2726" s="38" t="s">
        <v>1984</v>
      </c>
      <c r="J2726" s="21" t="s">
        <v>1985</v>
      </c>
      <c r="K2726" s="21" t="s">
        <v>1986</v>
      </c>
      <c r="L2726" s="21" t="s">
        <v>59</v>
      </c>
      <c r="M2726" s="96" t="s">
        <v>2555</v>
      </c>
      <c r="N2726" s="3" t="s">
        <v>197</v>
      </c>
      <c r="O2726" s="62">
        <v>540</v>
      </c>
      <c r="P2726" s="96" t="s">
        <v>3028</v>
      </c>
      <c r="Q2726" s="53" t="str">
        <f t="shared" si="128"/>
        <v>23</v>
      </c>
      <c r="R2726" s="53" t="str">
        <f t="shared" si="129"/>
        <v>04</v>
      </c>
      <c r="S2726" s="3" t="s">
        <v>39</v>
      </c>
      <c r="T2726" s="3" t="s">
        <v>40</v>
      </c>
      <c r="U2726" s="19" t="s">
        <v>200</v>
      </c>
      <c r="V2726" s="19" t="s">
        <v>201</v>
      </c>
      <c r="W2726" s="3" t="s">
        <v>43</v>
      </c>
      <c r="X2726" s="18">
        <v>46174</v>
      </c>
      <c r="Y2726" s="3">
        <f t="shared" si="130"/>
        <v>26</v>
      </c>
      <c r="Z2726" s="18">
        <v>46174</v>
      </c>
      <c r="AA2726" s="15"/>
      <c r="AB2726" s="15"/>
    </row>
    <row r="2727" spans="1:28">
      <c r="A2727" s="59">
        <v>46148</v>
      </c>
      <c r="B2727" s="3">
        <v>2026</v>
      </c>
      <c r="C2727" s="21" t="s">
        <v>1982</v>
      </c>
      <c r="D2727" s="3" t="s">
        <v>54</v>
      </c>
      <c r="E2727" s="3"/>
      <c r="F2727" s="3" t="s">
        <v>31</v>
      </c>
      <c r="G2727" s="21" t="s">
        <v>1983</v>
      </c>
      <c r="H2727" s="21">
        <v>8917436223</v>
      </c>
      <c r="I2727" s="38" t="s">
        <v>1984</v>
      </c>
      <c r="J2727" s="21" t="s">
        <v>1985</v>
      </c>
      <c r="K2727" s="21" t="s">
        <v>1986</v>
      </c>
      <c r="L2727" s="21" t="s">
        <v>59</v>
      </c>
      <c r="M2727" s="96" t="s">
        <v>119</v>
      </c>
      <c r="N2727" s="3" t="s">
        <v>50</v>
      </c>
      <c r="O2727" s="62">
        <v>540</v>
      </c>
      <c r="P2727" s="96" t="s">
        <v>3029</v>
      </c>
      <c r="Q2727" s="53" t="str">
        <f t="shared" ref="Q2727:Q2787" si="131">MID(P2727,5,2)</f>
        <v>23</v>
      </c>
      <c r="R2727" s="53" t="str">
        <f t="shared" ref="R2727:R2787" si="132">MID(P2727,7,2)</f>
        <v>04</v>
      </c>
      <c r="S2727" s="3" t="s">
        <v>39</v>
      </c>
      <c r="T2727" s="3" t="s">
        <v>40</v>
      </c>
      <c r="U2727" s="3" t="s">
        <v>51</v>
      </c>
      <c r="V2727" s="3" t="s">
        <v>52</v>
      </c>
      <c r="W2727" s="3" t="s">
        <v>43</v>
      </c>
      <c r="X2727" s="18">
        <v>46174</v>
      </c>
      <c r="Y2727" s="3">
        <f t="shared" si="130"/>
        <v>26</v>
      </c>
      <c r="Z2727" s="18">
        <v>46174</v>
      </c>
      <c r="AA2727" s="15"/>
      <c r="AB2727" s="15"/>
    </row>
    <row r="2728" spans="1:28">
      <c r="A2728" s="59">
        <v>46148</v>
      </c>
      <c r="B2728" s="3">
        <v>2026</v>
      </c>
      <c r="C2728" s="21" t="s">
        <v>1982</v>
      </c>
      <c r="D2728" s="3" t="s">
        <v>54</v>
      </c>
      <c r="E2728" s="3"/>
      <c r="F2728" s="3" t="s">
        <v>31</v>
      </c>
      <c r="G2728" s="21" t="s">
        <v>1983</v>
      </c>
      <c r="H2728" s="21">
        <v>8917436223</v>
      </c>
      <c r="I2728" s="38" t="s">
        <v>1984</v>
      </c>
      <c r="J2728" s="21" t="s">
        <v>1985</v>
      </c>
      <c r="K2728" s="21" t="s">
        <v>1986</v>
      </c>
      <c r="L2728" s="21" t="s">
        <v>59</v>
      </c>
      <c r="M2728" s="96" t="s">
        <v>130</v>
      </c>
      <c r="N2728" s="26" t="s">
        <v>37</v>
      </c>
      <c r="O2728" s="60">
        <v>540</v>
      </c>
      <c r="P2728" s="96" t="s">
        <v>3030</v>
      </c>
      <c r="Q2728" s="53" t="str">
        <f t="shared" si="131"/>
        <v>23</v>
      </c>
      <c r="R2728" s="53" t="str">
        <f t="shared" si="132"/>
        <v>05</v>
      </c>
      <c r="S2728" s="3" t="s">
        <v>39</v>
      </c>
      <c r="T2728" s="3" t="s">
        <v>40</v>
      </c>
      <c r="U2728" s="19" t="s">
        <v>132</v>
      </c>
      <c r="V2728" s="19" t="s">
        <v>42</v>
      </c>
      <c r="W2728" s="3" t="s">
        <v>43</v>
      </c>
      <c r="X2728" s="18">
        <v>46174</v>
      </c>
      <c r="Y2728" s="3">
        <f t="shared" si="130"/>
        <v>26</v>
      </c>
      <c r="Z2728" s="18">
        <v>46174</v>
      </c>
      <c r="AA2728" s="15"/>
      <c r="AB2728" s="15"/>
    </row>
    <row r="2729" spans="1:28">
      <c r="A2729" s="59">
        <v>46148</v>
      </c>
      <c r="B2729" s="3">
        <v>2026</v>
      </c>
      <c r="C2729" s="21" t="s">
        <v>1982</v>
      </c>
      <c r="D2729" s="3" t="s">
        <v>54</v>
      </c>
      <c r="E2729" s="3"/>
      <c r="F2729" s="3" t="s">
        <v>31</v>
      </c>
      <c r="G2729" s="21" t="s">
        <v>1983</v>
      </c>
      <c r="H2729" s="21">
        <v>8917436223</v>
      </c>
      <c r="I2729" s="38" t="s">
        <v>1984</v>
      </c>
      <c r="J2729" s="21" t="s">
        <v>1985</v>
      </c>
      <c r="K2729" s="21" t="s">
        <v>1986</v>
      </c>
      <c r="L2729" s="21" t="s">
        <v>59</v>
      </c>
      <c r="M2729" s="96" t="s">
        <v>123</v>
      </c>
      <c r="N2729" s="26" t="s">
        <v>50</v>
      </c>
      <c r="O2729" s="60">
        <v>540</v>
      </c>
      <c r="P2729" s="96" t="s">
        <v>3031</v>
      </c>
      <c r="Q2729" s="53" t="str">
        <f t="shared" si="131"/>
        <v>23</v>
      </c>
      <c r="R2729" s="53" t="str">
        <f t="shared" si="132"/>
        <v>05</v>
      </c>
      <c r="S2729" s="3" t="s">
        <v>39</v>
      </c>
      <c r="T2729" s="3" t="s">
        <v>40</v>
      </c>
      <c r="U2729" s="19" t="s">
        <v>125</v>
      </c>
      <c r="V2729" s="19" t="s">
        <v>52</v>
      </c>
      <c r="W2729" s="3" t="s">
        <v>43</v>
      </c>
      <c r="X2729" s="18">
        <v>46174</v>
      </c>
      <c r="Y2729" s="3">
        <f t="shared" si="130"/>
        <v>26</v>
      </c>
      <c r="Z2729" s="18">
        <v>46174</v>
      </c>
      <c r="AA2729" s="15"/>
      <c r="AB2729" s="15"/>
    </row>
    <row r="2730" spans="1:28">
      <c r="A2730" s="59">
        <v>46148</v>
      </c>
      <c r="B2730" s="3">
        <v>2026</v>
      </c>
      <c r="C2730" s="21" t="s">
        <v>1982</v>
      </c>
      <c r="D2730" s="3" t="s">
        <v>54</v>
      </c>
      <c r="E2730" s="3"/>
      <c r="F2730" s="3" t="s">
        <v>31</v>
      </c>
      <c r="G2730" s="21" t="s">
        <v>1983</v>
      </c>
      <c r="H2730" s="21">
        <v>8917436223</v>
      </c>
      <c r="I2730" s="38" t="s">
        <v>1984</v>
      </c>
      <c r="J2730" s="21" t="s">
        <v>1985</v>
      </c>
      <c r="K2730" s="21" t="s">
        <v>1986</v>
      </c>
      <c r="L2730" s="21" t="s">
        <v>59</v>
      </c>
      <c r="M2730" s="96" t="s">
        <v>119</v>
      </c>
      <c r="N2730" s="3" t="s">
        <v>50</v>
      </c>
      <c r="O2730" s="62">
        <v>540</v>
      </c>
      <c r="P2730" s="96" t="s">
        <v>3032</v>
      </c>
      <c r="Q2730" s="53" t="str">
        <f t="shared" si="131"/>
        <v>23</v>
      </c>
      <c r="R2730" s="53" t="str">
        <f t="shared" si="132"/>
        <v>05</v>
      </c>
      <c r="S2730" s="3" t="s">
        <v>39</v>
      </c>
      <c r="T2730" s="3" t="s">
        <v>40</v>
      </c>
      <c r="U2730" s="3" t="s">
        <v>51</v>
      </c>
      <c r="V2730" s="3" t="s">
        <v>52</v>
      </c>
      <c r="W2730" s="3" t="s">
        <v>43</v>
      </c>
      <c r="X2730" s="18">
        <v>46174</v>
      </c>
      <c r="Y2730" s="3">
        <f t="shared" si="130"/>
        <v>26</v>
      </c>
      <c r="Z2730" s="18">
        <v>46174</v>
      </c>
      <c r="AA2730" s="15"/>
      <c r="AB2730" s="15"/>
    </row>
    <row r="2731" spans="1:28">
      <c r="A2731" s="59">
        <v>46148</v>
      </c>
      <c r="B2731" s="3">
        <v>2026</v>
      </c>
      <c r="C2731" s="21" t="s">
        <v>1982</v>
      </c>
      <c r="D2731" s="3" t="s">
        <v>54</v>
      </c>
      <c r="E2731" s="3"/>
      <c r="F2731" s="3" t="s">
        <v>31</v>
      </c>
      <c r="G2731" s="21" t="s">
        <v>1983</v>
      </c>
      <c r="H2731" s="21">
        <v>8917436223</v>
      </c>
      <c r="I2731" s="38" t="s">
        <v>1984</v>
      </c>
      <c r="J2731" s="21" t="s">
        <v>1985</v>
      </c>
      <c r="K2731" s="21" t="s">
        <v>1986</v>
      </c>
      <c r="L2731" s="21" t="s">
        <v>59</v>
      </c>
      <c r="M2731" s="96" t="s">
        <v>130</v>
      </c>
      <c r="N2731" s="26" t="s">
        <v>37</v>
      </c>
      <c r="O2731" s="60">
        <v>540</v>
      </c>
      <c r="P2731" s="96" t="s">
        <v>3033</v>
      </c>
      <c r="Q2731" s="53" t="str">
        <f t="shared" si="131"/>
        <v>23</v>
      </c>
      <c r="R2731" s="53" t="str">
        <f t="shared" si="132"/>
        <v>04</v>
      </c>
      <c r="S2731" s="3" t="s">
        <v>39</v>
      </c>
      <c r="T2731" s="3" t="s">
        <v>40</v>
      </c>
      <c r="U2731" s="19" t="s">
        <v>132</v>
      </c>
      <c r="V2731" s="19" t="s">
        <v>42</v>
      </c>
      <c r="W2731" s="3" t="s">
        <v>43</v>
      </c>
      <c r="X2731" s="18">
        <v>46174</v>
      </c>
      <c r="Y2731" s="3">
        <f t="shared" si="130"/>
        <v>26</v>
      </c>
      <c r="Z2731" s="18">
        <v>46174</v>
      </c>
      <c r="AA2731" s="15"/>
      <c r="AB2731" s="15"/>
    </row>
    <row r="2732" spans="1:28">
      <c r="A2732" s="59">
        <v>46148</v>
      </c>
      <c r="B2732" s="3">
        <v>2026</v>
      </c>
      <c r="C2732" s="21" t="s">
        <v>1982</v>
      </c>
      <c r="D2732" s="3" t="s">
        <v>54</v>
      </c>
      <c r="E2732" s="3"/>
      <c r="F2732" s="3" t="s">
        <v>31</v>
      </c>
      <c r="G2732" s="21" t="s">
        <v>1983</v>
      </c>
      <c r="H2732" s="21">
        <v>8917436223</v>
      </c>
      <c r="I2732" s="38" t="s">
        <v>1984</v>
      </c>
      <c r="J2732" s="21" t="s">
        <v>1985</v>
      </c>
      <c r="K2732" s="21" t="s">
        <v>1986</v>
      </c>
      <c r="L2732" s="21" t="s">
        <v>59</v>
      </c>
      <c r="M2732" s="96" t="s">
        <v>2555</v>
      </c>
      <c r="N2732" s="3" t="s">
        <v>197</v>
      </c>
      <c r="O2732" s="62">
        <v>540</v>
      </c>
      <c r="P2732" s="96" t="s">
        <v>3034</v>
      </c>
      <c r="Q2732" s="53" t="str">
        <f t="shared" si="131"/>
        <v>23</v>
      </c>
      <c r="R2732" s="53" t="str">
        <f t="shared" si="132"/>
        <v>04</v>
      </c>
      <c r="S2732" s="3" t="s">
        <v>39</v>
      </c>
      <c r="T2732" s="3" t="s">
        <v>40</v>
      </c>
      <c r="U2732" s="19" t="s">
        <v>200</v>
      </c>
      <c r="V2732" s="19" t="s">
        <v>201</v>
      </c>
      <c r="W2732" s="3" t="s">
        <v>43</v>
      </c>
      <c r="X2732" s="18">
        <v>46174</v>
      </c>
      <c r="Y2732" s="3">
        <f t="shared" si="130"/>
        <v>26</v>
      </c>
      <c r="Z2732" s="18">
        <v>46174</v>
      </c>
      <c r="AA2732" s="15"/>
      <c r="AB2732" s="15"/>
    </row>
    <row r="2733" spans="1:28">
      <c r="A2733" s="59">
        <v>46148</v>
      </c>
      <c r="B2733" s="3">
        <v>2026</v>
      </c>
      <c r="C2733" s="21" t="s">
        <v>1982</v>
      </c>
      <c r="D2733" s="3" t="s">
        <v>54</v>
      </c>
      <c r="E2733" s="3"/>
      <c r="F2733" s="3" t="s">
        <v>31</v>
      </c>
      <c r="G2733" s="21" t="s">
        <v>1983</v>
      </c>
      <c r="H2733" s="21">
        <v>8917436223</v>
      </c>
      <c r="I2733" s="38" t="s">
        <v>1984</v>
      </c>
      <c r="J2733" s="21" t="s">
        <v>1985</v>
      </c>
      <c r="K2733" s="21" t="s">
        <v>1986</v>
      </c>
      <c r="L2733" s="21" t="s">
        <v>59</v>
      </c>
      <c r="M2733" s="96" t="s">
        <v>2555</v>
      </c>
      <c r="N2733" s="3" t="s">
        <v>197</v>
      </c>
      <c r="O2733" s="62">
        <v>540</v>
      </c>
      <c r="P2733" s="96" t="s">
        <v>3035</v>
      </c>
      <c r="Q2733" s="53" t="str">
        <f t="shared" si="131"/>
        <v>23</v>
      </c>
      <c r="R2733" s="53" t="str">
        <f t="shared" si="132"/>
        <v>04</v>
      </c>
      <c r="S2733" s="3" t="s">
        <v>39</v>
      </c>
      <c r="T2733" s="3" t="s">
        <v>40</v>
      </c>
      <c r="U2733" s="19" t="s">
        <v>200</v>
      </c>
      <c r="V2733" s="19" t="s">
        <v>201</v>
      </c>
      <c r="W2733" s="3" t="s">
        <v>43</v>
      </c>
      <c r="X2733" s="18">
        <v>46174</v>
      </c>
      <c r="Y2733" s="3">
        <f t="shared" si="130"/>
        <v>26</v>
      </c>
      <c r="Z2733" s="18">
        <v>46174</v>
      </c>
      <c r="AA2733" s="15"/>
      <c r="AB2733" s="15"/>
    </row>
    <row r="2734" spans="1:28">
      <c r="A2734" s="59">
        <v>46148</v>
      </c>
      <c r="B2734" s="3">
        <v>2026</v>
      </c>
      <c r="C2734" s="21" t="s">
        <v>1982</v>
      </c>
      <c r="D2734" s="3" t="s">
        <v>54</v>
      </c>
      <c r="E2734" s="3"/>
      <c r="F2734" s="3" t="s">
        <v>31</v>
      </c>
      <c r="G2734" s="21" t="s">
        <v>1983</v>
      </c>
      <c r="H2734" s="21">
        <v>8917436223</v>
      </c>
      <c r="I2734" s="38" t="s">
        <v>1984</v>
      </c>
      <c r="J2734" s="21" t="s">
        <v>1985</v>
      </c>
      <c r="K2734" s="21" t="s">
        <v>1986</v>
      </c>
      <c r="L2734" s="21" t="s">
        <v>59</v>
      </c>
      <c r="M2734" s="96" t="s">
        <v>2555</v>
      </c>
      <c r="N2734" s="3" t="s">
        <v>197</v>
      </c>
      <c r="O2734" s="62">
        <v>540</v>
      </c>
      <c r="P2734" s="96" t="s">
        <v>3036</v>
      </c>
      <c r="Q2734" s="53" t="str">
        <f t="shared" si="131"/>
        <v>23</v>
      </c>
      <c r="R2734" s="53" t="str">
        <f t="shared" si="132"/>
        <v>04</v>
      </c>
      <c r="S2734" s="3" t="s">
        <v>39</v>
      </c>
      <c r="T2734" s="3" t="s">
        <v>40</v>
      </c>
      <c r="U2734" s="19" t="s">
        <v>200</v>
      </c>
      <c r="V2734" s="19" t="s">
        <v>201</v>
      </c>
      <c r="W2734" s="3" t="s">
        <v>43</v>
      </c>
      <c r="X2734" s="18">
        <v>46174</v>
      </c>
      <c r="Y2734" s="3">
        <f t="shared" si="130"/>
        <v>26</v>
      </c>
      <c r="Z2734" s="18">
        <v>46174</v>
      </c>
      <c r="AA2734" s="15"/>
      <c r="AB2734" s="15"/>
    </row>
    <row r="2735" spans="1:28">
      <c r="A2735" s="59">
        <v>46148</v>
      </c>
      <c r="B2735" s="3">
        <v>2026</v>
      </c>
      <c r="C2735" s="21" t="s">
        <v>1982</v>
      </c>
      <c r="D2735" s="3" t="s">
        <v>54</v>
      </c>
      <c r="E2735" s="3"/>
      <c r="F2735" s="3" t="s">
        <v>31</v>
      </c>
      <c r="G2735" s="21" t="s">
        <v>1983</v>
      </c>
      <c r="H2735" s="21">
        <v>8917436223</v>
      </c>
      <c r="I2735" s="38" t="s">
        <v>1984</v>
      </c>
      <c r="J2735" s="21" t="s">
        <v>1985</v>
      </c>
      <c r="K2735" s="21" t="s">
        <v>1986</v>
      </c>
      <c r="L2735" s="21" t="s">
        <v>59</v>
      </c>
      <c r="M2735" s="96" t="s">
        <v>2555</v>
      </c>
      <c r="N2735" s="3" t="s">
        <v>197</v>
      </c>
      <c r="O2735" s="62">
        <v>540</v>
      </c>
      <c r="P2735" s="96" t="s">
        <v>3037</v>
      </c>
      <c r="Q2735" s="53" t="str">
        <f t="shared" si="131"/>
        <v>23</v>
      </c>
      <c r="R2735" s="53" t="str">
        <f t="shared" si="132"/>
        <v>04</v>
      </c>
      <c r="S2735" s="3" t="s">
        <v>39</v>
      </c>
      <c r="T2735" s="3" t="s">
        <v>40</v>
      </c>
      <c r="U2735" s="19" t="s">
        <v>200</v>
      </c>
      <c r="V2735" s="19" t="s">
        <v>201</v>
      </c>
      <c r="W2735" s="3" t="s">
        <v>43</v>
      </c>
      <c r="X2735" s="18">
        <v>46174</v>
      </c>
      <c r="Y2735" s="3">
        <f t="shared" si="130"/>
        <v>26</v>
      </c>
      <c r="Z2735" s="18">
        <v>46174</v>
      </c>
      <c r="AA2735" s="15"/>
      <c r="AB2735" s="15"/>
    </row>
    <row r="2736" spans="1:28">
      <c r="A2736" s="59">
        <v>46148</v>
      </c>
      <c r="B2736" s="3">
        <v>2026</v>
      </c>
      <c r="C2736" s="21" t="s">
        <v>1982</v>
      </c>
      <c r="D2736" s="3" t="s">
        <v>54</v>
      </c>
      <c r="E2736" s="3"/>
      <c r="F2736" s="3" t="s">
        <v>31</v>
      </c>
      <c r="G2736" s="21" t="s">
        <v>1983</v>
      </c>
      <c r="H2736" s="21">
        <v>8917436223</v>
      </c>
      <c r="I2736" s="38" t="s">
        <v>1984</v>
      </c>
      <c r="J2736" s="21" t="s">
        <v>1985</v>
      </c>
      <c r="K2736" s="21" t="s">
        <v>1986</v>
      </c>
      <c r="L2736" s="21" t="s">
        <v>59</v>
      </c>
      <c r="M2736" s="96" t="s">
        <v>2555</v>
      </c>
      <c r="N2736" s="3" t="s">
        <v>197</v>
      </c>
      <c r="O2736" s="62">
        <v>540</v>
      </c>
      <c r="P2736" s="96" t="s">
        <v>3038</v>
      </c>
      <c r="Q2736" s="53" t="str">
        <f t="shared" si="131"/>
        <v>23</v>
      </c>
      <c r="R2736" s="53" t="str">
        <f t="shared" si="132"/>
        <v>04</v>
      </c>
      <c r="S2736" s="3" t="s">
        <v>39</v>
      </c>
      <c r="T2736" s="3" t="s">
        <v>40</v>
      </c>
      <c r="U2736" s="19" t="s">
        <v>200</v>
      </c>
      <c r="V2736" s="19" t="s">
        <v>201</v>
      </c>
      <c r="W2736" s="3" t="s">
        <v>43</v>
      </c>
      <c r="X2736" s="18">
        <v>46174</v>
      </c>
      <c r="Y2736" s="3">
        <f t="shared" si="130"/>
        <v>26</v>
      </c>
      <c r="Z2736" s="18">
        <v>46174</v>
      </c>
      <c r="AA2736" s="15"/>
      <c r="AB2736" s="15"/>
    </row>
    <row r="2737" spans="1:28">
      <c r="A2737" s="59">
        <v>46148</v>
      </c>
      <c r="B2737" s="3">
        <v>2026</v>
      </c>
      <c r="C2737" s="21" t="s">
        <v>1982</v>
      </c>
      <c r="D2737" s="3" t="s">
        <v>54</v>
      </c>
      <c r="E2737" s="3"/>
      <c r="F2737" s="3" t="s">
        <v>31</v>
      </c>
      <c r="G2737" s="21" t="s">
        <v>1983</v>
      </c>
      <c r="H2737" s="21">
        <v>8917436223</v>
      </c>
      <c r="I2737" s="38" t="s">
        <v>1984</v>
      </c>
      <c r="J2737" s="21" t="s">
        <v>1985</v>
      </c>
      <c r="K2737" s="21" t="s">
        <v>1986</v>
      </c>
      <c r="L2737" s="21" t="s">
        <v>59</v>
      </c>
      <c r="M2737" s="96" t="s">
        <v>2555</v>
      </c>
      <c r="N2737" s="3" t="s">
        <v>197</v>
      </c>
      <c r="O2737" s="62">
        <v>540</v>
      </c>
      <c r="P2737" s="96" t="s">
        <v>3039</v>
      </c>
      <c r="Q2737" s="53" t="str">
        <f t="shared" si="131"/>
        <v>23</v>
      </c>
      <c r="R2737" s="53" t="str">
        <f t="shared" si="132"/>
        <v>04</v>
      </c>
      <c r="S2737" s="3" t="s">
        <v>39</v>
      </c>
      <c r="T2737" s="3" t="s">
        <v>40</v>
      </c>
      <c r="U2737" s="19" t="s">
        <v>200</v>
      </c>
      <c r="V2737" s="19" t="s">
        <v>201</v>
      </c>
      <c r="W2737" s="3" t="s">
        <v>43</v>
      </c>
      <c r="X2737" s="18">
        <v>46174</v>
      </c>
      <c r="Y2737" s="3">
        <f t="shared" si="130"/>
        <v>26</v>
      </c>
      <c r="Z2737" s="18">
        <v>46174</v>
      </c>
      <c r="AA2737" s="15"/>
      <c r="AB2737" s="15"/>
    </row>
    <row r="2738" spans="1:28">
      <c r="A2738" s="59">
        <v>46148</v>
      </c>
      <c r="B2738" s="3">
        <v>2026</v>
      </c>
      <c r="C2738" s="21" t="s">
        <v>1982</v>
      </c>
      <c r="D2738" s="3" t="s">
        <v>54</v>
      </c>
      <c r="E2738" s="3"/>
      <c r="F2738" s="3" t="s">
        <v>31</v>
      </c>
      <c r="G2738" s="21" t="s">
        <v>1983</v>
      </c>
      <c r="H2738" s="21">
        <v>8917436223</v>
      </c>
      <c r="I2738" s="38" t="s">
        <v>1984</v>
      </c>
      <c r="J2738" s="21" t="s">
        <v>1985</v>
      </c>
      <c r="K2738" s="21" t="s">
        <v>1986</v>
      </c>
      <c r="L2738" s="21" t="s">
        <v>59</v>
      </c>
      <c r="M2738" s="96" t="s">
        <v>2555</v>
      </c>
      <c r="N2738" s="3" t="s">
        <v>197</v>
      </c>
      <c r="O2738" s="62">
        <v>540</v>
      </c>
      <c r="P2738" s="96" t="s">
        <v>3040</v>
      </c>
      <c r="Q2738" s="53" t="str">
        <f t="shared" si="131"/>
        <v>23</v>
      </c>
      <c r="R2738" s="53" t="str">
        <f t="shared" si="132"/>
        <v>04</v>
      </c>
      <c r="S2738" s="3" t="s">
        <v>39</v>
      </c>
      <c r="T2738" s="3" t="s">
        <v>40</v>
      </c>
      <c r="U2738" s="19" t="s">
        <v>200</v>
      </c>
      <c r="V2738" s="19" t="s">
        <v>201</v>
      </c>
      <c r="W2738" s="3" t="s">
        <v>43</v>
      </c>
      <c r="X2738" s="18">
        <v>46174</v>
      </c>
      <c r="Y2738" s="3">
        <f t="shared" si="130"/>
        <v>26</v>
      </c>
      <c r="Z2738" s="18">
        <v>46174</v>
      </c>
      <c r="AA2738" s="15"/>
      <c r="AB2738" s="15"/>
    </row>
    <row r="2739" spans="1:28">
      <c r="A2739" s="59">
        <v>46148</v>
      </c>
      <c r="B2739" s="3">
        <v>2026</v>
      </c>
      <c r="C2739" s="21" t="s">
        <v>1982</v>
      </c>
      <c r="D2739" s="3" t="s">
        <v>54</v>
      </c>
      <c r="E2739" s="3"/>
      <c r="F2739" s="3" t="s">
        <v>31</v>
      </c>
      <c r="G2739" s="21" t="s">
        <v>1983</v>
      </c>
      <c r="H2739" s="21">
        <v>8917436223</v>
      </c>
      <c r="I2739" s="38" t="s">
        <v>1984</v>
      </c>
      <c r="J2739" s="21" t="s">
        <v>1985</v>
      </c>
      <c r="K2739" s="21" t="s">
        <v>1986</v>
      </c>
      <c r="L2739" s="21" t="s">
        <v>59</v>
      </c>
      <c r="M2739" s="96" t="s">
        <v>2555</v>
      </c>
      <c r="N2739" s="3" t="s">
        <v>197</v>
      </c>
      <c r="O2739" s="62">
        <v>540</v>
      </c>
      <c r="P2739" s="96" t="s">
        <v>3041</v>
      </c>
      <c r="Q2739" s="53" t="str">
        <f t="shared" si="131"/>
        <v>23</v>
      </c>
      <c r="R2739" s="53" t="str">
        <f t="shared" si="132"/>
        <v>04</v>
      </c>
      <c r="S2739" s="3" t="s">
        <v>39</v>
      </c>
      <c r="T2739" s="3" t="s">
        <v>40</v>
      </c>
      <c r="U2739" s="19" t="s">
        <v>200</v>
      </c>
      <c r="V2739" s="19" t="s">
        <v>201</v>
      </c>
      <c r="W2739" s="3" t="s">
        <v>43</v>
      </c>
      <c r="X2739" s="18">
        <v>46174</v>
      </c>
      <c r="Y2739" s="3">
        <f t="shared" si="130"/>
        <v>26</v>
      </c>
      <c r="Z2739" s="18">
        <v>46174</v>
      </c>
      <c r="AA2739" s="15"/>
      <c r="AB2739" s="15"/>
    </row>
    <row r="2740" spans="1:28">
      <c r="A2740" s="59">
        <v>46148</v>
      </c>
      <c r="B2740" s="3">
        <v>2026</v>
      </c>
      <c r="C2740" s="21" t="s">
        <v>1982</v>
      </c>
      <c r="D2740" s="3" t="s">
        <v>54</v>
      </c>
      <c r="E2740" s="3"/>
      <c r="F2740" s="3" t="s">
        <v>31</v>
      </c>
      <c r="G2740" s="21" t="s">
        <v>1983</v>
      </c>
      <c r="H2740" s="21">
        <v>8917436223</v>
      </c>
      <c r="I2740" s="38" t="s">
        <v>1984</v>
      </c>
      <c r="J2740" s="21" t="s">
        <v>1985</v>
      </c>
      <c r="K2740" s="21" t="s">
        <v>1986</v>
      </c>
      <c r="L2740" s="21" t="s">
        <v>59</v>
      </c>
      <c r="M2740" s="96" t="s">
        <v>2555</v>
      </c>
      <c r="N2740" s="3" t="s">
        <v>197</v>
      </c>
      <c r="O2740" s="62">
        <v>540</v>
      </c>
      <c r="P2740" s="96" t="s">
        <v>3042</v>
      </c>
      <c r="Q2740" s="53" t="str">
        <f t="shared" si="131"/>
        <v>23</v>
      </c>
      <c r="R2740" s="53" t="str">
        <f t="shared" si="132"/>
        <v>04</v>
      </c>
      <c r="S2740" s="3" t="s">
        <v>39</v>
      </c>
      <c r="T2740" s="3" t="s">
        <v>40</v>
      </c>
      <c r="U2740" s="19" t="s">
        <v>200</v>
      </c>
      <c r="V2740" s="19" t="s">
        <v>201</v>
      </c>
      <c r="W2740" s="3" t="s">
        <v>43</v>
      </c>
      <c r="X2740" s="18">
        <v>46174</v>
      </c>
      <c r="Y2740" s="3">
        <f t="shared" si="130"/>
        <v>26</v>
      </c>
      <c r="Z2740" s="18">
        <v>46174</v>
      </c>
      <c r="AA2740" s="15"/>
      <c r="AB2740" s="15"/>
    </row>
    <row r="2741" spans="1:28">
      <c r="A2741" s="59">
        <v>46148</v>
      </c>
      <c r="B2741" s="3">
        <v>2026</v>
      </c>
      <c r="C2741" s="21" t="s">
        <v>1982</v>
      </c>
      <c r="D2741" s="3" t="s">
        <v>54</v>
      </c>
      <c r="E2741" s="3"/>
      <c r="F2741" s="3" t="s">
        <v>31</v>
      </c>
      <c r="G2741" s="21" t="s">
        <v>1983</v>
      </c>
      <c r="H2741" s="21">
        <v>8917436223</v>
      </c>
      <c r="I2741" s="38" t="s">
        <v>1984</v>
      </c>
      <c r="J2741" s="21" t="s">
        <v>1985</v>
      </c>
      <c r="K2741" s="21" t="s">
        <v>1986</v>
      </c>
      <c r="L2741" s="21" t="s">
        <v>59</v>
      </c>
      <c r="M2741" s="96" t="s">
        <v>2555</v>
      </c>
      <c r="N2741" s="3" t="s">
        <v>197</v>
      </c>
      <c r="O2741" s="62">
        <v>540</v>
      </c>
      <c r="P2741" s="96" t="s">
        <v>3043</v>
      </c>
      <c r="Q2741" s="53" t="str">
        <f t="shared" si="131"/>
        <v>23</v>
      </c>
      <c r="R2741" s="53" t="str">
        <f t="shared" si="132"/>
        <v>04</v>
      </c>
      <c r="S2741" s="3" t="s">
        <v>39</v>
      </c>
      <c r="T2741" s="3" t="s">
        <v>40</v>
      </c>
      <c r="U2741" s="19" t="s">
        <v>200</v>
      </c>
      <c r="V2741" s="19" t="s">
        <v>201</v>
      </c>
      <c r="W2741" s="3" t="s">
        <v>43</v>
      </c>
      <c r="X2741" s="18">
        <v>46174</v>
      </c>
      <c r="Y2741" s="3">
        <f t="shared" si="130"/>
        <v>26</v>
      </c>
      <c r="Z2741" s="18">
        <v>46174</v>
      </c>
      <c r="AA2741" s="15"/>
      <c r="AB2741" s="15"/>
    </row>
    <row r="2742" spans="1:28">
      <c r="A2742" s="59">
        <v>46148</v>
      </c>
      <c r="B2742" s="3">
        <v>2026</v>
      </c>
      <c r="C2742" s="21" t="s">
        <v>1982</v>
      </c>
      <c r="D2742" s="3" t="s">
        <v>54</v>
      </c>
      <c r="E2742" s="3"/>
      <c r="F2742" s="3" t="s">
        <v>31</v>
      </c>
      <c r="G2742" s="21" t="s">
        <v>1983</v>
      </c>
      <c r="H2742" s="21">
        <v>8917436223</v>
      </c>
      <c r="I2742" s="38" t="s">
        <v>1984</v>
      </c>
      <c r="J2742" s="21" t="s">
        <v>1985</v>
      </c>
      <c r="K2742" s="21" t="s">
        <v>1986</v>
      </c>
      <c r="L2742" s="21" t="s">
        <v>59</v>
      </c>
      <c r="M2742" s="96" t="s">
        <v>2555</v>
      </c>
      <c r="N2742" s="3" t="s">
        <v>197</v>
      </c>
      <c r="O2742" s="62">
        <v>540</v>
      </c>
      <c r="P2742" s="96" t="s">
        <v>3044</v>
      </c>
      <c r="Q2742" s="53" t="str">
        <f t="shared" si="131"/>
        <v>23</v>
      </c>
      <c r="R2742" s="53" t="str">
        <f t="shared" si="132"/>
        <v>04</v>
      </c>
      <c r="S2742" s="3" t="s">
        <v>39</v>
      </c>
      <c r="T2742" s="3" t="s">
        <v>40</v>
      </c>
      <c r="U2742" s="19" t="s">
        <v>200</v>
      </c>
      <c r="V2742" s="19" t="s">
        <v>201</v>
      </c>
      <c r="W2742" s="3" t="s">
        <v>43</v>
      </c>
      <c r="X2742" s="18">
        <v>46174</v>
      </c>
      <c r="Y2742" s="3">
        <f t="shared" si="130"/>
        <v>26</v>
      </c>
      <c r="Z2742" s="18">
        <v>46174</v>
      </c>
      <c r="AA2742" s="15"/>
      <c r="AB2742" s="15"/>
    </row>
    <row r="2743" spans="1:28">
      <c r="A2743" s="59">
        <v>46148</v>
      </c>
      <c r="B2743" s="3">
        <v>2026</v>
      </c>
      <c r="C2743" s="21" t="s">
        <v>1982</v>
      </c>
      <c r="D2743" s="3" t="s">
        <v>54</v>
      </c>
      <c r="E2743" s="3"/>
      <c r="F2743" s="3" t="s">
        <v>31</v>
      </c>
      <c r="G2743" s="21" t="s">
        <v>1983</v>
      </c>
      <c r="H2743" s="21">
        <v>8917436223</v>
      </c>
      <c r="I2743" s="38" t="s">
        <v>1984</v>
      </c>
      <c r="J2743" s="21" t="s">
        <v>1985</v>
      </c>
      <c r="K2743" s="21" t="s">
        <v>1986</v>
      </c>
      <c r="L2743" s="21" t="s">
        <v>59</v>
      </c>
      <c r="M2743" s="96" t="s">
        <v>2555</v>
      </c>
      <c r="N2743" s="3" t="s">
        <v>197</v>
      </c>
      <c r="O2743" s="62">
        <v>540</v>
      </c>
      <c r="P2743" s="96" t="s">
        <v>3045</v>
      </c>
      <c r="Q2743" s="53" t="str">
        <f t="shared" si="131"/>
        <v>23</v>
      </c>
      <c r="R2743" s="53" t="str">
        <f t="shared" si="132"/>
        <v>04</v>
      </c>
      <c r="S2743" s="3" t="s">
        <v>39</v>
      </c>
      <c r="T2743" s="3" t="s">
        <v>40</v>
      </c>
      <c r="U2743" s="19" t="s">
        <v>200</v>
      </c>
      <c r="V2743" s="19" t="s">
        <v>201</v>
      </c>
      <c r="W2743" s="3" t="s">
        <v>43</v>
      </c>
      <c r="X2743" s="18">
        <v>46174</v>
      </c>
      <c r="Y2743" s="3">
        <f t="shared" si="130"/>
        <v>26</v>
      </c>
      <c r="Z2743" s="18">
        <v>46174</v>
      </c>
      <c r="AA2743" s="15"/>
      <c r="AB2743" s="15"/>
    </row>
    <row r="2744" spans="1:28">
      <c r="A2744" s="59">
        <v>46148</v>
      </c>
      <c r="B2744" s="3">
        <v>2026</v>
      </c>
      <c r="C2744" s="21" t="s">
        <v>1982</v>
      </c>
      <c r="D2744" s="3" t="s">
        <v>54</v>
      </c>
      <c r="E2744" s="3"/>
      <c r="F2744" s="3" t="s">
        <v>31</v>
      </c>
      <c r="G2744" s="21" t="s">
        <v>1983</v>
      </c>
      <c r="H2744" s="21">
        <v>8917436223</v>
      </c>
      <c r="I2744" s="38" t="s">
        <v>1984</v>
      </c>
      <c r="J2744" s="21" t="s">
        <v>1985</v>
      </c>
      <c r="K2744" s="21" t="s">
        <v>1986</v>
      </c>
      <c r="L2744" s="21" t="s">
        <v>59</v>
      </c>
      <c r="M2744" s="96" t="s">
        <v>2555</v>
      </c>
      <c r="N2744" s="3" t="s">
        <v>197</v>
      </c>
      <c r="O2744" s="62">
        <v>540</v>
      </c>
      <c r="P2744" s="96" t="s">
        <v>3046</v>
      </c>
      <c r="Q2744" s="53" t="str">
        <f t="shared" si="131"/>
        <v>23</v>
      </c>
      <c r="R2744" s="53" t="str">
        <f t="shared" si="132"/>
        <v>04</v>
      </c>
      <c r="S2744" s="3" t="s">
        <v>39</v>
      </c>
      <c r="T2744" s="3" t="s">
        <v>40</v>
      </c>
      <c r="U2744" s="19" t="s">
        <v>200</v>
      </c>
      <c r="V2744" s="19" t="s">
        <v>201</v>
      </c>
      <c r="W2744" s="3" t="s">
        <v>43</v>
      </c>
      <c r="X2744" s="18">
        <v>46174</v>
      </c>
      <c r="Y2744" s="3">
        <f t="shared" si="130"/>
        <v>26</v>
      </c>
      <c r="Z2744" s="18">
        <v>46174</v>
      </c>
      <c r="AA2744" s="15"/>
      <c r="AB2744" s="15"/>
    </row>
    <row r="2745" spans="1:28">
      <c r="A2745" s="59">
        <v>46148</v>
      </c>
      <c r="B2745" s="3">
        <v>2026</v>
      </c>
      <c r="C2745" s="21" t="s">
        <v>1982</v>
      </c>
      <c r="D2745" s="3" t="s">
        <v>54</v>
      </c>
      <c r="E2745" s="3"/>
      <c r="F2745" s="3" t="s">
        <v>31</v>
      </c>
      <c r="G2745" s="21" t="s">
        <v>1983</v>
      </c>
      <c r="H2745" s="21">
        <v>8917436223</v>
      </c>
      <c r="I2745" s="38" t="s">
        <v>1984</v>
      </c>
      <c r="J2745" s="21" t="s">
        <v>1985</v>
      </c>
      <c r="K2745" s="21" t="s">
        <v>1986</v>
      </c>
      <c r="L2745" s="21" t="s">
        <v>59</v>
      </c>
      <c r="M2745" s="96" t="s">
        <v>2555</v>
      </c>
      <c r="N2745" s="3" t="s">
        <v>197</v>
      </c>
      <c r="O2745" s="62">
        <v>540</v>
      </c>
      <c r="P2745" s="96" t="s">
        <v>3047</v>
      </c>
      <c r="Q2745" s="53" t="str">
        <f t="shared" si="131"/>
        <v>23</v>
      </c>
      <c r="R2745" s="53" t="str">
        <f t="shared" si="132"/>
        <v>04</v>
      </c>
      <c r="S2745" s="3" t="s">
        <v>39</v>
      </c>
      <c r="T2745" s="3" t="s">
        <v>40</v>
      </c>
      <c r="U2745" s="19" t="s">
        <v>200</v>
      </c>
      <c r="V2745" s="19" t="s">
        <v>201</v>
      </c>
      <c r="W2745" s="3" t="s">
        <v>43</v>
      </c>
      <c r="X2745" s="18">
        <v>46174</v>
      </c>
      <c r="Y2745" s="3">
        <f t="shared" si="130"/>
        <v>26</v>
      </c>
      <c r="Z2745" s="18">
        <v>46174</v>
      </c>
      <c r="AA2745" s="15"/>
      <c r="AB2745" s="15"/>
    </row>
    <row r="2746" spans="1:28">
      <c r="A2746" s="59">
        <v>46148</v>
      </c>
      <c r="B2746" s="3">
        <v>2026</v>
      </c>
      <c r="C2746" s="21" t="s">
        <v>1982</v>
      </c>
      <c r="D2746" s="3" t="s">
        <v>54</v>
      </c>
      <c r="E2746" s="3"/>
      <c r="F2746" s="3" t="s">
        <v>31</v>
      </c>
      <c r="G2746" s="21" t="s">
        <v>1983</v>
      </c>
      <c r="H2746" s="21">
        <v>8917436223</v>
      </c>
      <c r="I2746" s="38" t="s">
        <v>1984</v>
      </c>
      <c r="J2746" s="21" t="s">
        <v>1985</v>
      </c>
      <c r="K2746" s="21" t="s">
        <v>1986</v>
      </c>
      <c r="L2746" s="21" t="s">
        <v>59</v>
      </c>
      <c r="M2746" s="96" t="s">
        <v>2555</v>
      </c>
      <c r="N2746" s="3" t="s">
        <v>197</v>
      </c>
      <c r="O2746" s="62">
        <v>540</v>
      </c>
      <c r="P2746" s="102" t="s">
        <v>3048</v>
      </c>
      <c r="Q2746" s="53" t="str">
        <f t="shared" si="131"/>
        <v>23</v>
      </c>
      <c r="R2746" s="53" t="str">
        <f t="shared" si="132"/>
        <v>04</v>
      </c>
      <c r="S2746" s="3" t="s">
        <v>39</v>
      </c>
      <c r="T2746" s="3" t="s">
        <v>40</v>
      </c>
      <c r="U2746" s="19" t="s">
        <v>200</v>
      </c>
      <c r="V2746" s="19" t="s">
        <v>201</v>
      </c>
      <c r="W2746" s="3" t="s">
        <v>43</v>
      </c>
      <c r="X2746" s="18">
        <v>46174</v>
      </c>
      <c r="Y2746" s="3">
        <f t="shared" si="130"/>
        <v>26</v>
      </c>
      <c r="Z2746" s="18">
        <v>46174</v>
      </c>
      <c r="AA2746" s="15"/>
      <c r="AB2746" s="15"/>
    </row>
    <row r="2747" spans="1:28">
      <c r="A2747" s="59">
        <v>46148</v>
      </c>
      <c r="B2747" s="3">
        <v>2026</v>
      </c>
      <c r="C2747" s="21" t="s">
        <v>1982</v>
      </c>
      <c r="D2747" s="3" t="s">
        <v>54</v>
      </c>
      <c r="E2747" s="3"/>
      <c r="F2747" s="3" t="s">
        <v>31</v>
      </c>
      <c r="G2747" s="21" t="s">
        <v>1983</v>
      </c>
      <c r="H2747" s="21">
        <v>8917436223</v>
      </c>
      <c r="I2747" s="38" t="s">
        <v>1984</v>
      </c>
      <c r="J2747" s="21" t="s">
        <v>1985</v>
      </c>
      <c r="K2747" s="21" t="s">
        <v>1986</v>
      </c>
      <c r="L2747" s="21" t="s">
        <v>59</v>
      </c>
      <c r="M2747" s="96" t="s">
        <v>2555</v>
      </c>
      <c r="N2747" s="3" t="s">
        <v>197</v>
      </c>
      <c r="O2747" s="62">
        <v>540</v>
      </c>
      <c r="P2747" s="96" t="s">
        <v>3049</v>
      </c>
      <c r="Q2747" s="53" t="str">
        <f t="shared" si="131"/>
        <v>23</v>
      </c>
      <c r="R2747" s="53" t="str">
        <f t="shared" si="132"/>
        <v>04</v>
      </c>
      <c r="S2747" s="3" t="s">
        <v>39</v>
      </c>
      <c r="T2747" s="3" t="s">
        <v>40</v>
      </c>
      <c r="U2747" s="19" t="s">
        <v>200</v>
      </c>
      <c r="V2747" s="19" t="s">
        <v>201</v>
      </c>
      <c r="W2747" s="3" t="s">
        <v>43</v>
      </c>
      <c r="X2747" s="18">
        <v>46174</v>
      </c>
      <c r="Y2747" s="3">
        <f t="shared" si="130"/>
        <v>26</v>
      </c>
      <c r="Z2747" s="18">
        <v>46174</v>
      </c>
      <c r="AA2747" s="15"/>
      <c r="AB2747" s="15"/>
    </row>
    <row r="2748" spans="1:28">
      <c r="A2748" s="59">
        <v>46148</v>
      </c>
      <c r="B2748" s="3">
        <v>2026</v>
      </c>
      <c r="C2748" s="21" t="s">
        <v>1982</v>
      </c>
      <c r="D2748" s="3" t="s">
        <v>54</v>
      </c>
      <c r="E2748" s="3"/>
      <c r="F2748" s="3" t="s">
        <v>31</v>
      </c>
      <c r="G2748" s="21" t="s">
        <v>1983</v>
      </c>
      <c r="H2748" s="21">
        <v>8917436223</v>
      </c>
      <c r="I2748" s="38" t="s">
        <v>1984</v>
      </c>
      <c r="J2748" s="21" t="s">
        <v>1985</v>
      </c>
      <c r="K2748" s="21" t="s">
        <v>1986</v>
      </c>
      <c r="L2748" s="21" t="s">
        <v>59</v>
      </c>
      <c r="M2748" s="96" t="s">
        <v>2555</v>
      </c>
      <c r="N2748" s="3" t="s">
        <v>197</v>
      </c>
      <c r="O2748" s="62">
        <v>540</v>
      </c>
      <c r="P2748" s="96" t="s">
        <v>3050</v>
      </c>
      <c r="Q2748" s="53" t="str">
        <f t="shared" si="131"/>
        <v>23</v>
      </c>
      <c r="R2748" s="53" t="str">
        <f t="shared" si="132"/>
        <v>04</v>
      </c>
      <c r="S2748" s="3" t="s">
        <v>39</v>
      </c>
      <c r="T2748" s="3" t="s">
        <v>40</v>
      </c>
      <c r="U2748" s="19" t="s">
        <v>200</v>
      </c>
      <c r="V2748" s="19" t="s">
        <v>201</v>
      </c>
      <c r="W2748" s="3" t="s">
        <v>43</v>
      </c>
      <c r="X2748" s="18">
        <v>46174</v>
      </c>
      <c r="Y2748" s="3">
        <f t="shared" si="130"/>
        <v>26</v>
      </c>
      <c r="Z2748" s="18">
        <v>46174</v>
      </c>
      <c r="AA2748" s="15"/>
      <c r="AB2748" s="15"/>
    </row>
    <row r="2749" spans="1:28">
      <c r="A2749" s="59">
        <v>46148</v>
      </c>
      <c r="B2749" s="3">
        <v>2026</v>
      </c>
      <c r="C2749" s="21" t="s">
        <v>1982</v>
      </c>
      <c r="D2749" s="3" t="s">
        <v>54</v>
      </c>
      <c r="E2749" s="3"/>
      <c r="F2749" s="3" t="s">
        <v>31</v>
      </c>
      <c r="G2749" s="21" t="s">
        <v>1983</v>
      </c>
      <c r="H2749" s="21">
        <v>8917436223</v>
      </c>
      <c r="I2749" s="38" t="s">
        <v>1984</v>
      </c>
      <c r="J2749" s="21" t="s">
        <v>1985</v>
      </c>
      <c r="K2749" s="21" t="s">
        <v>1986</v>
      </c>
      <c r="L2749" s="21" t="s">
        <v>59</v>
      </c>
      <c r="M2749" s="96" t="s">
        <v>2555</v>
      </c>
      <c r="N2749" s="3" t="s">
        <v>197</v>
      </c>
      <c r="O2749" s="62">
        <v>540</v>
      </c>
      <c r="P2749" s="96" t="s">
        <v>3051</v>
      </c>
      <c r="Q2749" s="53" t="str">
        <f t="shared" si="131"/>
        <v>23</v>
      </c>
      <c r="R2749" s="53" t="str">
        <f t="shared" si="132"/>
        <v>04</v>
      </c>
      <c r="S2749" s="3" t="s">
        <v>39</v>
      </c>
      <c r="T2749" s="3" t="s">
        <v>40</v>
      </c>
      <c r="U2749" s="19" t="s">
        <v>200</v>
      </c>
      <c r="V2749" s="19" t="s">
        <v>201</v>
      </c>
      <c r="W2749" s="3" t="s">
        <v>43</v>
      </c>
      <c r="X2749" s="18">
        <v>46174</v>
      </c>
      <c r="Y2749" s="3">
        <f t="shared" si="130"/>
        <v>26</v>
      </c>
      <c r="Z2749" s="18">
        <v>46174</v>
      </c>
      <c r="AA2749" s="15"/>
      <c r="AB2749" s="15"/>
    </row>
    <row r="2750" spans="1:28">
      <c r="A2750" s="59">
        <v>46148</v>
      </c>
      <c r="B2750" s="3">
        <v>2026</v>
      </c>
      <c r="C2750" s="21" t="s">
        <v>1982</v>
      </c>
      <c r="D2750" s="3" t="s">
        <v>54</v>
      </c>
      <c r="E2750" s="3"/>
      <c r="F2750" s="3" t="s">
        <v>31</v>
      </c>
      <c r="G2750" s="21" t="s">
        <v>1983</v>
      </c>
      <c r="H2750" s="21">
        <v>8917436223</v>
      </c>
      <c r="I2750" s="38" t="s">
        <v>1984</v>
      </c>
      <c r="J2750" s="21" t="s">
        <v>1985</v>
      </c>
      <c r="K2750" s="21" t="s">
        <v>1986</v>
      </c>
      <c r="L2750" s="21" t="s">
        <v>59</v>
      </c>
      <c r="M2750" s="96" t="s">
        <v>2555</v>
      </c>
      <c r="N2750" s="3" t="s">
        <v>197</v>
      </c>
      <c r="O2750" s="62">
        <v>540</v>
      </c>
      <c r="P2750" s="96" t="s">
        <v>3052</v>
      </c>
      <c r="Q2750" s="53" t="str">
        <f t="shared" si="131"/>
        <v>23</v>
      </c>
      <c r="R2750" s="53" t="str">
        <f t="shared" si="132"/>
        <v>04</v>
      </c>
      <c r="S2750" s="3" t="s">
        <v>39</v>
      </c>
      <c r="T2750" s="3" t="s">
        <v>40</v>
      </c>
      <c r="U2750" s="19" t="s">
        <v>200</v>
      </c>
      <c r="V2750" s="19" t="s">
        <v>201</v>
      </c>
      <c r="W2750" s="3" t="s">
        <v>43</v>
      </c>
      <c r="X2750" s="18">
        <v>46174</v>
      </c>
      <c r="Y2750" s="3">
        <f t="shared" si="130"/>
        <v>26</v>
      </c>
      <c r="Z2750" s="18">
        <v>46174</v>
      </c>
      <c r="AA2750" s="15"/>
      <c r="AB2750" s="15"/>
    </row>
    <row r="2751" spans="1:28">
      <c r="A2751" s="59">
        <v>46148</v>
      </c>
      <c r="B2751" s="3">
        <v>2026</v>
      </c>
      <c r="C2751" s="21" t="s">
        <v>1982</v>
      </c>
      <c r="D2751" s="3" t="s">
        <v>54</v>
      </c>
      <c r="E2751" s="3"/>
      <c r="F2751" s="3" t="s">
        <v>31</v>
      </c>
      <c r="G2751" s="21" t="s">
        <v>1983</v>
      </c>
      <c r="H2751" s="21">
        <v>8917436223</v>
      </c>
      <c r="I2751" s="38" t="s">
        <v>1984</v>
      </c>
      <c r="J2751" s="21" t="s">
        <v>1985</v>
      </c>
      <c r="K2751" s="21" t="s">
        <v>1986</v>
      </c>
      <c r="L2751" s="21" t="s">
        <v>59</v>
      </c>
      <c r="M2751" s="96" t="s">
        <v>119</v>
      </c>
      <c r="N2751" s="3" t="s">
        <v>50</v>
      </c>
      <c r="O2751" s="62">
        <v>540</v>
      </c>
      <c r="P2751" s="96" t="s">
        <v>3053</v>
      </c>
      <c r="Q2751" s="53" t="str">
        <f t="shared" si="131"/>
        <v>23</v>
      </c>
      <c r="R2751" s="53" t="str">
        <f t="shared" si="132"/>
        <v>04</v>
      </c>
      <c r="S2751" s="3" t="s">
        <v>39</v>
      </c>
      <c r="T2751" s="3" t="s">
        <v>40</v>
      </c>
      <c r="U2751" s="3" t="s">
        <v>51</v>
      </c>
      <c r="V2751" s="3" t="s">
        <v>52</v>
      </c>
      <c r="W2751" s="3" t="s">
        <v>43</v>
      </c>
      <c r="X2751" s="18">
        <v>46174</v>
      </c>
      <c r="Y2751" s="3">
        <f t="shared" si="130"/>
        <v>26</v>
      </c>
      <c r="Z2751" s="18">
        <v>46174</v>
      </c>
      <c r="AA2751" s="15"/>
      <c r="AB2751" s="15"/>
    </row>
    <row r="2752" spans="1:28">
      <c r="A2752" s="59">
        <v>46148</v>
      </c>
      <c r="B2752" s="3">
        <v>2026</v>
      </c>
      <c r="C2752" s="21" t="s">
        <v>1982</v>
      </c>
      <c r="D2752" s="3" t="s">
        <v>54</v>
      </c>
      <c r="E2752" s="3"/>
      <c r="F2752" s="3" t="s">
        <v>31</v>
      </c>
      <c r="G2752" s="21" t="s">
        <v>1983</v>
      </c>
      <c r="H2752" s="21">
        <v>8917436223</v>
      </c>
      <c r="I2752" s="38" t="s">
        <v>1984</v>
      </c>
      <c r="J2752" s="21" t="s">
        <v>1985</v>
      </c>
      <c r="K2752" s="21" t="s">
        <v>1986</v>
      </c>
      <c r="L2752" s="21" t="s">
        <v>59</v>
      </c>
      <c r="M2752" s="96" t="s">
        <v>2555</v>
      </c>
      <c r="N2752" s="3" t="s">
        <v>197</v>
      </c>
      <c r="O2752" s="62">
        <v>540</v>
      </c>
      <c r="P2752" s="96" t="s">
        <v>3054</v>
      </c>
      <c r="Q2752" s="53" t="str">
        <f t="shared" si="131"/>
        <v>23</v>
      </c>
      <c r="R2752" s="53" t="str">
        <f t="shared" si="132"/>
        <v>05</v>
      </c>
      <c r="S2752" s="3" t="s">
        <v>39</v>
      </c>
      <c r="T2752" s="3" t="s">
        <v>40</v>
      </c>
      <c r="U2752" s="19" t="s">
        <v>200</v>
      </c>
      <c r="V2752" s="19" t="s">
        <v>201</v>
      </c>
      <c r="W2752" s="3" t="s">
        <v>43</v>
      </c>
      <c r="X2752" s="18">
        <v>46174</v>
      </c>
      <c r="Y2752" s="3">
        <f t="shared" si="130"/>
        <v>26</v>
      </c>
      <c r="Z2752" s="18">
        <v>46174</v>
      </c>
      <c r="AA2752" s="15"/>
      <c r="AB2752" s="15"/>
    </row>
    <row r="2753" spans="1:28">
      <c r="A2753" s="59">
        <v>46148</v>
      </c>
      <c r="B2753" s="3">
        <v>2026</v>
      </c>
      <c r="C2753" s="21" t="s">
        <v>1982</v>
      </c>
      <c r="D2753" s="3" t="s">
        <v>54</v>
      </c>
      <c r="E2753" s="3"/>
      <c r="F2753" s="3" t="s">
        <v>31</v>
      </c>
      <c r="G2753" s="21" t="s">
        <v>1983</v>
      </c>
      <c r="H2753" s="21">
        <v>8917436223</v>
      </c>
      <c r="I2753" s="38" t="s">
        <v>1984</v>
      </c>
      <c r="J2753" s="21" t="s">
        <v>1985</v>
      </c>
      <c r="K2753" s="21" t="s">
        <v>1986</v>
      </c>
      <c r="L2753" s="21" t="s">
        <v>59</v>
      </c>
      <c r="M2753" s="96" t="s">
        <v>2555</v>
      </c>
      <c r="N2753" s="3" t="s">
        <v>197</v>
      </c>
      <c r="O2753" s="62">
        <v>540</v>
      </c>
      <c r="P2753" s="96" t="s">
        <v>3055</v>
      </c>
      <c r="Q2753" s="53" t="str">
        <f t="shared" si="131"/>
        <v>23</v>
      </c>
      <c r="R2753" s="53" t="str">
        <f t="shared" si="132"/>
        <v>05</v>
      </c>
      <c r="S2753" s="3" t="s">
        <v>39</v>
      </c>
      <c r="T2753" s="3" t="s">
        <v>40</v>
      </c>
      <c r="U2753" s="19" t="s">
        <v>200</v>
      </c>
      <c r="V2753" s="19" t="s">
        <v>201</v>
      </c>
      <c r="W2753" s="3" t="s">
        <v>43</v>
      </c>
      <c r="X2753" s="18">
        <v>46174</v>
      </c>
      <c r="Y2753" s="3">
        <f t="shared" si="130"/>
        <v>26</v>
      </c>
      <c r="Z2753" s="18">
        <v>46174</v>
      </c>
      <c r="AA2753" s="15"/>
      <c r="AB2753" s="15"/>
    </row>
    <row r="2754" spans="1:28">
      <c r="A2754" s="59">
        <v>46148</v>
      </c>
      <c r="B2754" s="3">
        <v>2026</v>
      </c>
      <c r="C2754" s="21" t="s">
        <v>1982</v>
      </c>
      <c r="D2754" s="3" t="s">
        <v>54</v>
      </c>
      <c r="E2754" s="3"/>
      <c r="F2754" s="3" t="s">
        <v>31</v>
      </c>
      <c r="G2754" s="21" t="s">
        <v>1983</v>
      </c>
      <c r="H2754" s="21">
        <v>8917436223</v>
      </c>
      <c r="I2754" s="38" t="s">
        <v>1984</v>
      </c>
      <c r="J2754" s="21" t="s">
        <v>1985</v>
      </c>
      <c r="K2754" s="21" t="s">
        <v>1986</v>
      </c>
      <c r="L2754" s="21" t="s">
        <v>59</v>
      </c>
      <c r="M2754" s="96" t="s">
        <v>119</v>
      </c>
      <c r="N2754" s="3" t="s">
        <v>50</v>
      </c>
      <c r="O2754" s="62">
        <v>540</v>
      </c>
      <c r="P2754" s="96" t="s">
        <v>3056</v>
      </c>
      <c r="Q2754" s="53" t="str">
        <f t="shared" si="131"/>
        <v>23</v>
      </c>
      <c r="R2754" s="53" t="str">
        <f t="shared" si="132"/>
        <v>04</v>
      </c>
      <c r="S2754" s="3" t="s">
        <v>39</v>
      </c>
      <c r="T2754" s="3" t="s">
        <v>40</v>
      </c>
      <c r="U2754" s="3" t="s">
        <v>51</v>
      </c>
      <c r="V2754" s="3" t="s">
        <v>52</v>
      </c>
      <c r="W2754" s="3" t="s">
        <v>43</v>
      </c>
      <c r="X2754" s="18">
        <v>46174</v>
      </c>
      <c r="Y2754" s="3">
        <f t="shared" ref="Y2754:Y2787" si="133">X2754-A2754</f>
        <v>26</v>
      </c>
      <c r="Z2754" s="18">
        <v>46174</v>
      </c>
      <c r="AA2754" s="15"/>
      <c r="AB2754" s="15"/>
    </row>
    <row r="2755" spans="1:28">
      <c r="A2755" s="59">
        <v>46148</v>
      </c>
      <c r="B2755" s="3">
        <v>2026</v>
      </c>
      <c r="C2755" s="21" t="s">
        <v>1982</v>
      </c>
      <c r="D2755" s="3" t="s">
        <v>54</v>
      </c>
      <c r="E2755" s="3"/>
      <c r="F2755" s="3" t="s">
        <v>31</v>
      </c>
      <c r="G2755" s="21" t="s">
        <v>1983</v>
      </c>
      <c r="H2755" s="21">
        <v>8917436223</v>
      </c>
      <c r="I2755" s="38" t="s">
        <v>1984</v>
      </c>
      <c r="J2755" s="21" t="s">
        <v>1985</v>
      </c>
      <c r="K2755" s="21" t="s">
        <v>1986</v>
      </c>
      <c r="L2755" s="21" t="s">
        <v>59</v>
      </c>
      <c r="M2755" s="96" t="s">
        <v>119</v>
      </c>
      <c r="N2755" s="3" t="s">
        <v>50</v>
      </c>
      <c r="O2755" s="62">
        <v>540</v>
      </c>
      <c r="P2755" s="96" t="s">
        <v>3057</v>
      </c>
      <c r="Q2755" s="53" t="str">
        <f t="shared" si="131"/>
        <v>23</v>
      </c>
      <c r="R2755" s="53" t="str">
        <f t="shared" si="132"/>
        <v>04</v>
      </c>
      <c r="S2755" s="3" t="s">
        <v>39</v>
      </c>
      <c r="T2755" s="3" t="s">
        <v>40</v>
      </c>
      <c r="U2755" s="3" t="s">
        <v>51</v>
      </c>
      <c r="V2755" s="3" t="s">
        <v>52</v>
      </c>
      <c r="W2755" s="3" t="s">
        <v>43</v>
      </c>
      <c r="X2755" s="18">
        <v>46174</v>
      </c>
      <c r="Y2755" s="3">
        <f t="shared" si="133"/>
        <v>26</v>
      </c>
      <c r="Z2755" s="18">
        <v>46174</v>
      </c>
      <c r="AA2755" s="15"/>
      <c r="AB2755" s="15"/>
    </row>
    <row r="2756" spans="1:28">
      <c r="A2756" s="59">
        <v>46148</v>
      </c>
      <c r="B2756" s="3">
        <v>2026</v>
      </c>
      <c r="C2756" s="21" t="s">
        <v>1982</v>
      </c>
      <c r="D2756" s="3" t="s">
        <v>54</v>
      </c>
      <c r="E2756" s="3"/>
      <c r="F2756" s="3" t="s">
        <v>31</v>
      </c>
      <c r="G2756" s="21" t="s">
        <v>1983</v>
      </c>
      <c r="H2756" s="21">
        <v>8917436223</v>
      </c>
      <c r="I2756" s="38" t="s">
        <v>1984</v>
      </c>
      <c r="J2756" s="21" t="s">
        <v>1985</v>
      </c>
      <c r="K2756" s="21" t="s">
        <v>1986</v>
      </c>
      <c r="L2756" s="21" t="s">
        <v>59</v>
      </c>
      <c r="M2756" s="96" t="s">
        <v>119</v>
      </c>
      <c r="N2756" s="3" t="s">
        <v>50</v>
      </c>
      <c r="O2756" s="62">
        <v>540</v>
      </c>
      <c r="P2756" s="96" t="s">
        <v>3058</v>
      </c>
      <c r="Q2756" s="53" t="str">
        <f t="shared" si="131"/>
        <v>23</v>
      </c>
      <c r="R2756" s="53" t="str">
        <f t="shared" si="132"/>
        <v>04</v>
      </c>
      <c r="S2756" s="3" t="s">
        <v>39</v>
      </c>
      <c r="T2756" s="3" t="s">
        <v>40</v>
      </c>
      <c r="U2756" s="3" t="s">
        <v>51</v>
      </c>
      <c r="V2756" s="3" t="s">
        <v>52</v>
      </c>
      <c r="W2756" s="3" t="s">
        <v>43</v>
      </c>
      <c r="X2756" s="18">
        <v>46174</v>
      </c>
      <c r="Y2756" s="3">
        <f t="shared" si="133"/>
        <v>26</v>
      </c>
      <c r="Z2756" s="18">
        <v>46174</v>
      </c>
      <c r="AA2756" s="15"/>
      <c r="AB2756" s="15"/>
    </row>
    <row r="2757" spans="1:28">
      <c r="A2757" s="59">
        <v>46148</v>
      </c>
      <c r="B2757" s="3">
        <v>2026</v>
      </c>
      <c r="C2757" s="21" t="s">
        <v>1982</v>
      </c>
      <c r="D2757" s="3" t="s">
        <v>54</v>
      </c>
      <c r="E2757" s="3"/>
      <c r="F2757" s="3" t="s">
        <v>31</v>
      </c>
      <c r="G2757" s="21" t="s">
        <v>1983</v>
      </c>
      <c r="H2757" s="21">
        <v>8917436223</v>
      </c>
      <c r="I2757" s="38" t="s">
        <v>1984</v>
      </c>
      <c r="J2757" s="21" t="s">
        <v>1985</v>
      </c>
      <c r="K2757" s="21" t="s">
        <v>1986</v>
      </c>
      <c r="L2757" s="21" t="s">
        <v>59</v>
      </c>
      <c r="M2757" s="96" t="s">
        <v>119</v>
      </c>
      <c r="N2757" s="3" t="s">
        <v>50</v>
      </c>
      <c r="O2757" s="62">
        <v>540</v>
      </c>
      <c r="P2757" s="96" t="s">
        <v>3059</v>
      </c>
      <c r="Q2757" s="53" t="str">
        <f t="shared" si="131"/>
        <v>23</v>
      </c>
      <c r="R2757" s="53" t="str">
        <f t="shared" si="132"/>
        <v>04</v>
      </c>
      <c r="S2757" s="3" t="s">
        <v>39</v>
      </c>
      <c r="T2757" s="3" t="s">
        <v>40</v>
      </c>
      <c r="U2757" s="3" t="s">
        <v>51</v>
      </c>
      <c r="V2757" s="3" t="s">
        <v>52</v>
      </c>
      <c r="W2757" s="3" t="s">
        <v>43</v>
      </c>
      <c r="X2757" s="18">
        <v>46174</v>
      </c>
      <c r="Y2757" s="3">
        <f t="shared" si="133"/>
        <v>26</v>
      </c>
      <c r="Z2757" s="18">
        <v>46174</v>
      </c>
      <c r="AA2757" s="15"/>
      <c r="AB2757" s="15"/>
    </row>
    <row r="2758" spans="1:28">
      <c r="A2758" s="59">
        <v>46148</v>
      </c>
      <c r="B2758" s="3">
        <v>2026</v>
      </c>
      <c r="C2758" s="21" t="s">
        <v>1982</v>
      </c>
      <c r="D2758" s="3" t="s">
        <v>54</v>
      </c>
      <c r="E2758" s="3"/>
      <c r="F2758" s="3" t="s">
        <v>31</v>
      </c>
      <c r="G2758" s="21" t="s">
        <v>1983</v>
      </c>
      <c r="H2758" s="21">
        <v>8917436223</v>
      </c>
      <c r="I2758" s="38" t="s">
        <v>1984</v>
      </c>
      <c r="J2758" s="21" t="s">
        <v>1985</v>
      </c>
      <c r="K2758" s="21" t="s">
        <v>1986</v>
      </c>
      <c r="L2758" s="21" t="s">
        <v>59</v>
      </c>
      <c r="M2758" s="96" t="s">
        <v>119</v>
      </c>
      <c r="N2758" s="3" t="s">
        <v>50</v>
      </c>
      <c r="O2758" s="62">
        <v>540</v>
      </c>
      <c r="P2758" s="96" t="s">
        <v>3060</v>
      </c>
      <c r="Q2758" s="53" t="str">
        <f t="shared" si="131"/>
        <v>23</v>
      </c>
      <c r="R2758" s="53" t="str">
        <f t="shared" si="132"/>
        <v>04</v>
      </c>
      <c r="S2758" s="3" t="s">
        <v>39</v>
      </c>
      <c r="T2758" s="3" t="s">
        <v>40</v>
      </c>
      <c r="U2758" s="3" t="s">
        <v>51</v>
      </c>
      <c r="V2758" s="3" t="s">
        <v>52</v>
      </c>
      <c r="W2758" s="3" t="s">
        <v>43</v>
      </c>
      <c r="X2758" s="18">
        <v>46174</v>
      </c>
      <c r="Y2758" s="3">
        <f t="shared" si="133"/>
        <v>26</v>
      </c>
      <c r="Z2758" s="18">
        <v>46174</v>
      </c>
      <c r="AA2758" s="15"/>
      <c r="AB2758" s="15"/>
    </row>
    <row r="2759" spans="1:28">
      <c r="A2759" s="59">
        <v>46148</v>
      </c>
      <c r="B2759" s="3">
        <v>2026</v>
      </c>
      <c r="C2759" s="21" t="s">
        <v>1982</v>
      </c>
      <c r="D2759" s="3" t="s">
        <v>54</v>
      </c>
      <c r="E2759" s="3"/>
      <c r="F2759" s="3" t="s">
        <v>31</v>
      </c>
      <c r="G2759" s="21" t="s">
        <v>1983</v>
      </c>
      <c r="H2759" s="21">
        <v>8917436223</v>
      </c>
      <c r="I2759" s="38" t="s">
        <v>1984</v>
      </c>
      <c r="J2759" s="21" t="s">
        <v>1985</v>
      </c>
      <c r="K2759" s="21" t="s">
        <v>1986</v>
      </c>
      <c r="L2759" s="21" t="s">
        <v>59</v>
      </c>
      <c r="M2759" s="96" t="s">
        <v>119</v>
      </c>
      <c r="N2759" s="3" t="s">
        <v>50</v>
      </c>
      <c r="O2759" s="62">
        <v>540</v>
      </c>
      <c r="P2759" s="96" t="s">
        <v>3061</v>
      </c>
      <c r="Q2759" s="53" t="str">
        <f t="shared" si="131"/>
        <v>23</v>
      </c>
      <c r="R2759" s="53" t="str">
        <f t="shared" si="132"/>
        <v>04</v>
      </c>
      <c r="S2759" s="3" t="s">
        <v>39</v>
      </c>
      <c r="T2759" s="3" t="s">
        <v>40</v>
      </c>
      <c r="U2759" s="3" t="s">
        <v>51</v>
      </c>
      <c r="V2759" s="3" t="s">
        <v>52</v>
      </c>
      <c r="W2759" s="3" t="s">
        <v>43</v>
      </c>
      <c r="X2759" s="18">
        <v>46174</v>
      </c>
      <c r="Y2759" s="3">
        <f t="shared" si="133"/>
        <v>26</v>
      </c>
      <c r="Z2759" s="18">
        <v>46174</v>
      </c>
      <c r="AA2759" s="15"/>
      <c r="AB2759" s="15"/>
    </row>
    <row r="2760" spans="1:28">
      <c r="A2760" s="59">
        <v>46148</v>
      </c>
      <c r="B2760" s="3">
        <v>2026</v>
      </c>
      <c r="C2760" s="21" t="s">
        <v>1982</v>
      </c>
      <c r="D2760" s="3" t="s">
        <v>54</v>
      </c>
      <c r="E2760" s="3"/>
      <c r="F2760" s="3" t="s">
        <v>31</v>
      </c>
      <c r="G2760" s="21" t="s">
        <v>1983</v>
      </c>
      <c r="H2760" s="21">
        <v>8917436223</v>
      </c>
      <c r="I2760" s="38" t="s">
        <v>1984</v>
      </c>
      <c r="J2760" s="21" t="s">
        <v>1985</v>
      </c>
      <c r="K2760" s="21" t="s">
        <v>1986</v>
      </c>
      <c r="L2760" s="21" t="s">
        <v>59</v>
      </c>
      <c r="M2760" s="96" t="s">
        <v>119</v>
      </c>
      <c r="N2760" s="3" t="s">
        <v>50</v>
      </c>
      <c r="O2760" s="62">
        <v>540</v>
      </c>
      <c r="P2760" s="96" t="s">
        <v>3062</v>
      </c>
      <c r="Q2760" s="53" t="str">
        <f t="shared" si="131"/>
        <v>23</v>
      </c>
      <c r="R2760" s="53" t="str">
        <f t="shared" si="132"/>
        <v>04</v>
      </c>
      <c r="S2760" s="3" t="s">
        <v>39</v>
      </c>
      <c r="T2760" s="3" t="s">
        <v>40</v>
      </c>
      <c r="U2760" s="3" t="s">
        <v>51</v>
      </c>
      <c r="V2760" s="3" t="s">
        <v>52</v>
      </c>
      <c r="W2760" s="3" t="s">
        <v>43</v>
      </c>
      <c r="X2760" s="18">
        <v>46174</v>
      </c>
      <c r="Y2760" s="3">
        <f t="shared" si="133"/>
        <v>26</v>
      </c>
      <c r="Z2760" s="18">
        <v>46174</v>
      </c>
      <c r="AA2760" s="15"/>
      <c r="AB2760" s="15"/>
    </row>
    <row r="2761" spans="1:28">
      <c r="A2761" s="59">
        <v>46148</v>
      </c>
      <c r="B2761" s="3">
        <v>2026</v>
      </c>
      <c r="C2761" s="21" t="s">
        <v>1982</v>
      </c>
      <c r="D2761" s="3" t="s">
        <v>54</v>
      </c>
      <c r="E2761" s="3"/>
      <c r="F2761" s="3" t="s">
        <v>31</v>
      </c>
      <c r="G2761" s="21" t="s">
        <v>1983</v>
      </c>
      <c r="H2761" s="21">
        <v>8917436223</v>
      </c>
      <c r="I2761" s="38" t="s">
        <v>1984</v>
      </c>
      <c r="J2761" s="21" t="s">
        <v>1985</v>
      </c>
      <c r="K2761" s="21" t="s">
        <v>1986</v>
      </c>
      <c r="L2761" s="21" t="s">
        <v>59</v>
      </c>
      <c r="M2761" s="96" t="s">
        <v>119</v>
      </c>
      <c r="N2761" s="3" t="s">
        <v>50</v>
      </c>
      <c r="O2761" s="62">
        <v>540</v>
      </c>
      <c r="P2761" s="96" t="s">
        <v>3063</v>
      </c>
      <c r="Q2761" s="53" t="str">
        <f t="shared" si="131"/>
        <v>23</v>
      </c>
      <c r="R2761" s="53" t="str">
        <f t="shared" si="132"/>
        <v>04</v>
      </c>
      <c r="S2761" s="3" t="s">
        <v>39</v>
      </c>
      <c r="T2761" s="3" t="s">
        <v>40</v>
      </c>
      <c r="U2761" s="3" t="s">
        <v>51</v>
      </c>
      <c r="V2761" s="3" t="s">
        <v>52</v>
      </c>
      <c r="W2761" s="3" t="s">
        <v>43</v>
      </c>
      <c r="X2761" s="18">
        <v>46174</v>
      </c>
      <c r="Y2761" s="3">
        <f t="shared" si="133"/>
        <v>26</v>
      </c>
      <c r="Z2761" s="18">
        <v>46174</v>
      </c>
      <c r="AA2761" s="15"/>
      <c r="AB2761" s="15"/>
    </row>
    <row r="2762" spans="1:28">
      <c r="A2762" s="59">
        <v>46148</v>
      </c>
      <c r="B2762" s="3">
        <v>2026</v>
      </c>
      <c r="C2762" s="21" t="s">
        <v>1982</v>
      </c>
      <c r="D2762" s="3" t="s">
        <v>54</v>
      </c>
      <c r="E2762" s="3"/>
      <c r="F2762" s="3" t="s">
        <v>31</v>
      </c>
      <c r="G2762" s="21" t="s">
        <v>1983</v>
      </c>
      <c r="H2762" s="21">
        <v>8917436223</v>
      </c>
      <c r="I2762" s="38" t="s">
        <v>1984</v>
      </c>
      <c r="J2762" s="21" t="s">
        <v>1985</v>
      </c>
      <c r="K2762" s="21" t="s">
        <v>1986</v>
      </c>
      <c r="L2762" s="21" t="s">
        <v>59</v>
      </c>
      <c r="M2762" s="96" t="s">
        <v>119</v>
      </c>
      <c r="N2762" s="3" t="s">
        <v>50</v>
      </c>
      <c r="O2762" s="62">
        <v>540</v>
      </c>
      <c r="P2762" s="96" t="s">
        <v>3064</v>
      </c>
      <c r="Q2762" s="53" t="str">
        <f t="shared" si="131"/>
        <v>23</v>
      </c>
      <c r="R2762" s="53" t="str">
        <f t="shared" si="132"/>
        <v>04</v>
      </c>
      <c r="S2762" s="3" t="s">
        <v>39</v>
      </c>
      <c r="T2762" s="3" t="s">
        <v>40</v>
      </c>
      <c r="U2762" s="3" t="s">
        <v>51</v>
      </c>
      <c r="V2762" s="3" t="s">
        <v>52</v>
      </c>
      <c r="W2762" s="3" t="s">
        <v>43</v>
      </c>
      <c r="X2762" s="18">
        <v>46174</v>
      </c>
      <c r="Y2762" s="3">
        <f t="shared" si="133"/>
        <v>26</v>
      </c>
      <c r="Z2762" s="18">
        <v>46174</v>
      </c>
      <c r="AA2762" s="15"/>
      <c r="AB2762" s="15"/>
    </row>
    <row r="2763" spans="1:28">
      <c r="A2763" s="59">
        <v>46148</v>
      </c>
      <c r="B2763" s="3">
        <v>2026</v>
      </c>
      <c r="C2763" s="21" t="s">
        <v>1982</v>
      </c>
      <c r="D2763" s="3" t="s">
        <v>54</v>
      </c>
      <c r="E2763" s="3"/>
      <c r="F2763" s="3" t="s">
        <v>31</v>
      </c>
      <c r="G2763" s="21" t="s">
        <v>1983</v>
      </c>
      <c r="H2763" s="21">
        <v>8917436223</v>
      </c>
      <c r="I2763" s="38" t="s">
        <v>1984</v>
      </c>
      <c r="J2763" s="21" t="s">
        <v>1985</v>
      </c>
      <c r="K2763" s="21" t="s">
        <v>1986</v>
      </c>
      <c r="L2763" s="21" t="s">
        <v>59</v>
      </c>
      <c r="M2763" s="96" t="s">
        <v>119</v>
      </c>
      <c r="N2763" s="3" t="s">
        <v>50</v>
      </c>
      <c r="O2763" s="62">
        <v>540</v>
      </c>
      <c r="P2763" s="96" t="s">
        <v>3065</v>
      </c>
      <c r="Q2763" s="53" t="str">
        <f t="shared" si="131"/>
        <v>23</v>
      </c>
      <c r="R2763" s="53" t="str">
        <f t="shared" si="132"/>
        <v>04</v>
      </c>
      <c r="S2763" s="3" t="s">
        <v>39</v>
      </c>
      <c r="T2763" s="3" t="s">
        <v>40</v>
      </c>
      <c r="U2763" s="3" t="s">
        <v>51</v>
      </c>
      <c r="V2763" s="3" t="s">
        <v>52</v>
      </c>
      <c r="W2763" s="3" t="s">
        <v>43</v>
      </c>
      <c r="X2763" s="18">
        <v>46174</v>
      </c>
      <c r="Y2763" s="3">
        <f t="shared" si="133"/>
        <v>26</v>
      </c>
      <c r="Z2763" s="18">
        <v>46174</v>
      </c>
      <c r="AA2763" s="15"/>
      <c r="AB2763" s="15"/>
    </row>
    <row r="2764" spans="1:28">
      <c r="A2764" s="59">
        <v>46148</v>
      </c>
      <c r="B2764" s="3">
        <v>2026</v>
      </c>
      <c r="C2764" s="21" t="s">
        <v>1982</v>
      </c>
      <c r="D2764" s="3" t="s">
        <v>54</v>
      </c>
      <c r="E2764" s="3"/>
      <c r="F2764" s="3" t="s">
        <v>31</v>
      </c>
      <c r="G2764" s="21" t="s">
        <v>1983</v>
      </c>
      <c r="H2764" s="21">
        <v>8917436223</v>
      </c>
      <c r="I2764" s="38" t="s">
        <v>1984</v>
      </c>
      <c r="J2764" s="21" t="s">
        <v>1985</v>
      </c>
      <c r="K2764" s="21" t="s">
        <v>1986</v>
      </c>
      <c r="L2764" s="21" t="s">
        <v>59</v>
      </c>
      <c r="M2764" s="96" t="s">
        <v>119</v>
      </c>
      <c r="N2764" s="3" t="s">
        <v>50</v>
      </c>
      <c r="O2764" s="62">
        <v>540</v>
      </c>
      <c r="P2764" s="96" t="s">
        <v>3066</v>
      </c>
      <c r="Q2764" s="53" t="str">
        <f t="shared" si="131"/>
        <v>23</v>
      </c>
      <c r="R2764" s="53" t="str">
        <f t="shared" si="132"/>
        <v>04</v>
      </c>
      <c r="S2764" s="3" t="s">
        <v>39</v>
      </c>
      <c r="T2764" s="3" t="s">
        <v>40</v>
      </c>
      <c r="U2764" s="3" t="s">
        <v>51</v>
      </c>
      <c r="V2764" s="3" t="s">
        <v>52</v>
      </c>
      <c r="W2764" s="3" t="s">
        <v>43</v>
      </c>
      <c r="X2764" s="18">
        <v>46174</v>
      </c>
      <c r="Y2764" s="3">
        <f t="shared" si="133"/>
        <v>26</v>
      </c>
      <c r="Z2764" s="18">
        <v>46174</v>
      </c>
      <c r="AA2764" s="15"/>
      <c r="AB2764" s="15"/>
    </row>
    <row r="2765" spans="1:28">
      <c r="A2765" s="59">
        <v>46148</v>
      </c>
      <c r="B2765" s="3">
        <v>2026</v>
      </c>
      <c r="C2765" s="21" t="s">
        <v>1982</v>
      </c>
      <c r="D2765" s="3" t="s">
        <v>54</v>
      </c>
      <c r="E2765" s="3"/>
      <c r="F2765" s="3" t="s">
        <v>31</v>
      </c>
      <c r="G2765" s="21" t="s">
        <v>1983</v>
      </c>
      <c r="H2765" s="21">
        <v>8917436223</v>
      </c>
      <c r="I2765" s="38" t="s">
        <v>1984</v>
      </c>
      <c r="J2765" s="21" t="s">
        <v>1985</v>
      </c>
      <c r="K2765" s="21" t="s">
        <v>1986</v>
      </c>
      <c r="L2765" s="21" t="s">
        <v>59</v>
      </c>
      <c r="M2765" s="96" t="s">
        <v>119</v>
      </c>
      <c r="N2765" s="3" t="s">
        <v>50</v>
      </c>
      <c r="O2765" s="62">
        <v>540</v>
      </c>
      <c r="P2765" s="96" t="s">
        <v>3067</v>
      </c>
      <c r="Q2765" s="53" t="str">
        <f t="shared" si="131"/>
        <v>23</v>
      </c>
      <c r="R2765" s="53" t="str">
        <f t="shared" si="132"/>
        <v>04</v>
      </c>
      <c r="S2765" s="3" t="s">
        <v>39</v>
      </c>
      <c r="T2765" s="3" t="s">
        <v>40</v>
      </c>
      <c r="U2765" s="3" t="s">
        <v>51</v>
      </c>
      <c r="V2765" s="3" t="s">
        <v>52</v>
      </c>
      <c r="W2765" s="3" t="s">
        <v>43</v>
      </c>
      <c r="X2765" s="18">
        <v>46174</v>
      </c>
      <c r="Y2765" s="3">
        <f t="shared" si="133"/>
        <v>26</v>
      </c>
      <c r="Z2765" s="18">
        <v>46174</v>
      </c>
      <c r="AA2765" s="15"/>
      <c r="AB2765" s="15"/>
    </row>
    <row r="2766" spans="1:28">
      <c r="A2766" s="59">
        <v>46148</v>
      </c>
      <c r="B2766" s="3">
        <v>2026</v>
      </c>
      <c r="C2766" s="21" t="s">
        <v>1982</v>
      </c>
      <c r="D2766" s="3" t="s">
        <v>54</v>
      </c>
      <c r="E2766" s="3"/>
      <c r="F2766" s="3" t="s">
        <v>31</v>
      </c>
      <c r="G2766" s="21" t="s">
        <v>1983</v>
      </c>
      <c r="H2766" s="21">
        <v>8917436223</v>
      </c>
      <c r="I2766" s="38" t="s">
        <v>1984</v>
      </c>
      <c r="J2766" s="21" t="s">
        <v>1985</v>
      </c>
      <c r="K2766" s="21" t="s">
        <v>1986</v>
      </c>
      <c r="L2766" s="21" t="s">
        <v>59</v>
      </c>
      <c r="M2766" s="96" t="s">
        <v>119</v>
      </c>
      <c r="N2766" s="3" t="s">
        <v>50</v>
      </c>
      <c r="O2766" s="62">
        <v>540</v>
      </c>
      <c r="P2766" s="96" t="s">
        <v>3068</v>
      </c>
      <c r="Q2766" s="53" t="str">
        <f t="shared" si="131"/>
        <v>23</v>
      </c>
      <c r="R2766" s="53" t="str">
        <f t="shared" si="132"/>
        <v>04</v>
      </c>
      <c r="S2766" s="3" t="s">
        <v>39</v>
      </c>
      <c r="T2766" s="3" t="s">
        <v>40</v>
      </c>
      <c r="U2766" s="3" t="s">
        <v>51</v>
      </c>
      <c r="V2766" s="3" t="s">
        <v>52</v>
      </c>
      <c r="W2766" s="3" t="s">
        <v>43</v>
      </c>
      <c r="X2766" s="18">
        <v>46174</v>
      </c>
      <c r="Y2766" s="3">
        <f t="shared" si="133"/>
        <v>26</v>
      </c>
      <c r="Z2766" s="18">
        <v>46174</v>
      </c>
      <c r="AA2766" s="15"/>
      <c r="AB2766" s="15"/>
    </row>
    <row r="2767" spans="1:28">
      <c r="A2767" s="59">
        <v>46148</v>
      </c>
      <c r="B2767" s="3">
        <v>2026</v>
      </c>
      <c r="C2767" s="21" t="s">
        <v>1982</v>
      </c>
      <c r="D2767" s="3" t="s">
        <v>54</v>
      </c>
      <c r="E2767" s="3"/>
      <c r="F2767" s="3" t="s">
        <v>31</v>
      </c>
      <c r="G2767" s="21" t="s">
        <v>1983</v>
      </c>
      <c r="H2767" s="21">
        <v>8917436223</v>
      </c>
      <c r="I2767" s="38" t="s">
        <v>1984</v>
      </c>
      <c r="J2767" s="21" t="s">
        <v>1985</v>
      </c>
      <c r="K2767" s="21" t="s">
        <v>1986</v>
      </c>
      <c r="L2767" s="21" t="s">
        <v>59</v>
      </c>
      <c r="M2767" s="96" t="s">
        <v>119</v>
      </c>
      <c r="N2767" s="3" t="s">
        <v>50</v>
      </c>
      <c r="O2767" s="62">
        <v>540</v>
      </c>
      <c r="P2767" s="96" t="s">
        <v>3069</v>
      </c>
      <c r="Q2767" s="53" t="str">
        <f t="shared" si="131"/>
        <v>23</v>
      </c>
      <c r="R2767" s="53" t="str">
        <f t="shared" si="132"/>
        <v>04</v>
      </c>
      <c r="S2767" s="3" t="s">
        <v>39</v>
      </c>
      <c r="T2767" s="3" t="s">
        <v>40</v>
      </c>
      <c r="U2767" s="3" t="s">
        <v>51</v>
      </c>
      <c r="V2767" s="3" t="s">
        <v>52</v>
      </c>
      <c r="W2767" s="3" t="s">
        <v>43</v>
      </c>
      <c r="X2767" s="18">
        <v>46174</v>
      </c>
      <c r="Y2767" s="3">
        <f t="shared" si="133"/>
        <v>26</v>
      </c>
      <c r="Z2767" s="18">
        <v>46174</v>
      </c>
      <c r="AA2767" s="15"/>
      <c r="AB2767" s="15"/>
    </row>
    <row r="2768" spans="1:28">
      <c r="A2768" s="59">
        <v>46148</v>
      </c>
      <c r="B2768" s="3">
        <v>2026</v>
      </c>
      <c r="C2768" s="21" t="s">
        <v>1982</v>
      </c>
      <c r="D2768" s="3" t="s">
        <v>54</v>
      </c>
      <c r="E2768" s="3"/>
      <c r="F2768" s="3" t="s">
        <v>31</v>
      </c>
      <c r="G2768" s="21" t="s">
        <v>1983</v>
      </c>
      <c r="H2768" s="21">
        <v>8917436223</v>
      </c>
      <c r="I2768" s="38" t="s">
        <v>1984</v>
      </c>
      <c r="J2768" s="21" t="s">
        <v>1985</v>
      </c>
      <c r="K2768" s="21" t="s">
        <v>1986</v>
      </c>
      <c r="L2768" s="21" t="s">
        <v>59</v>
      </c>
      <c r="M2768" s="96" t="s">
        <v>127</v>
      </c>
      <c r="N2768" s="3" t="s">
        <v>37</v>
      </c>
      <c r="O2768" s="62">
        <v>540</v>
      </c>
      <c r="P2768" s="96" t="s">
        <v>3070</v>
      </c>
      <c r="Q2768" s="53" t="str">
        <f t="shared" si="131"/>
        <v>23</v>
      </c>
      <c r="R2768" s="53" t="str">
        <f t="shared" si="132"/>
        <v>04</v>
      </c>
      <c r="S2768" s="3" t="s">
        <v>39</v>
      </c>
      <c r="T2768" s="3" t="s">
        <v>40</v>
      </c>
      <c r="U2768" s="3" t="s">
        <v>129</v>
      </c>
      <c r="V2768" s="15" t="s">
        <v>42</v>
      </c>
      <c r="W2768" s="3" t="s">
        <v>43</v>
      </c>
      <c r="X2768" s="18">
        <v>46174</v>
      </c>
      <c r="Y2768" s="3">
        <f t="shared" si="133"/>
        <v>26</v>
      </c>
      <c r="Z2768" s="18">
        <v>46174</v>
      </c>
      <c r="AA2768" s="15"/>
      <c r="AB2768" s="15"/>
    </row>
    <row r="2769" spans="1:28">
      <c r="A2769" s="59">
        <v>46148</v>
      </c>
      <c r="B2769" s="3">
        <v>2026</v>
      </c>
      <c r="C2769" s="21" t="s">
        <v>1982</v>
      </c>
      <c r="D2769" s="3" t="s">
        <v>54</v>
      </c>
      <c r="E2769" s="3"/>
      <c r="F2769" s="3" t="s">
        <v>31</v>
      </c>
      <c r="G2769" s="21" t="s">
        <v>1983</v>
      </c>
      <c r="H2769" s="21">
        <v>8917436223</v>
      </c>
      <c r="I2769" s="38" t="s">
        <v>1984</v>
      </c>
      <c r="J2769" s="21" t="s">
        <v>1985</v>
      </c>
      <c r="K2769" s="21" t="s">
        <v>1986</v>
      </c>
      <c r="L2769" s="21" t="s">
        <v>59</v>
      </c>
      <c r="M2769" s="96" t="s">
        <v>119</v>
      </c>
      <c r="N2769" s="3" t="s">
        <v>50</v>
      </c>
      <c r="O2769" s="62">
        <v>540</v>
      </c>
      <c r="P2769" s="96" t="s">
        <v>3071</v>
      </c>
      <c r="Q2769" s="53" t="str">
        <f t="shared" si="131"/>
        <v>23</v>
      </c>
      <c r="R2769" s="53" t="str">
        <f t="shared" si="132"/>
        <v>04</v>
      </c>
      <c r="S2769" s="3" t="s">
        <v>39</v>
      </c>
      <c r="T2769" s="3" t="s">
        <v>40</v>
      </c>
      <c r="U2769" s="3" t="s">
        <v>51</v>
      </c>
      <c r="V2769" s="3" t="s">
        <v>52</v>
      </c>
      <c r="W2769" s="3" t="s">
        <v>43</v>
      </c>
      <c r="X2769" s="18">
        <v>46174</v>
      </c>
      <c r="Y2769" s="3">
        <f t="shared" si="133"/>
        <v>26</v>
      </c>
      <c r="Z2769" s="18">
        <v>46174</v>
      </c>
      <c r="AA2769" s="15"/>
      <c r="AB2769" s="15"/>
    </row>
    <row r="2770" spans="1:28">
      <c r="A2770" s="59">
        <v>46148</v>
      </c>
      <c r="B2770" s="3">
        <v>2026</v>
      </c>
      <c r="C2770" s="21" t="s">
        <v>1982</v>
      </c>
      <c r="D2770" s="3" t="s">
        <v>54</v>
      </c>
      <c r="E2770" s="3"/>
      <c r="F2770" s="3" t="s">
        <v>31</v>
      </c>
      <c r="G2770" s="21" t="s">
        <v>1983</v>
      </c>
      <c r="H2770" s="21">
        <v>8917436223</v>
      </c>
      <c r="I2770" s="38" t="s">
        <v>1984</v>
      </c>
      <c r="J2770" s="21" t="s">
        <v>1985</v>
      </c>
      <c r="K2770" s="21" t="s">
        <v>1986</v>
      </c>
      <c r="L2770" s="21" t="s">
        <v>59</v>
      </c>
      <c r="M2770" s="96" t="s">
        <v>119</v>
      </c>
      <c r="N2770" s="3" t="s">
        <v>50</v>
      </c>
      <c r="O2770" s="62">
        <v>540</v>
      </c>
      <c r="P2770" s="96" t="s">
        <v>3072</v>
      </c>
      <c r="Q2770" s="53" t="str">
        <f t="shared" si="131"/>
        <v>23</v>
      </c>
      <c r="R2770" s="53" t="str">
        <f t="shared" si="132"/>
        <v>04</v>
      </c>
      <c r="S2770" s="3" t="s">
        <v>39</v>
      </c>
      <c r="T2770" s="3" t="s">
        <v>40</v>
      </c>
      <c r="U2770" s="3" t="s">
        <v>51</v>
      </c>
      <c r="V2770" s="3" t="s">
        <v>52</v>
      </c>
      <c r="W2770" s="3" t="s">
        <v>43</v>
      </c>
      <c r="X2770" s="18">
        <v>46174</v>
      </c>
      <c r="Y2770" s="3">
        <f t="shared" si="133"/>
        <v>26</v>
      </c>
      <c r="Z2770" s="18">
        <v>46174</v>
      </c>
      <c r="AA2770" s="15"/>
      <c r="AB2770" s="15"/>
    </row>
    <row r="2771" spans="1:28">
      <c r="A2771" s="59">
        <v>46148</v>
      </c>
      <c r="B2771" s="3">
        <v>2026</v>
      </c>
      <c r="C2771" s="21" t="s">
        <v>1982</v>
      </c>
      <c r="D2771" s="3" t="s">
        <v>54</v>
      </c>
      <c r="E2771" s="3"/>
      <c r="F2771" s="3" t="s">
        <v>31</v>
      </c>
      <c r="G2771" s="21" t="s">
        <v>1983</v>
      </c>
      <c r="H2771" s="21">
        <v>8917436223</v>
      </c>
      <c r="I2771" s="38" t="s">
        <v>1984</v>
      </c>
      <c r="J2771" s="21" t="s">
        <v>1985</v>
      </c>
      <c r="K2771" s="21" t="s">
        <v>1986</v>
      </c>
      <c r="L2771" s="21" t="s">
        <v>59</v>
      </c>
      <c r="M2771" s="96" t="s">
        <v>119</v>
      </c>
      <c r="N2771" s="3" t="s">
        <v>50</v>
      </c>
      <c r="O2771" s="62">
        <v>540</v>
      </c>
      <c r="P2771" s="96" t="s">
        <v>3073</v>
      </c>
      <c r="Q2771" s="53" t="str">
        <f t="shared" si="131"/>
        <v>23</v>
      </c>
      <c r="R2771" s="53" t="str">
        <f t="shared" si="132"/>
        <v>04</v>
      </c>
      <c r="S2771" s="3" t="s">
        <v>39</v>
      </c>
      <c r="T2771" s="3" t="s">
        <v>40</v>
      </c>
      <c r="U2771" s="3" t="s">
        <v>51</v>
      </c>
      <c r="V2771" s="3" t="s">
        <v>52</v>
      </c>
      <c r="W2771" s="3" t="s">
        <v>43</v>
      </c>
      <c r="X2771" s="18">
        <v>46174</v>
      </c>
      <c r="Y2771" s="3">
        <f t="shared" si="133"/>
        <v>26</v>
      </c>
      <c r="Z2771" s="18">
        <v>46174</v>
      </c>
      <c r="AA2771" s="15"/>
      <c r="AB2771" s="15"/>
    </row>
    <row r="2772" spans="1:28">
      <c r="A2772" s="59">
        <v>46148</v>
      </c>
      <c r="B2772" s="3">
        <v>2026</v>
      </c>
      <c r="C2772" s="21" t="s">
        <v>1982</v>
      </c>
      <c r="D2772" s="3" t="s">
        <v>54</v>
      </c>
      <c r="E2772" s="3"/>
      <c r="F2772" s="3" t="s">
        <v>31</v>
      </c>
      <c r="G2772" s="21" t="s">
        <v>1983</v>
      </c>
      <c r="H2772" s="21">
        <v>8917436223</v>
      </c>
      <c r="I2772" s="38" t="s">
        <v>1984</v>
      </c>
      <c r="J2772" s="21" t="s">
        <v>1985</v>
      </c>
      <c r="K2772" s="21" t="s">
        <v>1986</v>
      </c>
      <c r="L2772" s="21" t="s">
        <v>59</v>
      </c>
      <c r="M2772" s="96" t="s">
        <v>119</v>
      </c>
      <c r="N2772" s="3" t="s">
        <v>50</v>
      </c>
      <c r="O2772" s="62">
        <v>540</v>
      </c>
      <c r="P2772" s="96" t="s">
        <v>3074</v>
      </c>
      <c r="Q2772" s="53" t="str">
        <f t="shared" si="131"/>
        <v>23</v>
      </c>
      <c r="R2772" s="53" t="str">
        <f t="shared" si="132"/>
        <v>04</v>
      </c>
      <c r="S2772" s="3" t="s">
        <v>39</v>
      </c>
      <c r="T2772" s="3" t="s">
        <v>40</v>
      </c>
      <c r="U2772" s="3" t="s">
        <v>51</v>
      </c>
      <c r="V2772" s="3" t="s">
        <v>52</v>
      </c>
      <c r="W2772" s="3" t="s">
        <v>43</v>
      </c>
      <c r="X2772" s="18">
        <v>46174</v>
      </c>
      <c r="Y2772" s="3">
        <f t="shared" si="133"/>
        <v>26</v>
      </c>
      <c r="Z2772" s="18">
        <v>46174</v>
      </c>
      <c r="AA2772" s="15"/>
      <c r="AB2772" s="15"/>
    </row>
    <row r="2773" spans="1:28">
      <c r="A2773" s="59">
        <v>46148</v>
      </c>
      <c r="B2773" s="3">
        <v>2026</v>
      </c>
      <c r="C2773" s="21" t="s">
        <v>1982</v>
      </c>
      <c r="D2773" s="3" t="s">
        <v>54</v>
      </c>
      <c r="E2773" s="3"/>
      <c r="F2773" s="3" t="s">
        <v>31</v>
      </c>
      <c r="G2773" s="21" t="s">
        <v>1983</v>
      </c>
      <c r="H2773" s="21">
        <v>8917436223</v>
      </c>
      <c r="I2773" s="38" t="s">
        <v>1984</v>
      </c>
      <c r="J2773" s="21" t="s">
        <v>1985</v>
      </c>
      <c r="K2773" s="21" t="s">
        <v>1986</v>
      </c>
      <c r="L2773" s="21" t="s">
        <v>59</v>
      </c>
      <c r="M2773" s="96" t="s">
        <v>127</v>
      </c>
      <c r="N2773" s="3" t="s">
        <v>37</v>
      </c>
      <c r="O2773" s="62">
        <v>540</v>
      </c>
      <c r="P2773" s="96" t="s">
        <v>3075</v>
      </c>
      <c r="Q2773" s="53" t="str">
        <f t="shared" si="131"/>
        <v>23</v>
      </c>
      <c r="R2773" s="53" t="str">
        <f t="shared" si="132"/>
        <v>04</v>
      </c>
      <c r="S2773" s="3" t="s">
        <v>39</v>
      </c>
      <c r="T2773" s="3" t="s">
        <v>40</v>
      </c>
      <c r="U2773" s="3" t="s">
        <v>129</v>
      </c>
      <c r="V2773" s="15" t="s">
        <v>42</v>
      </c>
      <c r="W2773" s="3" t="s">
        <v>43</v>
      </c>
      <c r="X2773" s="18">
        <v>46174</v>
      </c>
      <c r="Y2773" s="3">
        <f t="shared" si="133"/>
        <v>26</v>
      </c>
      <c r="Z2773" s="18">
        <v>46174</v>
      </c>
      <c r="AA2773" s="15"/>
      <c r="AB2773" s="15"/>
    </row>
    <row r="2774" spans="1:28">
      <c r="A2774" s="59">
        <v>46148</v>
      </c>
      <c r="B2774" s="3">
        <v>2026</v>
      </c>
      <c r="C2774" s="21" t="s">
        <v>1982</v>
      </c>
      <c r="D2774" s="3" t="s">
        <v>54</v>
      </c>
      <c r="E2774" s="3"/>
      <c r="F2774" s="3" t="s">
        <v>31</v>
      </c>
      <c r="G2774" s="21" t="s">
        <v>1983</v>
      </c>
      <c r="H2774" s="21">
        <v>8917436223</v>
      </c>
      <c r="I2774" s="38" t="s">
        <v>1984</v>
      </c>
      <c r="J2774" s="21" t="s">
        <v>1985</v>
      </c>
      <c r="K2774" s="21" t="s">
        <v>1986</v>
      </c>
      <c r="L2774" s="21" t="s">
        <v>59</v>
      </c>
      <c r="M2774" s="96" t="s">
        <v>2555</v>
      </c>
      <c r="N2774" s="3" t="s">
        <v>197</v>
      </c>
      <c r="O2774" s="62">
        <v>540</v>
      </c>
      <c r="P2774" s="96" t="s">
        <v>3076</v>
      </c>
      <c r="Q2774" s="53" t="str">
        <f t="shared" si="131"/>
        <v>23</v>
      </c>
      <c r="R2774" s="53" t="str">
        <f t="shared" si="132"/>
        <v>04</v>
      </c>
      <c r="S2774" s="3" t="s">
        <v>39</v>
      </c>
      <c r="T2774" s="3" t="s">
        <v>40</v>
      </c>
      <c r="U2774" s="19" t="s">
        <v>200</v>
      </c>
      <c r="V2774" s="19" t="s">
        <v>201</v>
      </c>
      <c r="W2774" s="3" t="s">
        <v>43</v>
      </c>
      <c r="X2774" s="18">
        <v>46174</v>
      </c>
      <c r="Y2774" s="3">
        <f t="shared" si="133"/>
        <v>26</v>
      </c>
      <c r="Z2774" s="18">
        <v>46174</v>
      </c>
      <c r="AA2774" s="15"/>
      <c r="AB2774" s="15"/>
    </row>
    <row r="2775" spans="1:28">
      <c r="A2775" s="59">
        <v>46148</v>
      </c>
      <c r="B2775" s="3">
        <v>2026</v>
      </c>
      <c r="C2775" s="21" t="s">
        <v>1982</v>
      </c>
      <c r="D2775" s="3" t="s">
        <v>54</v>
      </c>
      <c r="E2775" s="3"/>
      <c r="F2775" s="3" t="s">
        <v>31</v>
      </c>
      <c r="G2775" s="21" t="s">
        <v>1983</v>
      </c>
      <c r="H2775" s="21">
        <v>8917436223</v>
      </c>
      <c r="I2775" s="38" t="s">
        <v>1984</v>
      </c>
      <c r="J2775" s="21" t="s">
        <v>1985</v>
      </c>
      <c r="K2775" s="21" t="s">
        <v>1986</v>
      </c>
      <c r="L2775" s="21" t="s">
        <v>59</v>
      </c>
      <c r="M2775" s="96" t="s">
        <v>127</v>
      </c>
      <c r="N2775" s="3" t="s">
        <v>37</v>
      </c>
      <c r="O2775" s="62">
        <v>540</v>
      </c>
      <c r="P2775" s="96" t="s">
        <v>3077</v>
      </c>
      <c r="Q2775" s="53" t="str">
        <f t="shared" si="131"/>
        <v>23</v>
      </c>
      <c r="R2775" s="53" t="str">
        <f t="shared" si="132"/>
        <v>04</v>
      </c>
      <c r="S2775" s="3" t="s">
        <v>39</v>
      </c>
      <c r="T2775" s="3" t="s">
        <v>40</v>
      </c>
      <c r="U2775" s="3" t="s">
        <v>129</v>
      </c>
      <c r="V2775" s="15" t="s">
        <v>42</v>
      </c>
      <c r="W2775" s="3" t="s">
        <v>43</v>
      </c>
      <c r="X2775" s="18">
        <v>46174</v>
      </c>
      <c r="Y2775" s="3">
        <f t="shared" si="133"/>
        <v>26</v>
      </c>
      <c r="Z2775" s="18">
        <v>46174</v>
      </c>
      <c r="AA2775" s="15"/>
      <c r="AB2775" s="15"/>
    </row>
    <row r="2776" spans="1:28">
      <c r="A2776" s="59">
        <v>46148</v>
      </c>
      <c r="B2776" s="3">
        <v>2026</v>
      </c>
      <c r="C2776" s="21" t="s">
        <v>1982</v>
      </c>
      <c r="D2776" s="3" t="s">
        <v>54</v>
      </c>
      <c r="E2776" s="3"/>
      <c r="F2776" s="3" t="s">
        <v>31</v>
      </c>
      <c r="G2776" s="21" t="s">
        <v>1983</v>
      </c>
      <c r="H2776" s="21">
        <v>8917436223</v>
      </c>
      <c r="I2776" s="38" t="s">
        <v>1984</v>
      </c>
      <c r="J2776" s="21" t="s">
        <v>1985</v>
      </c>
      <c r="K2776" s="21" t="s">
        <v>1986</v>
      </c>
      <c r="L2776" s="21" t="s">
        <v>59</v>
      </c>
      <c r="M2776" s="96" t="s">
        <v>127</v>
      </c>
      <c r="N2776" s="3" t="s">
        <v>37</v>
      </c>
      <c r="O2776" s="62">
        <v>540</v>
      </c>
      <c r="P2776" s="96" t="s">
        <v>3078</v>
      </c>
      <c r="Q2776" s="53" t="str">
        <f t="shared" si="131"/>
        <v>23</v>
      </c>
      <c r="R2776" s="53" t="str">
        <f t="shared" si="132"/>
        <v>04</v>
      </c>
      <c r="S2776" s="3" t="s">
        <v>39</v>
      </c>
      <c r="T2776" s="3" t="s">
        <v>40</v>
      </c>
      <c r="U2776" s="3" t="s">
        <v>129</v>
      </c>
      <c r="V2776" s="15" t="s">
        <v>42</v>
      </c>
      <c r="W2776" s="3" t="s">
        <v>43</v>
      </c>
      <c r="X2776" s="18">
        <v>46174</v>
      </c>
      <c r="Y2776" s="3">
        <f t="shared" si="133"/>
        <v>26</v>
      </c>
      <c r="Z2776" s="18">
        <v>46174</v>
      </c>
      <c r="AA2776" s="15"/>
      <c r="AB2776" s="15"/>
    </row>
    <row r="2777" spans="1:28">
      <c r="A2777" s="59">
        <v>46148</v>
      </c>
      <c r="B2777" s="3">
        <v>2026</v>
      </c>
      <c r="C2777" s="21" t="s">
        <v>1982</v>
      </c>
      <c r="D2777" s="3" t="s">
        <v>54</v>
      </c>
      <c r="E2777" s="3"/>
      <c r="F2777" s="3" t="s">
        <v>31</v>
      </c>
      <c r="G2777" s="21" t="s">
        <v>1983</v>
      </c>
      <c r="H2777" s="21">
        <v>8917436223</v>
      </c>
      <c r="I2777" s="38" t="s">
        <v>1984</v>
      </c>
      <c r="J2777" s="21" t="s">
        <v>1985</v>
      </c>
      <c r="K2777" s="21" t="s">
        <v>1986</v>
      </c>
      <c r="L2777" s="21" t="s">
        <v>59</v>
      </c>
      <c r="M2777" s="96" t="s">
        <v>127</v>
      </c>
      <c r="N2777" s="3" t="s">
        <v>37</v>
      </c>
      <c r="O2777" s="62">
        <v>540</v>
      </c>
      <c r="P2777" s="96" t="s">
        <v>3079</v>
      </c>
      <c r="Q2777" s="53" t="str">
        <f t="shared" si="131"/>
        <v>23</v>
      </c>
      <c r="R2777" s="53" t="str">
        <f t="shared" si="132"/>
        <v>04</v>
      </c>
      <c r="S2777" s="3" t="s">
        <v>39</v>
      </c>
      <c r="T2777" s="3" t="s">
        <v>40</v>
      </c>
      <c r="U2777" s="3" t="s">
        <v>129</v>
      </c>
      <c r="V2777" s="15" t="s">
        <v>42</v>
      </c>
      <c r="W2777" s="3" t="s">
        <v>43</v>
      </c>
      <c r="X2777" s="18">
        <v>46174</v>
      </c>
      <c r="Y2777" s="3">
        <f t="shared" si="133"/>
        <v>26</v>
      </c>
      <c r="Z2777" s="18">
        <v>46174</v>
      </c>
      <c r="AA2777" s="15"/>
      <c r="AB2777" s="15"/>
    </row>
    <row r="2778" spans="1:28">
      <c r="A2778" s="59">
        <v>46148</v>
      </c>
      <c r="B2778" s="3">
        <v>2026</v>
      </c>
      <c r="C2778" s="21" t="s">
        <v>1982</v>
      </c>
      <c r="D2778" s="3" t="s">
        <v>54</v>
      </c>
      <c r="E2778" s="3"/>
      <c r="F2778" s="3" t="s">
        <v>31</v>
      </c>
      <c r="G2778" s="21" t="s">
        <v>1983</v>
      </c>
      <c r="H2778" s="21">
        <v>8917436223</v>
      </c>
      <c r="I2778" s="38" t="s">
        <v>1984</v>
      </c>
      <c r="J2778" s="21" t="s">
        <v>1985</v>
      </c>
      <c r="K2778" s="21" t="s">
        <v>1986</v>
      </c>
      <c r="L2778" s="21" t="s">
        <v>59</v>
      </c>
      <c r="M2778" s="96" t="s">
        <v>119</v>
      </c>
      <c r="N2778" s="3" t="s">
        <v>50</v>
      </c>
      <c r="O2778" s="62">
        <v>540</v>
      </c>
      <c r="P2778" s="96" t="s">
        <v>3080</v>
      </c>
      <c r="Q2778" s="53" t="str">
        <f t="shared" si="131"/>
        <v>23</v>
      </c>
      <c r="R2778" s="53" t="str">
        <f t="shared" si="132"/>
        <v>04</v>
      </c>
      <c r="S2778" s="3" t="s">
        <v>39</v>
      </c>
      <c r="T2778" s="3" t="s">
        <v>40</v>
      </c>
      <c r="U2778" s="3" t="s">
        <v>51</v>
      </c>
      <c r="V2778" s="3" t="s">
        <v>52</v>
      </c>
      <c r="W2778" s="3" t="s">
        <v>43</v>
      </c>
      <c r="X2778" s="18">
        <v>46174</v>
      </c>
      <c r="Y2778" s="3">
        <f t="shared" si="133"/>
        <v>26</v>
      </c>
      <c r="Z2778" s="18">
        <v>46174</v>
      </c>
      <c r="AA2778" s="15"/>
      <c r="AB2778" s="15"/>
    </row>
    <row r="2779" spans="1:28">
      <c r="A2779" s="59">
        <v>46148</v>
      </c>
      <c r="B2779" s="3">
        <v>2026</v>
      </c>
      <c r="C2779" s="21" t="s">
        <v>1982</v>
      </c>
      <c r="D2779" s="3" t="s">
        <v>54</v>
      </c>
      <c r="E2779" s="3"/>
      <c r="F2779" s="3" t="s">
        <v>31</v>
      </c>
      <c r="G2779" s="21" t="s">
        <v>1983</v>
      </c>
      <c r="H2779" s="21">
        <v>8917436223</v>
      </c>
      <c r="I2779" s="38" t="s">
        <v>1984</v>
      </c>
      <c r="J2779" s="21" t="s">
        <v>1985</v>
      </c>
      <c r="K2779" s="21" t="s">
        <v>1986</v>
      </c>
      <c r="L2779" s="21" t="s">
        <v>59</v>
      </c>
      <c r="M2779" s="96" t="s">
        <v>119</v>
      </c>
      <c r="N2779" s="3" t="s">
        <v>50</v>
      </c>
      <c r="O2779" s="62">
        <v>540</v>
      </c>
      <c r="P2779" s="96" t="s">
        <v>3081</v>
      </c>
      <c r="Q2779" s="53" t="str">
        <f t="shared" si="131"/>
        <v>23</v>
      </c>
      <c r="R2779" s="53" t="str">
        <f t="shared" si="132"/>
        <v>04</v>
      </c>
      <c r="S2779" s="3" t="s">
        <v>39</v>
      </c>
      <c r="T2779" s="3" t="s">
        <v>40</v>
      </c>
      <c r="U2779" s="3" t="s">
        <v>51</v>
      </c>
      <c r="V2779" s="3" t="s">
        <v>52</v>
      </c>
      <c r="W2779" s="3" t="s">
        <v>43</v>
      </c>
      <c r="X2779" s="18">
        <v>46174</v>
      </c>
      <c r="Y2779" s="3">
        <f t="shared" si="133"/>
        <v>26</v>
      </c>
      <c r="Z2779" s="18">
        <v>46174</v>
      </c>
      <c r="AA2779" s="15"/>
      <c r="AB2779" s="15"/>
    </row>
    <row r="2780" spans="1:28">
      <c r="A2780" s="59">
        <v>46148</v>
      </c>
      <c r="B2780" s="3">
        <v>2026</v>
      </c>
      <c r="C2780" s="21" t="s">
        <v>1982</v>
      </c>
      <c r="D2780" s="3" t="s">
        <v>54</v>
      </c>
      <c r="E2780" s="3"/>
      <c r="F2780" s="3" t="s">
        <v>31</v>
      </c>
      <c r="G2780" s="21" t="s">
        <v>1983</v>
      </c>
      <c r="H2780" s="21">
        <v>8917436223</v>
      </c>
      <c r="I2780" s="38" t="s">
        <v>1984</v>
      </c>
      <c r="J2780" s="21" t="s">
        <v>1985</v>
      </c>
      <c r="K2780" s="21" t="s">
        <v>1986</v>
      </c>
      <c r="L2780" s="21" t="s">
        <v>59</v>
      </c>
      <c r="M2780" s="96" t="s">
        <v>119</v>
      </c>
      <c r="N2780" s="3" t="s">
        <v>50</v>
      </c>
      <c r="O2780" s="62">
        <v>540</v>
      </c>
      <c r="P2780" s="96" t="s">
        <v>3082</v>
      </c>
      <c r="Q2780" s="53" t="str">
        <f t="shared" si="131"/>
        <v>23</v>
      </c>
      <c r="R2780" s="53" t="str">
        <f t="shared" si="132"/>
        <v>04</v>
      </c>
      <c r="S2780" s="3" t="s">
        <v>39</v>
      </c>
      <c r="T2780" s="3" t="s">
        <v>40</v>
      </c>
      <c r="U2780" s="3" t="s">
        <v>51</v>
      </c>
      <c r="V2780" s="3" t="s">
        <v>52</v>
      </c>
      <c r="W2780" s="3" t="s">
        <v>43</v>
      </c>
      <c r="X2780" s="18">
        <v>46174</v>
      </c>
      <c r="Y2780" s="3">
        <f t="shared" si="133"/>
        <v>26</v>
      </c>
      <c r="Z2780" s="18">
        <v>46174</v>
      </c>
      <c r="AA2780" s="15"/>
      <c r="AB2780" s="15"/>
    </row>
    <row r="2781" spans="1:28">
      <c r="A2781" s="59">
        <v>46148</v>
      </c>
      <c r="B2781" s="3">
        <v>2026</v>
      </c>
      <c r="C2781" s="21" t="s">
        <v>1982</v>
      </c>
      <c r="D2781" s="3" t="s">
        <v>54</v>
      </c>
      <c r="E2781" s="3"/>
      <c r="F2781" s="3" t="s">
        <v>31</v>
      </c>
      <c r="G2781" s="21" t="s">
        <v>1983</v>
      </c>
      <c r="H2781" s="21">
        <v>8917436223</v>
      </c>
      <c r="I2781" s="38" t="s">
        <v>1984</v>
      </c>
      <c r="J2781" s="21" t="s">
        <v>1985</v>
      </c>
      <c r="K2781" s="21" t="s">
        <v>1986</v>
      </c>
      <c r="L2781" s="21" t="s">
        <v>59</v>
      </c>
      <c r="M2781" s="96" t="s">
        <v>119</v>
      </c>
      <c r="N2781" s="3" t="s">
        <v>50</v>
      </c>
      <c r="O2781" s="62">
        <v>540</v>
      </c>
      <c r="P2781" s="96" t="s">
        <v>3083</v>
      </c>
      <c r="Q2781" s="53" t="str">
        <f t="shared" si="131"/>
        <v>23</v>
      </c>
      <c r="R2781" s="53" t="str">
        <f t="shared" si="132"/>
        <v>04</v>
      </c>
      <c r="S2781" s="3" t="s">
        <v>39</v>
      </c>
      <c r="T2781" s="3" t="s">
        <v>40</v>
      </c>
      <c r="U2781" s="3" t="s">
        <v>51</v>
      </c>
      <c r="V2781" s="3" t="s">
        <v>52</v>
      </c>
      <c r="W2781" s="3" t="s">
        <v>43</v>
      </c>
      <c r="X2781" s="18">
        <v>46174</v>
      </c>
      <c r="Y2781" s="3">
        <f t="shared" si="133"/>
        <v>26</v>
      </c>
      <c r="Z2781" s="18">
        <v>46174</v>
      </c>
      <c r="AA2781" s="15"/>
      <c r="AB2781" s="15"/>
    </row>
    <row r="2782" spans="1:28">
      <c r="A2782" s="59">
        <v>46148</v>
      </c>
      <c r="B2782" s="3">
        <v>2026</v>
      </c>
      <c r="C2782" s="21" t="s">
        <v>1982</v>
      </c>
      <c r="D2782" s="3" t="s">
        <v>54</v>
      </c>
      <c r="E2782" s="3"/>
      <c r="F2782" s="3" t="s">
        <v>31</v>
      </c>
      <c r="G2782" s="21" t="s">
        <v>1983</v>
      </c>
      <c r="H2782" s="21">
        <v>8917436223</v>
      </c>
      <c r="I2782" s="38" t="s">
        <v>1984</v>
      </c>
      <c r="J2782" s="21" t="s">
        <v>1985</v>
      </c>
      <c r="K2782" s="21" t="s">
        <v>1986</v>
      </c>
      <c r="L2782" s="21" t="s">
        <v>59</v>
      </c>
      <c r="M2782" s="96" t="s">
        <v>119</v>
      </c>
      <c r="N2782" s="3" t="s">
        <v>50</v>
      </c>
      <c r="O2782" s="62">
        <v>540</v>
      </c>
      <c r="P2782" s="96" t="s">
        <v>3084</v>
      </c>
      <c r="Q2782" s="53" t="str">
        <f t="shared" si="131"/>
        <v>23</v>
      </c>
      <c r="R2782" s="53" t="str">
        <f t="shared" si="132"/>
        <v>04</v>
      </c>
      <c r="S2782" s="3" t="s">
        <v>39</v>
      </c>
      <c r="T2782" s="3" t="s">
        <v>40</v>
      </c>
      <c r="U2782" s="3" t="s">
        <v>51</v>
      </c>
      <c r="V2782" s="3" t="s">
        <v>52</v>
      </c>
      <c r="W2782" s="3" t="s">
        <v>43</v>
      </c>
      <c r="X2782" s="18">
        <v>46174</v>
      </c>
      <c r="Y2782" s="3">
        <f t="shared" si="133"/>
        <v>26</v>
      </c>
      <c r="Z2782" s="18">
        <v>46174</v>
      </c>
      <c r="AA2782" s="15"/>
      <c r="AB2782" s="15"/>
    </row>
    <row r="2783" spans="1:28">
      <c r="A2783" s="59">
        <v>46148</v>
      </c>
      <c r="B2783" s="3">
        <v>2026</v>
      </c>
      <c r="C2783" s="21" t="s">
        <v>1982</v>
      </c>
      <c r="D2783" s="3" t="s">
        <v>54</v>
      </c>
      <c r="E2783" s="3"/>
      <c r="F2783" s="3" t="s">
        <v>31</v>
      </c>
      <c r="G2783" s="21" t="s">
        <v>1983</v>
      </c>
      <c r="H2783" s="21">
        <v>8917436223</v>
      </c>
      <c r="I2783" s="38" t="s">
        <v>1984</v>
      </c>
      <c r="J2783" s="21" t="s">
        <v>1985</v>
      </c>
      <c r="K2783" s="21" t="s">
        <v>1986</v>
      </c>
      <c r="L2783" s="21" t="s">
        <v>59</v>
      </c>
      <c r="M2783" s="96" t="s">
        <v>119</v>
      </c>
      <c r="N2783" s="3" t="s">
        <v>50</v>
      </c>
      <c r="O2783" s="62">
        <v>540</v>
      </c>
      <c r="P2783" s="96" t="s">
        <v>3085</v>
      </c>
      <c r="Q2783" s="53" t="str">
        <f t="shared" si="131"/>
        <v>23</v>
      </c>
      <c r="R2783" s="53" t="str">
        <f t="shared" si="132"/>
        <v>04</v>
      </c>
      <c r="S2783" s="3" t="s">
        <v>39</v>
      </c>
      <c r="T2783" s="3" t="s">
        <v>40</v>
      </c>
      <c r="U2783" s="3" t="s">
        <v>51</v>
      </c>
      <c r="V2783" s="3" t="s">
        <v>52</v>
      </c>
      <c r="W2783" s="3" t="s">
        <v>43</v>
      </c>
      <c r="X2783" s="18">
        <v>46174</v>
      </c>
      <c r="Y2783" s="3">
        <f t="shared" si="133"/>
        <v>26</v>
      </c>
      <c r="Z2783" s="18">
        <v>46174</v>
      </c>
      <c r="AA2783" s="15"/>
      <c r="AB2783" s="15"/>
    </row>
    <row r="2784" spans="1:28">
      <c r="A2784" s="59">
        <v>46148</v>
      </c>
      <c r="B2784" s="3">
        <v>2026</v>
      </c>
      <c r="C2784" s="21" t="s">
        <v>1982</v>
      </c>
      <c r="D2784" s="3" t="s">
        <v>54</v>
      </c>
      <c r="E2784" s="3"/>
      <c r="F2784" s="3" t="s">
        <v>31</v>
      </c>
      <c r="G2784" s="21" t="s">
        <v>1983</v>
      </c>
      <c r="H2784" s="21">
        <v>8917436223</v>
      </c>
      <c r="I2784" s="38" t="s">
        <v>1984</v>
      </c>
      <c r="J2784" s="21" t="s">
        <v>1985</v>
      </c>
      <c r="K2784" s="21" t="s">
        <v>1986</v>
      </c>
      <c r="L2784" s="21" t="s">
        <v>59</v>
      </c>
      <c r="M2784" s="96" t="s">
        <v>119</v>
      </c>
      <c r="N2784" s="3" t="s">
        <v>50</v>
      </c>
      <c r="O2784" s="62">
        <v>540</v>
      </c>
      <c r="P2784" s="96" t="s">
        <v>3086</v>
      </c>
      <c r="Q2784" s="53" t="str">
        <f t="shared" si="131"/>
        <v>23</v>
      </c>
      <c r="R2784" s="53" t="str">
        <f t="shared" si="132"/>
        <v>04</v>
      </c>
      <c r="S2784" s="3" t="s">
        <v>39</v>
      </c>
      <c r="T2784" s="3" t="s">
        <v>40</v>
      </c>
      <c r="U2784" s="3" t="s">
        <v>51</v>
      </c>
      <c r="V2784" s="3" t="s">
        <v>52</v>
      </c>
      <c r="W2784" s="3" t="s">
        <v>43</v>
      </c>
      <c r="X2784" s="18">
        <v>46174</v>
      </c>
      <c r="Y2784" s="3">
        <f t="shared" si="133"/>
        <v>26</v>
      </c>
      <c r="Z2784" s="18">
        <v>46174</v>
      </c>
      <c r="AA2784" s="15"/>
      <c r="AB2784" s="15"/>
    </row>
    <row r="2785" spans="1:28">
      <c r="A2785" s="59">
        <v>46148</v>
      </c>
      <c r="B2785" s="3">
        <v>2026</v>
      </c>
      <c r="C2785" s="21" t="s">
        <v>1982</v>
      </c>
      <c r="D2785" s="3" t="s">
        <v>54</v>
      </c>
      <c r="E2785" s="3"/>
      <c r="F2785" s="3" t="s">
        <v>31</v>
      </c>
      <c r="G2785" s="21" t="s">
        <v>1983</v>
      </c>
      <c r="H2785" s="21">
        <v>8917436223</v>
      </c>
      <c r="I2785" s="38" t="s">
        <v>1984</v>
      </c>
      <c r="J2785" s="21" t="s">
        <v>1985</v>
      </c>
      <c r="K2785" s="21" t="s">
        <v>1986</v>
      </c>
      <c r="L2785" s="21" t="s">
        <v>59</v>
      </c>
      <c r="M2785" s="96" t="s">
        <v>123</v>
      </c>
      <c r="N2785" s="26" t="s">
        <v>50</v>
      </c>
      <c r="O2785" s="60">
        <v>540</v>
      </c>
      <c r="P2785" s="96" t="s">
        <v>3087</v>
      </c>
      <c r="Q2785" s="53" t="str">
        <f t="shared" si="131"/>
        <v>23</v>
      </c>
      <c r="R2785" s="53" t="str">
        <f t="shared" si="132"/>
        <v>04</v>
      </c>
      <c r="S2785" s="3" t="s">
        <v>39</v>
      </c>
      <c r="T2785" s="3" t="s">
        <v>40</v>
      </c>
      <c r="U2785" s="19" t="s">
        <v>125</v>
      </c>
      <c r="V2785" s="19" t="s">
        <v>52</v>
      </c>
      <c r="W2785" s="3" t="s">
        <v>43</v>
      </c>
      <c r="X2785" s="18">
        <v>46174</v>
      </c>
      <c r="Y2785" s="3">
        <f t="shared" si="133"/>
        <v>26</v>
      </c>
      <c r="Z2785" s="18">
        <v>46174</v>
      </c>
      <c r="AA2785" s="15"/>
      <c r="AB2785" s="15"/>
    </row>
    <row r="2786" spans="1:28">
      <c r="A2786" s="59">
        <v>46148</v>
      </c>
      <c r="B2786" s="3">
        <v>2026</v>
      </c>
      <c r="C2786" s="21" t="s">
        <v>1982</v>
      </c>
      <c r="D2786" s="3" t="s">
        <v>54</v>
      </c>
      <c r="E2786" s="3"/>
      <c r="F2786" s="3" t="s">
        <v>31</v>
      </c>
      <c r="G2786" s="21" t="s">
        <v>1983</v>
      </c>
      <c r="H2786" s="21">
        <v>8917436223</v>
      </c>
      <c r="I2786" s="38" t="s">
        <v>1984</v>
      </c>
      <c r="J2786" s="21" t="s">
        <v>1985</v>
      </c>
      <c r="K2786" s="21" t="s">
        <v>1986</v>
      </c>
      <c r="L2786" s="21" t="s">
        <v>59</v>
      </c>
      <c r="M2786" s="96" t="s">
        <v>119</v>
      </c>
      <c r="N2786" s="3" t="s">
        <v>50</v>
      </c>
      <c r="O2786" s="62">
        <v>540</v>
      </c>
      <c r="P2786" s="96" t="s">
        <v>3088</v>
      </c>
      <c r="Q2786" s="53" t="str">
        <f t="shared" si="131"/>
        <v>23</v>
      </c>
      <c r="R2786" s="53" t="str">
        <f t="shared" si="132"/>
        <v>04</v>
      </c>
      <c r="S2786" s="3" t="s">
        <v>39</v>
      </c>
      <c r="T2786" s="3" t="s">
        <v>40</v>
      </c>
      <c r="U2786" s="3" t="s">
        <v>51</v>
      </c>
      <c r="V2786" s="3" t="s">
        <v>52</v>
      </c>
      <c r="W2786" s="3" t="s">
        <v>43</v>
      </c>
      <c r="X2786" s="18">
        <v>46174</v>
      </c>
      <c r="Y2786" s="3">
        <f t="shared" si="133"/>
        <v>26</v>
      </c>
      <c r="Z2786" s="18">
        <v>46174</v>
      </c>
      <c r="AA2786" s="15"/>
      <c r="AB2786" s="15"/>
    </row>
    <row r="2787" spans="1:28">
      <c r="A2787" s="59">
        <v>46148</v>
      </c>
      <c r="B2787" s="3">
        <v>2026</v>
      </c>
      <c r="C2787" s="21" t="s">
        <v>1982</v>
      </c>
      <c r="D2787" s="3" t="s">
        <v>54</v>
      </c>
      <c r="E2787" s="3"/>
      <c r="F2787" s="3" t="s">
        <v>31</v>
      </c>
      <c r="G2787" s="21" t="s">
        <v>1983</v>
      </c>
      <c r="H2787" s="21">
        <v>8917436223</v>
      </c>
      <c r="I2787" s="38" t="s">
        <v>1984</v>
      </c>
      <c r="J2787" s="21" t="s">
        <v>1985</v>
      </c>
      <c r="K2787" s="21" t="s">
        <v>1986</v>
      </c>
      <c r="L2787" s="21" t="s">
        <v>59</v>
      </c>
      <c r="M2787" s="96" t="s">
        <v>119</v>
      </c>
      <c r="N2787" s="3" t="s">
        <v>50</v>
      </c>
      <c r="O2787" s="62">
        <v>540</v>
      </c>
      <c r="P2787" s="96" t="s">
        <v>3089</v>
      </c>
      <c r="Q2787" s="53" t="str">
        <f t="shared" si="131"/>
        <v>23</v>
      </c>
      <c r="R2787" s="53" t="str">
        <f t="shared" si="132"/>
        <v>04</v>
      </c>
      <c r="S2787" s="3" t="s">
        <v>39</v>
      </c>
      <c r="T2787" s="3" t="s">
        <v>40</v>
      </c>
      <c r="U2787" s="3" t="s">
        <v>51</v>
      </c>
      <c r="V2787" s="3" t="s">
        <v>52</v>
      </c>
      <c r="W2787" s="3" t="s">
        <v>43</v>
      </c>
      <c r="X2787" s="18">
        <v>46174</v>
      </c>
      <c r="Y2787" s="3">
        <f t="shared" si="133"/>
        <v>26</v>
      </c>
      <c r="Z2787" s="18">
        <v>46174</v>
      </c>
      <c r="AA2787" s="15"/>
      <c r="AB2787" s="15"/>
    </row>
  </sheetData>
  <autoFilter ref="A1:AB2787" xr:uid="{00000000-0009-0000-0000-000002000000}">
    <filterColumn colId="0">
      <filters>
        <dateGroupItem year="2026" month="5" dateTimeGrouping="month"/>
      </filters>
    </filterColumn>
  </autoFilter>
  <conditionalFormatting sqref="I1:I1775 I1817:I1932 I2016:I2072 I2104:I2182 I2346:I2406 I2426:I2490 I2555:I2680 I2788:I1048576">
    <cfRule type="duplicateValues" dxfId="73" priority="12"/>
  </conditionalFormatting>
  <conditionalFormatting sqref="I1:I1048576">
    <cfRule type="duplicateValues" dxfId="72" priority="1"/>
  </conditionalFormatting>
  <conditionalFormatting sqref="I353">
    <cfRule type="duplicateValues" dxfId="71" priority="32"/>
    <cfRule type="duplicateValues" dxfId="70" priority="31"/>
    <cfRule type="duplicateValues" dxfId="69" priority="30"/>
    <cfRule type="duplicateValues" dxfId="68" priority="29"/>
    <cfRule type="duplicateValues" dxfId="67" priority="28"/>
  </conditionalFormatting>
  <conditionalFormatting sqref="I354"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  <cfRule type="duplicateValues" dxfId="59" priority="20"/>
  </conditionalFormatting>
  <conditionalFormatting sqref="I357:I358">
    <cfRule type="duplicateValues" dxfId="58" priority="16"/>
    <cfRule type="duplicateValues" dxfId="57" priority="17"/>
    <cfRule type="duplicateValues" dxfId="56" priority="18"/>
    <cfRule type="duplicateValues" dxfId="55" priority="19"/>
  </conditionalFormatting>
  <conditionalFormatting sqref="I1776:I1816 I1933:I2010 I2074:I2101 I2183:I2268 I2271:I2344 I2414:I2425 I2491:I2548 I2681:I2787">
    <cfRule type="duplicateValues" dxfId="54" priority="11"/>
    <cfRule type="duplicateValues" dxfId="53" priority="10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O417:O455 P5:P236 P241:P416">
    <cfRule type="duplicateValues" dxfId="43" priority="33"/>
    <cfRule type="duplicateValues" dxfId="42" priority="34"/>
    <cfRule type="duplicateValues" dxfId="41" priority="35"/>
  </conditionalFormatting>
  <conditionalFormatting sqref="P1:P4 P743:P744 P926:P927 P2788:P1048576">
    <cfRule type="duplicateValues" dxfId="40" priority="36"/>
  </conditionalFormatting>
  <conditionalFormatting sqref="P417:P455">
    <cfRule type="duplicateValues" dxfId="39" priority="15"/>
    <cfRule type="duplicateValues" dxfId="38" priority="14"/>
    <cfRule type="duplicateValues" dxfId="37" priority="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P2787"/>
  <sheetViews>
    <sheetView tabSelected="1" zoomScale="80" zoomScaleNormal="80" workbookViewId="0">
      <pane xSplit="12" ySplit="1" topLeftCell="W13" activePane="bottomRight" state="frozen"/>
      <selection activeCell="J4" sqref="J4"/>
      <selection pane="topRight" activeCell="J4" sqref="J4"/>
      <selection pane="bottomLeft" activeCell="J4" sqref="J4"/>
      <selection pane="bottomRight" activeCell="X36" sqref="X36"/>
    </sheetView>
  </sheetViews>
  <sheetFormatPr defaultRowHeight="14.5"/>
  <cols>
    <col min="1" max="1" width="16.453125" bestFit="1" customWidth="1"/>
    <col min="2" max="2" width="4" bestFit="1" customWidth="1"/>
    <col min="3" max="3" width="25.36328125" bestFit="1" customWidth="1"/>
    <col min="4" max="4" width="10.1796875" bestFit="1" customWidth="1"/>
    <col min="5" max="5" width="9.26953125" bestFit="1" customWidth="1"/>
    <col min="6" max="6" width="9.90625" bestFit="1" customWidth="1"/>
    <col min="7" max="7" width="21.453125" bestFit="1" customWidth="1"/>
    <col min="9" max="9" width="22.7265625" bestFit="1" customWidth="1"/>
    <col min="10" max="10" width="19.54296875" bestFit="1" customWidth="1"/>
    <col min="11" max="11" width="12.90625" bestFit="1" customWidth="1"/>
    <col min="12" max="12" width="10.81640625" bestFit="1" customWidth="1"/>
    <col min="13" max="13" width="16.90625" bestFit="1" customWidth="1"/>
    <col min="14" max="14" width="29.7265625" bestFit="1" customWidth="1"/>
    <col min="15" max="15" width="9.26953125" bestFit="1" customWidth="1"/>
    <col min="16" max="16" width="15" bestFit="1" customWidth="1"/>
    <col min="17" max="17" width="12.453125" bestFit="1" customWidth="1"/>
    <col min="18" max="18" width="14" bestFit="1" customWidth="1"/>
    <col min="19" max="19" width="8.81640625" bestFit="1" customWidth="1"/>
    <col min="20" max="20" width="13.6328125" bestFit="1" customWidth="1"/>
    <col min="21" max="21" width="50.453125" bestFit="1" customWidth="1"/>
    <col min="22" max="22" width="17" bestFit="1" customWidth="1"/>
    <col min="23" max="23" width="10.6328125" bestFit="1" customWidth="1"/>
    <col min="24" max="24" width="14.08984375" bestFit="1" customWidth="1"/>
    <col min="25" max="25" width="17.7265625" bestFit="1" customWidth="1"/>
    <col min="26" max="26" width="7.6328125" bestFit="1" customWidth="1"/>
    <col min="27" max="27" width="10" bestFit="1" customWidth="1"/>
    <col min="28" max="28" width="8.6328125" bestFit="1" customWidth="1"/>
  </cols>
  <sheetData>
    <row r="1" spans="1:32">
      <c r="A1" s="103" t="s">
        <v>0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28</v>
      </c>
    </row>
    <row r="2" spans="1:32" hidden="1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IF(X2="","",X2-A2)</f>
        <v>3</v>
      </c>
      <c r="Z2" s="72">
        <v>46143</v>
      </c>
      <c r="AA2" s="73"/>
      <c r="AB2" s="73"/>
      <c r="AF2" t="str">
        <f t="shared" ref="AF2:AF65" si="1">IF(AND($F2="Closed",$X2&gt;=DATE(2026,5,1),$X2&lt;=DATE(2026,5,31)),"Closed in May","Other")</f>
        <v>Closed in May</v>
      </c>
    </row>
    <row r="3" spans="1:32" hidden="1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73">
        <f t="shared" si="0"/>
        <v>10</v>
      </c>
      <c r="Z3" s="2">
        <v>46143</v>
      </c>
      <c r="AA3" s="3"/>
      <c r="AB3" s="3"/>
      <c r="AF3" t="str">
        <f t="shared" si="1"/>
        <v>Closed in May</v>
      </c>
    </row>
    <row r="4" spans="1:32" hidden="1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73">
        <f t="shared" si="0"/>
        <v>10</v>
      </c>
      <c r="Z4" s="2">
        <v>46143</v>
      </c>
      <c r="AA4" s="3"/>
      <c r="AB4" s="3"/>
      <c r="AF4" t="str">
        <f t="shared" si="1"/>
        <v>Closed in May</v>
      </c>
    </row>
    <row r="5" spans="1:32" hidden="1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31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2">MID(P5,5,2)</f>
        <v>24</v>
      </c>
      <c r="R5" s="53" t="str">
        <f t="shared" ref="R5:R36" si="3">MID(P5,7,2)</f>
        <v>09</v>
      </c>
      <c r="S5" s="3" t="s">
        <v>39</v>
      </c>
      <c r="T5" s="3" t="s">
        <v>40</v>
      </c>
      <c r="U5" s="9" t="s">
        <v>63</v>
      </c>
      <c r="V5" s="3" t="s">
        <v>64</v>
      </c>
      <c r="W5" s="3" t="s">
        <v>65</v>
      </c>
      <c r="X5" s="2">
        <f t="shared" ref="X5:X12" si="4">Z5</f>
        <v>46143</v>
      </c>
      <c r="Y5" s="73">
        <f t="shared" si="0"/>
        <v>37</v>
      </c>
      <c r="Z5" s="18">
        <v>46143</v>
      </c>
      <c r="AA5" s="3"/>
      <c r="AB5" s="3"/>
      <c r="AF5" t="str">
        <f t="shared" si="1"/>
        <v>Closed in May</v>
      </c>
    </row>
    <row r="6" spans="1:32" hidden="1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31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2"/>
        <v>22</v>
      </c>
      <c r="R6" s="53" t="str">
        <f t="shared" si="3"/>
        <v>12</v>
      </c>
      <c r="S6" s="3" t="s">
        <v>39</v>
      </c>
      <c r="T6" s="3" t="s">
        <v>40</v>
      </c>
      <c r="U6" s="9" t="s">
        <v>63</v>
      </c>
      <c r="V6" s="3" t="s">
        <v>64</v>
      </c>
      <c r="W6" s="3" t="s">
        <v>65</v>
      </c>
      <c r="X6" s="2">
        <f t="shared" si="4"/>
        <v>46143</v>
      </c>
      <c r="Y6" s="73">
        <f t="shared" si="0"/>
        <v>37</v>
      </c>
      <c r="Z6" s="18">
        <v>46143</v>
      </c>
      <c r="AA6" s="3"/>
      <c r="AB6" s="3"/>
      <c r="AF6" t="str">
        <f t="shared" si="1"/>
        <v>Closed in May</v>
      </c>
    </row>
    <row r="7" spans="1:32" hidden="1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31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2"/>
        <v>22</v>
      </c>
      <c r="R7" s="53" t="str">
        <f t="shared" si="3"/>
        <v>12</v>
      </c>
      <c r="S7" s="3" t="s">
        <v>39</v>
      </c>
      <c r="T7" s="3" t="s">
        <v>40</v>
      </c>
      <c r="U7" s="9" t="s">
        <v>63</v>
      </c>
      <c r="V7" s="3" t="s">
        <v>64</v>
      </c>
      <c r="W7" s="3" t="s">
        <v>65</v>
      </c>
      <c r="X7" s="2">
        <f t="shared" si="4"/>
        <v>46143</v>
      </c>
      <c r="Y7" s="73">
        <f t="shared" si="0"/>
        <v>37</v>
      </c>
      <c r="Z7" s="18">
        <v>46143</v>
      </c>
      <c r="AA7" s="3"/>
      <c r="AB7" s="3"/>
      <c r="AF7" t="str">
        <f t="shared" si="1"/>
        <v>Closed in May</v>
      </c>
    </row>
    <row r="8" spans="1:32" hidden="1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31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2"/>
        <v>22</v>
      </c>
      <c r="R8" s="53" t="str">
        <f t="shared" si="3"/>
        <v>12</v>
      </c>
      <c r="S8" s="3" t="s">
        <v>39</v>
      </c>
      <c r="T8" s="3" t="s">
        <v>40</v>
      </c>
      <c r="U8" s="9" t="s">
        <v>69</v>
      </c>
      <c r="V8" s="3" t="s">
        <v>64</v>
      </c>
      <c r="W8" s="3" t="s">
        <v>65</v>
      </c>
      <c r="X8" s="2">
        <f t="shared" si="4"/>
        <v>46143</v>
      </c>
      <c r="Y8" s="73">
        <f t="shared" si="0"/>
        <v>37</v>
      </c>
      <c r="Z8" s="18">
        <v>46143</v>
      </c>
      <c r="AA8" s="3"/>
      <c r="AB8" s="3"/>
      <c r="AF8" t="str">
        <f t="shared" si="1"/>
        <v>Closed in May</v>
      </c>
    </row>
    <row r="9" spans="1:32" hidden="1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31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2"/>
        <v>23</v>
      </c>
      <c r="R9" s="53" t="str">
        <f t="shared" si="3"/>
        <v>01</v>
      </c>
      <c r="S9" s="3" t="s">
        <v>39</v>
      </c>
      <c r="T9" s="3" t="s">
        <v>40</v>
      </c>
      <c r="U9" s="9" t="s">
        <v>63</v>
      </c>
      <c r="V9" s="3" t="s">
        <v>64</v>
      </c>
      <c r="W9" s="3" t="s">
        <v>65</v>
      </c>
      <c r="X9" s="2">
        <f t="shared" si="4"/>
        <v>46143</v>
      </c>
      <c r="Y9" s="73">
        <f t="shared" si="0"/>
        <v>37</v>
      </c>
      <c r="Z9" s="18">
        <v>46143</v>
      </c>
      <c r="AA9" s="3"/>
      <c r="AB9" s="3"/>
      <c r="AF9" t="str">
        <f t="shared" si="1"/>
        <v>Closed in May</v>
      </c>
    </row>
    <row r="10" spans="1:32" hidden="1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31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2"/>
        <v>23</v>
      </c>
      <c r="R10" s="53" t="str">
        <f t="shared" si="3"/>
        <v>01</v>
      </c>
      <c r="S10" s="3" t="s">
        <v>39</v>
      </c>
      <c r="T10" s="3" t="s">
        <v>40</v>
      </c>
      <c r="U10" s="9" t="s">
        <v>69</v>
      </c>
      <c r="V10" s="3" t="s">
        <v>64</v>
      </c>
      <c r="W10" s="3" t="s">
        <v>65</v>
      </c>
      <c r="X10" s="2">
        <f t="shared" si="4"/>
        <v>46143</v>
      </c>
      <c r="Y10" s="73">
        <f t="shared" si="0"/>
        <v>37</v>
      </c>
      <c r="Z10" s="18">
        <v>46143</v>
      </c>
      <c r="AA10" s="3"/>
      <c r="AB10" s="3"/>
      <c r="AF10" t="str">
        <f t="shared" si="1"/>
        <v>Closed in May</v>
      </c>
    </row>
    <row r="11" spans="1:32" hidden="1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31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2"/>
        <v>22</v>
      </c>
      <c r="R11" s="53" t="str">
        <f t="shared" si="3"/>
        <v>12</v>
      </c>
      <c r="S11" s="3" t="s">
        <v>39</v>
      </c>
      <c r="T11" s="3" t="s">
        <v>40</v>
      </c>
      <c r="U11" s="9" t="s">
        <v>63</v>
      </c>
      <c r="V11" s="3" t="s">
        <v>64</v>
      </c>
      <c r="W11" s="3" t="s">
        <v>65</v>
      </c>
      <c r="X11" s="2">
        <f t="shared" si="4"/>
        <v>46143</v>
      </c>
      <c r="Y11" s="73">
        <f t="shared" si="0"/>
        <v>37</v>
      </c>
      <c r="Z11" s="18">
        <v>46143</v>
      </c>
      <c r="AA11" s="3"/>
      <c r="AB11" s="3"/>
      <c r="AF11" t="str">
        <f t="shared" si="1"/>
        <v>Closed in May</v>
      </c>
    </row>
    <row r="12" spans="1:32" hidden="1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31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2"/>
        <v>22</v>
      </c>
      <c r="R12" s="53" t="str">
        <f t="shared" si="3"/>
        <v>12</v>
      </c>
      <c r="S12" s="3" t="s">
        <v>39</v>
      </c>
      <c r="T12" s="3" t="s">
        <v>40</v>
      </c>
      <c r="U12" s="9" t="s">
        <v>63</v>
      </c>
      <c r="V12" s="3" t="s">
        <v>64</v>
      </c>
      <c r="W12" s="3" t="s">
        <v>65</v>
      </c>
      <c r="X12" s="2">
        <f t="shared" si="4"/>
        <v>46143</v>
      </c>
      <c r="Y12" s="73">
        <f t="shared" si="0"/>
        <v>37</v>
      </c>
      <c r="Z12" s="18">
        <v>46143</v>
      </c>
      <c r="AA12" s="3"/>
      <c r="AB12" s="3"/>
      <c r="AF12" t="str">
        <f t="shared" si="1"/>
        <v>Closed in May</v>
      </c>
    </row>
    <row r="13" spans="1:32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2"/>
        <v>22</v>
      </c>
      <c r="R13" s="53" t="str">
        <f t="shared" si="3"/>
        <v>12</v>
      </c>
      <c r="S13" s="3" t="s">
        <v>39</v>
      </c>
      <c r="T13" s="3" t="s">
        <v>40</v>
      </c>
      <c r="U13" s="9" t="s">
        <v>63</v>
      </c>
      <c r="V13" s="3" t="s">
        <v>64</v>
      </c>
      <c r="W13" s="3" t="s">
        <v>3134</v>
      </c>
      <c r="X13" s="3"/>
      <c r="Y13" s="73" t="str">
        <f t="shared" si="0"/>
        <v/>
      </c>
      <c r="Z13" s="18">
        <v>46143</v>
      </c>
      <c r="AA13" s="3"/>
      <c r="AB13" s="3"/>
      <c r="AF13" t="str">
        <f t="shared" si="1"/>
        <v>Other</v>
      </c>
    </row>
    <row r="14" spans="1:32" hidden="1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31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2"/>
        <v>22</v>
      </c>
      <c r="R14" s="53" t="str">
        <f t="shared" si="3"/>
        <v>12</v>
      </c>
      <c r="S14" s="3" t="s">
        <v>39</v>
      </c>
      <c r="T14" s="3" t="s">
        <v>40</v>
      </c>
      <c r="U14" s="9" t="s">
        <v>63</v>
      </c>
      <c r="V14" s="3" t="s">
        <v>64</v>
      </c>
      <c r="W14" s="3" t="s">
        <v>65</v>
      </c>
      <c r="X14" s="2">
        <f t="shared" ref="X14:X35" si="5">Z14</f>
        <v>46143</v>
      </c>
      <c r="Y14" s="73">
        <f t="shared" si="0"/>
        <v>37</v>
      </c>
      <c r="Z14" s="18">
        <v>46143</v>
      </c>
      <c r="AA14" s="3"/>
      <c r="AB14" s="3"/>
      <c r="AF14" t="str">
        <f t="shared" si="1"/>
        <v>Closed in May</v>
      </c>
    </row>
    <row r="15" spans="1:32" hidden="1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31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2"/>
        <v>22</v>
      </c>
      <c r="R15" s="53" t="str">
        <f t="shared" si="3"/>
        <v>12</v>
      </c>
      <c r="S15" s="3" t="s">
        <v>39</v>
      </c>
      <c r="T15" s="3" t="s">
        <v>40</v>
      </c>
      <c r="U15" s="9" t="s">
        <v>63</v>
      </c>
      <c r="V15" s="3" t="s">
        <v>64</v>
      </c>
      <c r="W15" s="3" t="s">
        <v>65</v>
      </c>
      <c r="X15" s="2">
        <f t="shared" si="5"/>
        <v>46143</v>
      </c>
      <c r="Y15" s="73">
        <f t="shared" si="0"/>
        <v>37</v>
      </c>
      <c r="Z15" s="18">
        <v>46143</v>
      </c>
      <c r="AA15" s="3"/>
      <c r="AB15" s="3"/>
      <c r="AF15" t="str">
        <f t="shared" si="1"/>
        <v>Closed in May</v>
      </c>
    </row>
    <row r="16" spans="1:32" hidden="1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31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2"/>
        <v>22</v>
      </c>
      <c r="R16" s="53" t="str">
        <f t="shared" si="3"/>
        <v>12</v>
      </c>
      <c r="S16" s="3" t="s">
        <v>39</v>
      </c>
      <c r="T16" s="3" t="s">
        <v>40</v>
      </c>
      <c r="U16" s="9" t="s">
        <v>63</v>
      </c>
      <c r="V16" s="3" t="s">
        <v>64</v>
      </c>
      <c r="W16" s="3" t="s">
        <v>65</v>
      </c>
      <c r="X16" s="2">
        <f t="shared" si="5"/>
        <v>46143</v>
      </c>
      <c r="Y16" s="73">
        <f t="shared" si="0"/>
        <v>37</v>
      </c>
      <c r="Z16" s="18">
        <v>46143</v>
      </c>
      <c r="AA16" s="3"/>
      <c r="AB16" s="3"/>
      <c r="AF16" t="str">
        <f t="shared" si="1"/>
        <v>Closed in May</v>
      </c>
    </row>
    <row r="17" spans="1:32" hidden="1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31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2"/>
        <v>22</v>
      </c>
      <c r="R17" s="53" t="str">
        <f t="shared" si="3"/>
        <v>12</v>
      </c>
      <c r="S17" s="3" t="s">
        <v>39</v>
      </c>
      <c r="T17" s="3" t="s">
        <v>40</v>
      </c>
      <c r="U17" s="9" t="s">
        <v>63</v>
      </c>
      <c r="V17" s="3" t="s">
        <v>64</v>
      </c>
      <c r="W17" s="3" t="s">
        <v>65</v>
      </c>
      <c r="X17" s="2">
        <f t="shared" si="5"/>
        <v>46143</v>
      </c>
      <c r="Y17" s="73">
        <f t="shared" si="0"/>
        <v>37</v>
      </c>
      <c r="Z17" s="18">
        <v>46143</v>
      </c>
      <c r="AA17" s="3"/>
      <c r="AB17" s="3"/>
      <c r="AF17" t="str">
        <f t="shared" si="1"/>
        <v>Closed in May</v>
      </c>
    </row>
    <row r="18" spans="1:32" hidden="1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31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2"/>
        <v>23</v>
      </c>
      <c r="R18" s="53" t="str">
        <f t="shared" si="3"/>
        <v>01</v>
      </c>
      <c r="S18" s="3" t="s">
        <v>39</v>
      </c>
      <c r="T18" s="3" t="s">
        <v>40</v>
      </c>
      <c r="U18" s="9" t="s">
        <v>63</v>
      </c>
      <c r="V18" s="3" t="s">
        <v>64</v>
      </c>
      <c r="W18" s="3" t="s">
        <v>65</v>
      </c>
      <c r="X18" s="2">
        <f t="shared" si="5"/>
        <v>46143</v>
      </c>
      <c r="Y18" s="73">
        <f t="shared" si="0"/>
        <v>37</v>
      </c>
      <c r="Z18" s="18">
        <v>46143</v>
      </c>
      <c r="AA18" s="3"/>
      <c r="AB18" s="3"/>
      <c r="AF18" t="str">
        <f t="shared" si="1"/>
        <v>Closed in May</v>
      </c>
    </row>
    <row r="19" spans="1:32" hidden="1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31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2"/>
        <v>23</v>
      </c>
      <c r="R19" s="53" t="str">
        <f t="shared" si="3"/>
        <v>01</v>
      </c>
      <c r="S19" s="3" t="s">
        <v>39</v>
      </c>
      <c r="T19" s="3" t="s">
        <v>40</v>
      </c>
      <c r="U19" s="9" t="s">
        <v>69</v>
      </c>
      <c r="V19" s="3" t="s">
        <v>64</v>
      </c>
      <c r="W19" s="3" t="s">
        <v>65</v>
      </c>
      <c r="X19" s="2">
        <f t="shared" si="5"/>
        <v>46143</v>
      </c>
      <c r="Y19" s="73">
        <f t="shared" si="0"/>
        <v>37</v>
      </c>
      <c r="Z19" s="18">
        <v>46143</v>
      </c>
      <c r="AA19" s="3"/>
      <c r="AB19" s="3"/>
      <c r="AF19" t="str">
        <f t="shared" si="1"/>
        <v>Closed in May</v>
      </c>
    </row>
    <row r="20" spans="1:32" hidden="1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31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2"/>
        <v>22</v>
      </c>
      <c r="R20" s="53" t="str">
        <f t="shared" si="3"/>
        <v>12</v>
      </c>
      <c r="S20" s="3" t="s">
        <v>39</v>
      </c>
      <c r="T20" s="3" t="s">
        <v>40</v>
      </c>
      <c r="U20" s="9" t="s">
        <v>63</v>
      </c>
      <c r="V20" s="3" t="s">
        <v>64</v>
      </c>
      <c r="W20" s="3" t="s">
        <v>65</v>
      </c>
      <c r="X20" s="2">
        <f t="shared" si="5"/>
        <v>46143</v>
      </c>
      <c r="Y20" s="73">
        <f t="shared" si="0"/>
        <v>37</v>
      </c>
      <c r="Z20" s="18">
        <v>46143</v>
      </c>
      <c r="AA20" s="3"/>
      <c r="AB20" s="3"/>
      <c r="AF20" t="str">
        <f t="shared" si="1"/>
        <v>Closed in May</v>
      </c>
    </row>
    <row r="21" spans="1:32" hidden="1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31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2"/>
        <v>22</v>
      </c>
      <c r="R21" s="53" t="str">
        <f t="shared" si="3"/>
        <v>12</v>
      </c>
      <c r="S21" s="3" t="s">
        <v>39</v>
      </c>
      <c r="T21" s="3" t="s">
        <v>40</v>
      </c>
      <c r="U21" s="9" t="s">
        <v>63</v>
      </c>
      <c r="V21" s="3" t="s">
        <v>64</v>
      </c>
      <c r="W21" s="3" t="s">
        <v>65</v>
      </c>
      <c r="X21" s="2">
        <f t="shared" si="5"/>
        <v>46143</v>
      </c>
      <c r="Y21" s="73">
        <f t="shared" si="0"/>
        <v>37</v>
      </c>
      <c r="Z21" s="18">
        <v>46143</v>
      </c>
      <c r="AA21" s="3"/>
      <c r="AB21" s="3"/>
      <c r="AF21" t="str">
        <f t="shared" si="1"/>
        <v>Closed in May</v>
      </c>
    </row>
    <row r="22" spans="1:32" hidden="1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31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2"/>
        <v>22</v>
      </c>
      <c r="R22" s="53" t="str">
        <f t="shared" si="3"/>
        <v>12</v>
      </c>
      <c r="S22" s="3" t="s">
        <v>39</v>
      </c>
      <c r="T22" s="3" t="s">
        <v>40</v>
      </c>
      <c r="U22" s="9" t="s">
        <v>69</v>
      </c>
      <c r="V22" s="3" t="s">
        <v>64</v>
      </c>
      <c r="W22" s="3" t="s">
        <v>65</v>
      </c>
      <c r="X22" s="2">
        <f t="shared" si="5"/>
        <v>46143</v>
      </c>
      <c r="Y22" s="73">
        <f t="shared" si="0"/>
        <v>37</v>
      </c>
      <c r="Z22" s="18">
        <v>46143</v>
      </c>
      <c r="AA22" s="3"/>
      <c r="AB22" s="3"/>
      <c r="AF22" t="str">
        <f t="shared" si="1"/>
        <v>Closed in May</v>
      </c>
    </row>
    <row r="23" spans="1:32" hidden="1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31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2"/>
        <v>22</v>
      </c>
      <c r="R23" s="53" t="str">
        <f t="shared" si="3"/>
        <v>12</v>
      </c>
      <c r="S23" s="3" t="s">
        <v>39</v>
      </c>
      <c r="T23" s="3" t="s">
        <v>40</v>
      </c>
      <c r="U23" s="9" t="s">
        <v>69</v>
      </c>
      <c r="V23" s="3" t="s">
        <v>64</v>
      </c>
      <c r="W23" s="3" t="s">
        <v>65</v>
      </c>
      <c r="X23" s="2">
        <f t="shared" si="5"/>
        <v>46143</v>
      </c>
      <c r="Y23" s="73">
        <f t="shared" si="0"/>
        <v>37</v>
      </c>
      <c r="Z23" s="18">
        <v>46143</v>
      </c>
      <c r="AA23" s="3"/>
      <c r="AB23" s="3"/>
      <c r="AF23" t="str">
        <f t="shared" si="1"/>
        <v>Closed in May</v>
      </c>
    </row>
    <row r="24" spans="1:32" hidden="1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31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2"/>
        <v>22</v>
      </c>
      <c r="R24" s="53" t="str">
        <f t="shared" si="3"/>
        <v>12</v>
      </c>
      <c r="S24" s="3" t="s">
        <v>39</v>
      </c>
      <c r="T24" s="3" t="s">
        <v>40</v>
      </c>
      <c r="U24" s="9" t="s">
        <v>69</v>
      </c>
      <c r="V24" s="3" t="s">
        <v>64</v>
      </c>
      <c r="W24" s="3" t="s">
        <v>65</v>
      </c>
      <c r="X24" s="2">
        <f t="shared" si="5"/>
        <v>46143</v>
      </c>
      <c r="Y24" s="73">
        <f t="shared" si="0"/>
        <v>37</v>
      </c>
      <c r="Z24" s="18">
        <v>46143</v>
      </c>
      <c r="AA24" s="3"/>
      <c r="AB24" s="3"/>
      <c r="AF24" t="str">
        <f t="shared" si="1"/>
        <v>Closed in May</v>
      </c>
    </row>
    <row r="25" spans="1:32" hidden="1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31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2"/>
        <v>22</v>
      </c>
      <c r="R25" s="53" t="str">
        <f t="shared" si="3"/>
        <v>12</v>
      </c>
      <c r="S25" s="3" t="s">
        <v>39</v>
      </c>
      <c r="T25" s="3" t="s">
        <v>40</v>
      </c>
      <c r="U25" s="9" t="s">
        <v>69</v>
      </c>
      <c r="V25" s="3" t="s">
        <v>64</v>
      </c>
      <c r="W25" s="3" t="s">
        <v>65</v>
      </c>
      <c r="X25" s="2">
        <f t="shared" si="5"/>
        <v>46143</v>
      </c>
      <c r="Y25" s="73">
        <f t="shared" si="0"/>
        <v>37</v>
      </c>
      <c r="Z25" s="18">
        <v>46143</v>
      </c>
      <c r="AA25" s="3"/>
      <c r="AB25" s="3"/>
      <c r="AF25" t="str">
        <f t="shared" si="1"/>
        <v>Closed in May</v>
      </c>
    </row>
    <row r="26" spans="1:32" hidden="1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31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2"/>
        <v>22</v>
      </c>
      <c r="R26" s="53" t="str">
        <f t="shared" si="3"/>
        <v>12</v>
      </c>
      <c r="S26" s="3" t="s">
        <v>39</v>
      </c>
      <c r="T26" s="3" t="s">
        <v>40</v>
      </c>
      <c r="U26" s="9" t="s">
        <v>63</v>
      </c>
      <c r="V26" s="3" t="s">
        <v>64</v>
      </c>
      <c r="W26" s="3" t="s">
        <v>65</v>
      </c>
      <c r="X26" s="2">
        <f t="shared" si="5"/>
        <v>46143</v>
      </c>
      <c r="Y26" s="73">
        <f t="shared" si="0"/>
        <v>37</v>
      </c>
      <c r="Z26" s="18">
        <v>46143</v>
      </c>
      <c r="AA26" s="3"/>
      <c r="AB26" s="3"/>
      <c r="AF26" t="str">
        <f t="shared" si="1"/>
        <v>Closed in May</v>
      </c>
    </row>
    <row r="27" spans="1:32" hidden="1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31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2"/>
        <v>22</v>
      </c>
      <c r="R27" s="53" t="str">
        <f t="shared" si="3"/>
        <v>12</v>
      </c>
      <c r="S27" s="3" t="s">
        <v>39</v>
      </c>
      <c r="T27" s="3" t="s">
        <v>40</v>
      </c>
      <c r="U27" s="9" t="s">
        <v>69</v>
      </c>
      <c r="V27" s="3" t="s">
        <v>64</v>
      </c>
      <c r="W27" s="3" t="s">
        <v>65</v>
      </c>
      <c r="X27" s="2">
        <f t="shared" si="5"/>
        <v>46143</v>
      </c>
      <c r="Y27" s="73">
        <f t="shared" si="0"/>
        <v>37</v>
      </c>
      <c r="Z27" s="18">
        <v>46143</v>
      </c>
      <c r="AA27" s="3"/>
      <c r="AB27" s="3"/>
      <c r="AF27" t="str">
        <f t="shared" si="1"/>
        <v>Closed in May</v>
      </c>
    </row>
    <row r="28" spans="1:32" hidden="1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31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2"/>
        <v>22</v>
      </c>
      <c r="R28" s="53" t="str">
        <f t="shared" si="3"/>
        <v>12</v>
      </c>
      <c r="S28" s="3" t="s">
        <v>39</v>
      </c>
      <c r="T28" s="3" t="s">
        <v>40</v>
      </c>
      <c r="U28" s="9" t="s">
        <v>69</v>
      </c>
      <c r="V28" s="3" t="s">
        <v>64</v>
      </c>
      <c r="W28" s="3" t="s">
        <v>65</v>
      </c>
      <c r="X28" s="2">
        <f t="shared" si="5"/>
        <v>46143</v>
      </c>
      <c r="Y28" s="73">
        <f t="shared" si="0"/>
        <v>37</v>
      </c>
      <c r="Z28" s="18">
        <v>46143</v>
      </c>
      <c r="AA28" s="3"/>
      <c r="AB28" s="3"/>
      <c r="AF28" t="str">
        <f t="shared" si="1"/>
        <v>Closed in May</v>
      </c>
    </row>
    <row r="29" spans="1:32" hidden="1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31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2"/>
        <v>22</v>
      </c>
      <c r="R29" s="53" t="str">
        <f t="shared" si="3"/>
        <v>12</v>
      </c>
      <c r="S29" s="3" t="s">
        <v>39</v>
      </c>
      <c r="T29" s="3" t="s">
        <v>40</v>
      </c>
      <c r="U29" s="9" t="s">
        <v>69</v>
      </c>
      <c r="V29" s="3" t="s">
        <v>64</v>
      </c>
      <c r="W29" s="3" t="s">
        <v>65</v>
      </c>
      <c r="X29" s="2">
        <f t="shared" si="5"/>
        <v>46144</v>
      </c>
      <c r="Y29" s="73">
        <f t="shared" si="0"/>
        <v>38</v>
      </c>
      <c r="Z29" s="18">
        <v>46144</v>
      </c>
      <c r="AA29" s="3"/>
      <c r="AB29" s="3"/>
      <c r="AF29" t="str">
        <f t="shared" si="1"/>
        <v>Closed in May</v>
      </c>
    </row>
    <row r="30" spans="1:32" hidden="1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31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2"/>
        <v>22</v>
      </c>
      <c r="R30" s="53" t="str">
        <f t="shared" si="3"/>
        <v>12</v>
      </c>
      <c r="S30" s="3" t="s">
        <v>39</v>
      </c>
      <c r="T30" s="3" t="s">
        <v>40</v>
      </c>
      <c r="U30" s="9" t="s">
        <v>69</v>
      </c>
      <c r="V30" s="3" t="s">
        <v>64</v>
      </c>
      <c r="W30" s="3" t="s">
        <v>65</v>
      </c>
      <c r="X30" s="2">
        <f t="shared" si="5"/>
        <v>46144</v>
      </c>
      <c r="Y30" s="73">
        <f t="shared" si="0"/>
        <v>38</v>
      </c>
      <c r="Z30" s="18">
        <v>46144</v>
      </c>
      <c r="AA30" s="3"/>
      <c r="AB30" s="3"/>
      <c r="AF30" t="str">
        <f t="shared" si="1"/>
        <v>Closed in May</v>
      </c>
    </row>
    <row r="31" spans="1:32" hidden="1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31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2"/>
        <v>22</v>
      </c>
      <c r="R31" s="53" t="str">
        <f t="shared" si="3"/>
        <v>12</v>
      </c>
      <c r="S31" s="3" t="s">
        <v>39</v>
      </c>
      <c r="T31" s="3" t="s">
        <v>40</v>
      </c>
      <c r="U31" s="9" t="s">
        <v>69</v>
      </c>
      <c r="V31" s="3" t="s">
        <v>64</v>
      </c>
      <c r="W31" s="3" t="s">
        <v>65</v>
      </c>
      <c r="X31" s="2">
        <f t="shared" si="5"/>
        <v>46144</v>
      </c>
      <c r="Y31" s="73">
        <f t="shared" si="0"/>
        <v>38</v>
      </c>
      <c r="Z31" s="18">
        <v>46144</v>
      </c>
      <c r="AA31" s="3"/>
      <c r="AB31" s="3"/>
      <c r="AD31">
        <f>COUNTIF(W:W,"WIP")</f>
        <v>0</v>
      </c>
      <c r="AF31" t="str">
        <f t="shared" si="1"/>
        <v>Closed in May</v>
      </c>
    </row>
    <row r="32" spans="1:32" hidden="1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31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2"/>
        <v>22</v>
      </c>
      <c r="R32" s="53" t="str">
        <f t="shared" si="3"/>
        <v>12</v>
      </c>
      <c r="S32" s="3" t="s">
        <v>39</v>
      </c>
      <c r="T32" s="3" t="s">
        <v>40</v>
      </c>
      <c r="U32" s="9" t="s">
        <v>69</v>
      </c>
      <c r="V32" s="3" t="s">
        <v>64</v>
      </c>
      <c r="W32" s="3" t="s">
        <v>65</v>
      </c>
      <c r="X32" s="2">
        <f t="shared" si="5"/>
        <v>46144</v>
      </c>
      <c r="Y32" s="73">
        <f t="shared" si="0"/>
        <v>38</v>
      </c>
      <c r="Z32" s="18">
        <v>46144</v>
      </c>
      <c r="AA32" s="3"/>
      <c r="AB32" s="3"/>
      <c r="AF32" t="str">
        <f t="shared" si="1"/>
        <v>Closed in May</v>
      </c>
    </row>
    <row r="33" spans="1:42" hidden="1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31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2"/>
        <v>22</v>
      </c>
      <c r="R33" s="53" t="str">
        <f t="shared" si="3"/>
        <v>12</v>
      </c>
      <c r="S33" s="3" t="s">
        <v>39</v>
      </c>
      <c r="T33" s="3" t="s">
        <v>40</v>
      </c>
      <c r="U33" s="9" t="s">
        <v>69</v>
      </c>
      <c r="V33" s="3" t="s">
        <v>64</v>
      </c>
      <c r="W33" s="3" t="s">
        <v>65</v>
      </c>
      <c r="X33" s="2">
        <f t="shared" si="5"/>
        <v>46144</v>
      </c>
      <c r="Y33" s="73">
        <f t="shared" si="0"/>
        <v>38</v>
      </c>
      <c r="Z33" s="18">
        <v>46144</v>
      </c>
      <c r="AA33" s="3"/>
      <c r="AB33" s="3"/>
      <c r="AF33" t="str">
        <f t="shared" si="1"/>
        <v>Closed in May</v>
      </c>
    </row>
    <row r="34" spans="1:42" hidden="1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31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2"/>
        <v>23</v>
      </c>
      <c r="R34" s="53" t="str">
        <f t="shared" si="3"/>
        <v>01</v>
      </c>
      <c r="S34" s="3" t="s">
        <v>39</v>
      </c>
      <c r="T34" s="3" t="s">
        <v>40</v>
      </c>
      <c r="U34" s="9" t="s">
        <v>63</v>
      </c>
      <c r="V34" s="3" t="s">
        <v>64</v>
      </c>
      <c r="W34" s="3" t="s">
        <v>65</v>
      </c>
      <c r="X34" s="2">
        <f t="shared" si="5"/>
        <v>46144</v>
      </c>
      <c r="Y34" s="73">
        <f t="shared" si="0"/>
        <v>38</v>
      </c>
      <c r="Z34" s="18">
        <v>46144</v>
      </c>
      <c r="AA34" s="3"/>
      <c r="AB34" s="3"/>
      <c r="AF34" t="str">
        <f t="shared" si="1"/>
        <v>Closed in May</v>
      </c>
    </row>
    <row r="35" spans="1:42" hidden="1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31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2"/>
        <v>22</v>
      </c>
      <c r="R35" s="53" t="str">
        <f t="shared" si="3"/>
        <v>12</v>
      </c>
      <c r="S35" s="3" t="s">
        <v>39</v>
      </c>
      <c r="T35" s="3" t="s">
        <v>40</v>
      </c>
      <c r="U35" s="9" t="s">
        <v>63</v>
      </c>
      <c r="V35" s="3" t="s">
        <v>64</v>
      </c>
      <c r="W35" s="3" t="s">
        <v>65</v>
      </c>
      <c r="X35" s="2">
        <f t="shared" si="5"/>
        <v>46144</v>
      </c>
      <c r="Y35" s="73">
        <f t="shared" si="0"/>
        <v>38</v>
      </c>
      <c r="Z35" s="18">
        <v>46144</v>
      </c>
      <c r="AA35" s="3"/>
      <c r="AB35" s="3"/>
      <c r="AF35" t="str">
        <f t="shared" si="1"/>
        <v>Closed in May</v>
      </c>
    </row>
    <row r="36" spans="1:42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2"/>
        <v>22</v>
      </c>
      <c r="R36" s="53" t="str">
        <f t="shared" si="3"/>
        <v>12</v>
      </c>
      <c r="S36" s="3" t="s">
        <v>39</v>
      </c>
      <c r="T36" s="3" t="s">
        <v>40</v>
      </c>
      <c r="U36" s="9" t="s">
        <v>63</v>
      </c>
      <c r="V36" s="3" t="s">
        <v>64</v>
      </c>
      <c r="W36" s="3" t="s">
        <v>3134</v>
      </c>
      <c r="X36" s="15"/>
      <c r="Y36" s="73" t="str">
        <f t="shared" si="0"/>
        <v/>
      </c>
      <c r="Z36" s="18">
        <v>46144</v>
      </c>
      <c r="AA36" s="3"/>
      <c r="AB36" s="3"/>
      <c r="AF36" t="str">
        <f t="shared" si="1"/>
        <v>Other</v>
      </c>
    </row>
    <row r="37" spans="1:42" hidden="1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31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6">MID(P37,5,2)</f>
        <v>23</v>
      </c>
      <c r="R37" s="53" t="str">
        <f t="shared" ref="R37:R68" si="7">MID(P37,7,2)</f>
        <v>01</v>
      </c>
      <c r="S37" s="3" t="s">
        <v>39</v>
      </c>
      <c r="T37" s="3" t="s">
        <v>40</v>
      </c>
      <c r="U37" s="9" t="s">
        <v>69</v>
      </c>
      <c r="V37" s="3" t="s">
        <v>64</v>
      </c>
      <c r="W37" s="3" t="s">
        <v>65</v>
      </c>
      <c r="X37" s="2">
        <f t="shared" ref="X37:X48" si="8">Z37</f>
        <v>46144</v>
      </c>
      <c r="Y37" s="73">
        <f t="shared" si="0"/>
        <v>38</v>
      </c>
      <c r="Z37" s="18">
        <v>46144</v>
      </c>
      <c r="AA37" s="3"/>
      <c r="AB37" s="3"/>
      <c r="AF37" t="str">
        <f t="shared" si="1"/>
        <v>Closed in May</v>
      </c>
    </row>
    <row r="38" spans="1:42" hidden="1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31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6"/>
        <v>22</v>
      </c>
      <c r="R38" s="53" t="str">
        <f t="shared" si="7"/>
        <v>12</v>
      </c>
      <c r="S38" s="3" t="s">
        <v>39</v>
      </c>
      <c r="T38" s="3" t="s">
        <v>40</v>
      </c>
      <c r="U38" s="9" t="s">
        <v>69</v>
      </c>
      <c r="V38" s="3" t="s">
        <v>64</v>
      </c>
      <c r="W38" s="3" t="s">
        <v>65</v>
      </c>
      <c r="X38" s="2">
        <f t="shared" si="8"/>
        <v>46144</v>
      </c>
      <c r="Y38" s="73">
        <f t="shared" si="0"/>
        <v>38</v>
      </c>
      <c r="Z38" s="18">
        <v>46144</v>
      </c>
      <c r="AA38" s="3"/>
      <c r="AB38" s="3"/>
      <c r="AF38" t="str">
        <f t="shared" si="1"/>
        <v>Closed in May</v>
      </c>
    </row>
    <row r="39" spans="1:42" hidden="1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31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6"/>
        <v>23</v>
      </c>
      <c r="R39" s="53" t="str">
        <f t="shared" si="7"/>
        <v>01</v>
      </c>
      <c r="S39" s="3" t="s">
        <v>39</v>
      </c>
      <c r="T39" s="3" t="s">
        <v>40</v>
      </c>
      <c r="U39" s="9" t="s">
        <v>63</v>
      </c>
      <c r="V39" s="3" t="s">
        <v>64</v>
      </c>
      <c r="W39" s="3" t="s">
        <v>65</v>
      </c>
      <c r="X39" s="2">
        <f t="shared" si="8"/>
        <v>46144</v>
      </c>
      <c r="Y39" s="73">
        <f t="shared" si="0"/>
        <v>38</v>
      </c>
      <c r="Z39" s="18">
        <v>46144</v>
      </c>
      <c r="AA39" s="3"/>
      <c r="AB39" s="3"/>
      <c r="AF39" t="str">
        <f t="shared" si="1"/>
        <v>Closed in May</v>
      </c>
    </row>
    <row r="40" spans="1:42" hidden="1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31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6"/>
        <v>22</v>
      </c>
      <c r="R40" s="53" t="str">
        <f t="shared" si="7"/>
        <v>12</v>
      </c>
      <c r="S40" s="3" t="s">
        <v>39</v>
      </c>
      <c r="T40" s="3" t="s">
        <v>40</v>
      </c>
      <c r="U40" s="9" t="s">
        <v>63</v>
      </c>
      <c r="V40" s="3" t="s">
        <v>64</v>
      </c>
      <c r="W40" s="3" t="s">
        <v>65</v>
      </c>
      <c r="X40" s="2">
        <f t="shared" si="8"/>
        <v>46144</v>
      </c>
      <c r="Y40" s="73">
        <f t="shared" si="0"/>
        <v>38</v>
      </c>
      <c r="Z40" s="18">
        <v>46144</v>
      </c>
      <c r="AA40" s="3"/>
      <c r="AB40" s="3"/>
      <c r="AF40" t="str">
        <f t="shared" si="1"/>
        <v>Closed in May</v>
      </c>
    </row>
    <row r="41" spans="1:42" hidden="1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31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6"/>
        <v>22</v>
      </c>
      <c r="R41" s="53" t="str">
        <f t="shared" si="7"/>
        <v>12</v>
      </c>
      <c r="S41" s="3" t="s">
        <v>39</v>
      </c>
      <c r="T41" s="3" t="s">
        <v>40</v>
      </c>
      <c r="U41" s="9" t="s">
        <v>63</v>
      </c>
      <c r="V41" s="3" t="s">
        <v>64</v>
      </c>
      <c r="W41" s="3" t="s">
        <v>65</v>
      </c>
      <c r="X41" s="2">
        <f t="shared" si="8"/>
        <v>46144</v>
      </c>
      <c r="Y41" s="73">
        <f t="shared" si="0"/>
        <v>38</v>
      </c>
      <c r="Z41" s="18">
        <v>46144</v>
      </c>
      <c r="AA41" s="3"/>
      <c r="AB41" s="3"/>
      <c r="AF41" t="str">
        <f t="shared" si="1"/>
        <v>Closed in May</v>
      </c>
    </row>
    <row r="42" spans="1:42" hidden="1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31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6"/>
        <v>22</v>
      </c>
      <c r="R42" s="53" t="str">
        <f t="shared" si="7"/>
        <v>12</v>
      </c>
      <c r="S42" s="3" t="s">
        <v>39</v>
      </c>
      <c r="T42" s="3" t="s">
        <v>40</v>
      </c>
      <c r="U42" s="9" t="s">
        <v>63</v>
      </c>
      <c r="V42" s="3" t="s">
        <v>64</v>
      </c>
      <c r="W42" s="3" t="s">
        <v>65</v>
      </c>
      <c r="X42" s="2">
        <f t="shared" si="8"/>
        <v>46144</v>
      </c>
      <c r="Y42" s="73">
        <f t="shared" si="0"/>
        <v>38</v>
      </c>
      <c r="Z42" s="18">
        <v>46144</v>
      </c>
      <c r="AA42" s="3"/>
      <c r="AB42" s="3"/>
      <c r="AF42" t="str">
        <f t="shared" si="1"/>
        <v>Closed in May</v>
      </c>
    </row>
    <row r="43" spans="1:42" hidden="1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31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6"/>
        <v>22</v>
      </c>
      <c r="R43" s="53" t="str">
        <f t="shared" si="7"/>
        <v>12</v>
      </c>
      <c r="S43" s="3" t="s">
        <v>39</v>
      </c>
      <c r="T43" s="3" t="s">
        <v>40</v>
      </c>
      <c r="U43" s="9" t="s">
        <v>63</v>
      </c>
      <c r="V43" s="3" t="s">
        <v>64</v>
      </c>
      <c r="W43" s="3" t="s">
        <v>65</v>
      </c>
      <c r="X43" s="2">
        <f t="shared" si="8"/>
        <v>46144</v>
      </c>
      <c r="Y43" s="73">
        <f t="shared" si="0"/>
        <v>38</v>
      </c>
      <c r="Z43" s="18">
        <v>46144</v>
      </c>
      <c r="AA43" s="3"/>
      <c r="AB43" s="3"/>
      <c r="AF43" t="str">
        <f t="shared" si="1"/>
        <v>Closed in May</v>
      </c>
    </row>
    <row r="44" spans="1:42" hidden="1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31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6"/>
        <v>22</v>
      </c>
      <c r="R44" s="53" t="str">
        <f t="shared" si="7"/>
        <v>12</v>
      </c>
      <c r="S44" s="3" t="s">
        <v>39</v>
      </c>
      <c r="T44" s="3" t="s">
        <v>40</v>
      </c>
      <c r="U44" s="9" t="s">
        <v>69</v>
      </c>
      <c r="V44" s="3" t="s">
        <v>64</v>
      </c>
      <c r="W44" s="3" t="s">
        <v>65</v>
      </c>
      <c r="X44" s="2">
        <f t="shared" si="8"/>
        <v>46144</v>
      </c>
      <c r="Y44" s="73">
        <f t="shared" si="0"/>
        <v>38</v>
      </c>
      <c r="Z44" s="18">
        <v>46144</v>
      </c>
      <c r="AA44" s="3"/>
      <c r="AB44" s="3"/>
      <c r="AF44" t="str">
        <f t="shared" si="1"/>
        <v>Closed in May</v>
      </c>
    </row>
    <row r="45" spans="1:42" hidden="1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31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6"/>
        <v>22</v>
      </c>
      <c r="R45" s="53" t="str">
        <f t="shared" si="7"/>
        <v>12</v>
      </c>
      <c r="S45" s="3" t="s">
        <v>39</v>
      </c>
      <c r="T45" s="3" t="s">
        <v>40</v>
      </c>
      <c r="U45" s="9" t="s">
        <v>69</v>
      </c>
      <c r="V45" s="3" t="s">
        <v>64</v>
      </c>
      <c r="W45" s="3" t="s">
        <v>65</v>
      </c>
      <c r="X45" s="2">
        <f t="shared" si="8"/>
        <v>46144</v>
      </c>
      <c r="Y45" s="73">
        <f t="shared" si="0"/>
        <v>38</v>
      </c>
      <c r="Z45" s="18">
        <v>46144</v>
      </c>
      <c r="AA45" s="3"/>
      <c r="AB45" s="3"/>
      <c r="AF45" t="str">
        <f t="shared" si="1"/>
        <v>Closed in May</v>
      </c>
    </row>
    <row r="46" spans="1:42" hidden="1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31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6"/>
        <v>22</v>
      </c>
      <c r="R46" s="53" t="str">
        <f t="shared" si="7"/>
        <v>12</v>
      </c>
      <c r="S46" s="3" t="s">
        <v>39</v>
      </c>
      <c r="T46" s="3" t="s">
        <v>40</v>
      </c>
      <c r="U46" s="9" t="s">
        <v>63</v>
      </c>
      <c r="V46" s="3" t="s">
        <v>64</v>
      </c>
      <c r="W46" s="3" t="s">
        <v>65</v>
      </c>
      <c r="X46" s="2">
        <f t="shared" si="8"/>
        <v>46144</v>
      </c>
      <c r="Y46" s="73">
        <f t="shared" si="0"/>
        <v>38</v>
      </c>
      <c r="Z46" s="18">
        <v>46144</v>
      </c>
      <c r="AA46" s="3"/>
      <c r="AB46" s="3"/>
      <c r="AF46" t="str">
        <f t="shared" si="1"/>
        <v>Closed in May</v>
      </c>
      <c r="AP46" s="126"/>
    </row>
    <row r="47" spans="1:42" hidden="1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31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6"/>
        <v>22</v>
      </c>
      <c r="R47" s="53" t="str">
        <f t="shared" si="7"/>
        <v>12</v>
      </c>
      <c r="S47" s="3" t="s">
        <v>39</v>
      </c>
      <c r="T47" s="3" t="s">
        <v>40</v>
      </c>
      <c r="U47" s="9" t="s">
        <v>69</v>
      </c>
      <c r="V47" s="3" t="s">
        <v>64</v>
      </c>
      <c r="W47" s="3" t="s">
        <v>65</v>
      </c>
      <c r="X47" s="2">
        <f t="shared" si="8"/>
        <v>46144</v>
      </c>
      <c r="Y47" s="73">
        <f t="shared" si="0"/>
        <v>38</v>
      </c>
      <c r="Z47" s="18">
        <v>46144</v>
      </c>
      <c r="AA47" s="3"/>
      <c r="AB47" s="3"/>
      <c r="AF47" t="str">
        <f t="shared" si="1"/>
        <v>Closed in May</v>
      </c>
    </row>
    <row r="48" spans="1:42" hidden="1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31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6"/>
        <v>22</v>
      </c>
      <c r="R48" s="53" t="str">
        <f t="shared" si="7"/>
        <v>12</v>
      </c>
      <c r="S48" s="3" t="s">
        <v>39</v>
      </c>
      <c r="T48" s="3" t="s">
        <v>40</v>
      </c>
      <c r="U48" s="9" t="s">
        <v>113</v>
      </c>
      <c r="V48" s="3" t="s">
        <v>64</v>
      </c>
      <c r="W48" s="3" t="s">
        <v>65</v>
      </c>
      <c r="X48" s="2">
        <f t="shared" si="8"/>
        <v>46144</v>
      </c>
      <c r="Y48" s="73">
        <f t="shared" si="0"/>
        <v>38</v>
      </c>
      <c r="Z48" s="18">
        <v>46144</v>
      </c>
      <c r="AA48" s="15"/>
      <c r="AB48" s="15"/>
      <c r="AF48" t="str">
        <f t="shared" si="1"/>
        <v>Closed in May</v>
      </c>
    </row>
    <row r="49" spans="1:32" hidden="1">
      <c r="A49" s="6">
        <v>46107</v>
      </c>
      <c r="B49" s="3">
        <v>2026</v>
      </c>
      <c r="C49" s="3" t="s">
        <v>114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6"/>
        <v>24</v>
      </c>
      <c r="R49" s="53" t="str">
        <f t="shared" si="7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73">
        <f t="shared" si="0"/>
        <v>37</v>
      </c>
      <c r="Z49" s="18">
        <v>46144</v>
      </c>
      <c r="AA49" s="3"/>
      <c r="AB49" s="3"/>
      <c r="AF49" t="str">
        <f t="shared" si="1"/>
        <v>Closed in May</v>
      </c>
    </row>
    <row r="50" spans="1:32" hidden="1">
      <c r="A50" s="6">
        <v>46107</v>
      </c>
      <c r="B50" s="3">
        <v>2026</v>
      </c>
      <c r="C50" s="3" t="s">
        <v>114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6"/>
        <v>24</v>
      </c>
      <c r="R50" s="53" t="str">
        <f t="shared" si="7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73">
        <f t="shared" si="0"/>
        <v>37</v>
      </c>
      <c r="Z50" s="18">
        <v>46144</v>
      </c>
      <c r="AA50" s="3"/>
      <c r="AB50" s="3"/>
      <c r="AF50" t="str">
        <f t="shared" si="1"/>
        <v>Closed in May</v>
      </c>
    </row>
    <row r="51" spans="1:32" hidden="1">
      <c r="A51" s="6">
        <v>46107</v>
      </c>
      <c r="B51" s="3">
        <v>2026</v>
      </c>
      <c r="C51" s="3" t="s">
        <v>114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6"/>
        <v>24</v>
      </c>
      <c r="R51" s="53" t="str">
        <f t="shared" si="7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73">
        <f t="shared" si="0"/>
        <v>37</v>
      </c>
      <c r="Z51" s="18">
        <v>46144</v>
      </c>
      <c r="AA51" s="3"/>
      <c r="AB51" s="3"/>
      <c r="AF51" t="str">
        <f t="shared" si="1"/>
        <v>Closed in May</v>
      </c>
    </row>
    <row r="52" spans="1:32" hidden="1">
      <c r="A52" s="6">
        <v>46107</v>
      </c>
      <c r="B52" s="3">
        <v>2026</v>
      </c>
      <c r="C52" s="3" t="s">
        <v>114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6"/>
        <v>24</v>
      </c>
      <c r="R52" s="53" t="str">
        <f t="shared" si="7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73">
        <f t="shared" si="0"/>
        <v>37</v>
      </c>
      <c r="Z52" s="18">
        <v>46144</v>
      </c>
      <c r="AA52" s="3"/>
      <c r="AB52" s="3"/>
      <c r="AF52" t="str">
        <f t="shared" si="1"/>
        <v>Closed in May</v>
      </c>
    </row>
    <row r="53" spans="1:32" hidden="1">
      <c r="A53" s="6">
        <v>46107</v>
      </c>
      <c r="B53" s="3">
        <v>2026</v>
      </c>
      <c r="C53" s="3" t="s">
        <v>114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6"/>
        <v>24</v>
      </c>
      <c r="R53" s="53" t="str">
        <f t="shared" si="7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73">
        <f t="shared" si="0"/>
        <v>37</v>
      </c>
      <c r="Z53" s="18">
        <v>46144</v>
      </c>
      <c r="AA53" s="3"/>
      <c r="AB53" s="3"/>
      <c r="AF53" t="str">
        <f t="shared" si="1"/>
        <v>Closed in May</v>
      </c>
    </row>
    <row r="54" spans="1:32" hidden="1">
      <c r="A54" s="6">
        <v>46107</v>
      </c>
      <c r="B54" s="3">
        <v>2026</v>
      </c>
      <c r="C54" s="3" t="s">
        <v>114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6"/>
        <v>24</v>
      </c>
      <c r="R54" s="53" t="str">
        <f t="shared" si="7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73">
        <f t="shared" si="0"/>
        <v>37</v>
      </c>
      <c r="Z54" s="18">
        <v>46144</v>
      </c>
      <c r="AA54" s="3"/>
      <c r="AB54" s="3"/>
      <c r="AF54" t="str">
        <f t="shared" si="1"/>
        <v>Closed in May</v>
      </c>
    </row>
    <row r="55" spans="1:32" hidden="1">
      <c r="A55" s="6">
        <v>46107</v>
      </c>
      <c r="B55" s="3">
        <v>2026</v>
      </c>
      <c r="C55" s="3" t="s">
        <v>114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6"/>
        <v>24</v>
      </c>
      <c r="R55" s="53" t="str">
        <f t="shared" si="7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73">
        <f t="shared" si="0"/>
        <v>37</v>
      </c>
      <c r="Z55" s="18">
        <v>46144</v>
      </c>
      <c r="AA55" s="3"/>
      <c r="AB55" s="3"/>
      <c r="AF55" t="str">
        <f t="shared" si="1"/>
        <v>Closed in May</v>
      </c>
    </row>
    <row r="56" spans="1:32" hidden="1">
      <c r="A56" s="6">
        <v>46107</v>
      </c>
      <c r="B56" s="3">
        <v>2026</v>
      </c>
      <c r="C56" s="3" t="s">
        <v>114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6"/>
        <v>24</v>
      </c>
      <c r="R56" s="53" t="str">
        <f t="shared" si="7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73">
        <f t="shared" si="0"/>
        <v>37</v>
      </c>
      <c r="Z56" s="18">
        <v>46144</v>
      </c>
      <c r="AA56" s="3"/>
      <c r="AB56" s="3"/>
      <c r="AF56" t="str">
        <f t="shared" si="1"/>
        <v>Closed in May</v>
      </c>
    </row>
    <row r="57" spans="1:32" hidden="1">
      <c r="A57" s="6">
        <v>46107</v>
      </c>
      <c r="B57" s="3">
        <v>2026</v>
      </c>
      <c r="C57" s="3" t="s">
        <v>114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6"/>
        <v>24</v>
      </c>
      <c r="R57" s="53" t="str">
        <f t="shared" si="7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73">
        <f t="shared" si="0"/>
        <v>37</v>
      </c>
      <c r="Z57" s="18">
        <v>46144</v>
      </c>
      <c r="AA57" s="3"/>
      <c r="AB57" s="3"/>
      <c r="AF57" t="str">
        <f t="shared" si="1"/>
        <v>Closed in May</v>
      </c>
    </row>
    <row r="58" spans="1:32" hidden="1">
      <c r="A58" s="6">
        <v>46107</v>
      </c>
      <c r="B58" s="3">
        <v>2026</v>
      </c>
      <c r="C58" s="3" t="s">
        <v>114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6"/>
        <v>24</v>
      </c>
      <c r="R58" s="53" t="str">
        <f t="shared" si="7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73">
        <f t="shared" si="0"/>
        <v>37</v>
      </c>
      <c r="Z58" s="18">
        <v>46144</v>
      </c>
      <c r="AA58" s="3"/>
      <c r="AB58" s="3"/>
      <c r="AF58" t="str">
        <f t="shared" si="1"/>
        <v>Closed in May</v>
      </c>
    </row>
    <row r="59" spans="1:32" hidden="1">
      <c r="A59" s="6">
        <v>46107</v>
      </c>
      <c r="B59" s="3">
        <v>2026</v>
      </c>
      <c r="C59" s="3" t="s">
        <v>114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6"/>
        <v>24</v>
      </c>
      <c r="R59" s="53" t="str">
        <f t="shared" si="7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73">
        <f t="shared" si="0"/>
        <v>37</v>
      </c>
      <c r="Z59" s="18">
        <v>46144</v>
      </c>
      <c r="AA59" s="3"/>
      <c r="AB59" s="3"/>
      <c r="AF59" t="str">
        <f t="shared" si="1"/>
        <v>Closed in May</v>
      </c>
    </row>
    <row r="60" spans="1:32" hidden="1">
      <c r="A60" s="6">
        <v>46107</v>
      </c>
      <c r="B60" s="3">
        <v>2026</v>
      </c>
      <c r="C60" s="3" t="s">
        <v>114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6"/>
        <v>24</v>
      </c>
      <c r="R60" s="53" t="str">
        <f t="shared" si="7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73">
        <f t="shared" si="0"/>
        <v>37</v>
      </c>
      <c r="Z60" s="18">
        <v>46144</v>
      </c>
      <c r="AA60" s="3"/>
      <c r="AB60" s="3"/>
      <c r="AF60" t="str">
        <f t="shared" si="1"/>
        <v>Closed in May</v>
      </c>
    </row>
    <row r="61" spans="1:32" hidden="1">
      <c r="A61" s="6">
        <v>46107</v>
      </c>
      <c r="B61" s="3">
        <v>2026</v>
      </c>
      <c r="C61" s="3" t="s">
        <v>114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6"/>
        <v>24</v>
      </c>
      <c r="R61" s="53" t="str">
        <f t="shared" si="7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73">
        <f t="shared" si="0"/>
        <v>37</v>
      </c>
      <c r="Z61" s="18">
        <v>46144</v>
      </c>
      <c r="AA61" s="3"/>
      <c r="AB61" s="3"/>
      <c r="AF61" t="str">
        <f t="shared" si="1"/>
        <v>Closed in May</v>
      </c>
    </row>
    <row r="62" spans="1:32" hidden="1">
      <c r="A62" s="6">
        <v>46107</v>
      </c>
      <c r="B62" s="3">
        <v>2026</v>
      </c>
      <c r="C62" s="3" t="s">
        <v>114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6"/>
        <v>24</v>
      </c>
      <c r="R62" s="53" t="str">
        <f t="shared" si="7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73">
        <f t="shared" si="0"/>
        <v>37</v>
      </c>
      <c r="Z62" s="18">
        <v>46144</v>
      </c>
      <c r="AA62" s="3"/>
      <c r="AB62" s="3"/>
      <c r="AF62" t="str">
        <f t="shared" si="1"/>
        <v>Closed in May</v>
      </c>
    </row>
    <row r="63" spans="1:32" hidden="1">
      <c r="A63" s="6">
        <v>46107</v>
      </c>
      <c r="B63" s="3">
        <v>2026</v>
      </c>
      <c r="C63" s="3" t="s">
        <v>114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6"/>
        <v>24</v>
      </c>
      <c r="R63" s="53" t="str">
        <f t="shared" si="7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73">
        <f t="shared" si="0"/>
        <v>37</v>
      </c>
      <c r="Z63" s="18">
        <v>46144</v>
      </c>
      <c r="AA63" s="3"/>
      <c r="AB63" s="3"/>
      <c r="AF63" t="str">
        <f t="shared" si="1"/>
        <v>Closed in May</v>
      </c>
    </row>
    <row r="64" spans="1:32" hidden="1">
      <c r="A64" s="6">
        <v>46107</v>
      </c>
      <c r="B64" s="3">
        <v>2026</v>
      </c>
      <c r="C64" s="3" t="s">
        <v>114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6"/>
        <v>24</v>
      </c>
      <c r="R64" s="53" t="str">
        <f t="shared" si="7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73">
        <f t="shared" si="0"/>
        <v>37</v>
      </c>
      <c r="Z64" s="18">
        <v>46144</v>
      </c>
      <c r="AA64" s="3"/>
      <c r="AB64" s="3"/>
      <c r="AF64" t="str">
        <f t="shared" si="1"/>
        <v>Closed in May</v>
      </c>
    </row>
    <row r="65" spans="1:32" hidden="1">
      <c r="A65" s="6">
        <v>46107</v>
      </c>
      <c r="B65" s="3">
        <v>2026</v>
      </c>
      <c r="C65" s="3" t="s">
        <v>114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6"/>
        <v>24</v>
      </c>
      <c r="R65" s="53" t="str">
        <f t="shared" si="7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73">
        <f t="shared" si="0"/>
        <v>37</v>
      </c>
      <c r="Z65" s="18">
        <v>46144</v>
      </c>
      <c r="AA65" s="3"/>
      <c r="AB65" s="3"/>
      <c r="AF65" t="str">
        <f t="shared" si="1"/>
        <v>Closed in May</v>
      </c>
    </row>
    <row r="66" spans="1:32" hidden="1">
      <c r="A66" s="6">
        <v>46107</v>
      </c>
      <c r="B66" s="3">
        <v>2026</v>
      </c>
      <c r="C66" s="3" t="s">
        <v>114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6"/>
        <v>24</v>
      </c>
      <c r="R66" s="53" t="str">
        <f t="shared" si="7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73">
        <f t="shared" ref="Y66:Y129" si="9">IF(X66="","",X66-A66)</f>
        <v>37</v>
      </c>
      <c r="Z66" s="18">
        <v>46144</v>
      </c>
      <c r="AA66" s="3"/>
      <c r="AB66" s="3"/>
      <c r="AF66" t="str">
        <f t="shared" ref="AF66:AF129" si="10">IF(AND($F66="Closed",$X66&gt;=DATE(2026,5,1),$X66&lt;=DATE(2026,5,31)),"Closed in May","Other")</f>
        <v>Closed in May</v>
      </c>
    </row>
    <row r="67" spans="1:32" hidden="1">
      <c r="A67" s="6">
        <v>46107</v>
      </c>
      <c r="B67" s="3">
        <v>2026</v>
      </c>
      <c r="C67" s="3" t="s">
        <v>114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6"/>
        <v>24</v>
      </c>
      <c r="R67" s="53" t="str">
        <f t="shared" si="7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73">
        <f t="shared" si="9"/>
        <v>37</v>
      </c>
      <c r="Z67" s="18">
        <v>46144</v>
      </c>
      <c r="AA67" s="3"/>
      <c r="AB67" s="3"/>
      <c r="AF67" t="str">
        <f t="shared" si="10"/>
        <v>Closed in May</v>
      </c>
    </row>
    <row r="68" spans="1:32" hidden="1">
      <c r="A68" s="6">
        <v>46107</v>
      </c>
      <c r="B68" s="3">
        <v>2026</v>
      </c>
      <c r="C68" s="3" t="s">
        <v>114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6"/>
        <v>24</v>
      </c>
      <c r="R68" s="53" t="str">
        <f t="shared" si="7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73">
        <f t="shared" si="9"/>
        <v>37</v>
      </c>
      <c r="Z68" s="18">
        <v>46144</v>
      </c>
      <c r="AA68" s="3"/>
      <c r="AB68" s="3"/>
      <c r="AF68" t="str">
        <f t="shared" si="10"/>
        <v>Closed in May</v>
      </c>
    </row>
    <row r="69" spans="1:32" hidden="1">
      <c r="A69" s="6">
        <v>46107</v>
      </c>
      <c r="B69" s="3">
        <v>2026</v>
      </c>
      <c r="C69" s="3" t="s">
        <v>114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11">MID(P69,5,2)</f>
        <v>24</v>
      </c>
      <c r="R69" s="53" t="str">
        <f t="shared" ref="R69:R100" si="12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73">
        <f t="shared" si="9"/>
        <v>37</v>
      </c>
      <c r="Z69" s="18">
        <v>46144</v>
      </c>
      <c r="AA69" s="3"/>
      <c r="AB69" s="3"/>
      <c r="AF69" t="str">
        <f t="shared" si="10"/>
        <v>Closed in May</v>
      </c>
    </row>
    <row r="70" spans="1:32" hidden="1">
      <c r="A70" s="6">
        <v>46107</v>
      </c>
      <c r="B70" s="3">
        <v>2026</v>
      </c>
      <c r="C70" s="3" t="s">
        <v>114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11"/>
        <v>24</v>
      </c>
      <c r="R70" s="53" t="str">
        <f t="shared" si="12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73">
        <f t="shared" si="9"/>
        <v>37</v>
      </c>
      <c r="Z70" s="18">
        <v>46144</v>
      </c>
      <c r="AA70" s="3"/>
      <c r="AB70" s="3"/>
      <c r="AF70" t="str">
        <f t="shared" si="10"/>
        <v>Closed in May</v>
      </c>
    </row>
    <row r="71" spans="1:32" hidden="1">
      <c r="A71" s="6">
        <v>46107</v>
      </c>
      <c r="B71" s="3">
        <v>2026</v>
      </c>
      <c r="C71" s="3" t="s">
        <v>114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11"/>
        <v>24</v>
      </c>
      <c r="R71" s="53" t="str">
        <f t="shared" si="12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73">
        <f t="shared" si="9"/>
        <v>37</v>
      </c>
      <c r="Z71" s="18">
        <v>46144</v>
      </c>
      <c r="AA71" s="3"/>
      <c r="AB71" s="3"/>
      <c r="AF71" t="str">
        <f t="shared" si="10"/>
        <v>Closed in May</v>
      </c>
    </row>
    <row r="72" spans="1:32" hidden="1">
      <c r="A72" s="6">
        <v>46107</v>
      </c>
      <c r="B72" s="3">
        <v>2026</v>
      </c>
      <c r="C72" s="3" t="s">
        <v>114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11"/>
        <v>24</v>
      </c>
      <c r="R72" s="53" t="str">
        <f t="shared" si="12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73">
        <f t="shared" si="9"/>
        <v>37</v>
      </c>
      <c r="Z72" s="18">
        <v>46144</v>
      </c>
      <c r="AA72" s="3"/>
      <c r="AB72" s="3"/>
      <c r="AF72" t="str">
        <f t="shared" si="10"/>
        <v>Closed in May</v>
      </c>
    </row>
    <row r="73" spans="1:32" hidden="1">
      <c r="A73" s="6">
        <v>46107</v>
      </c>
      <c r="B73" s="3">
        <v>2026</v>
      </c>
      <c r="C73" s="3" t="s">
        <v>114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11"/>
        <v>24</v>
      </c>
      <c r="R73" s="53" t="str">
        <f t="shared" si="12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73">
        <f t="shared" si="9"/>
        <v>37</v>
      </c>
      <c r="Z73" s="18">
        <v>46144</v>
      </c>
      <c r="AA73" s="3"/>
      <c r="AB73" s="3"/>
      <c r="AF73" t="str">
        <f t="shared" si="10"/>
        <v>Closed in May</v>
      </c>
    </row>
    <row r="74" spans="1:32" hidden="1">
      <c r="A74" s="6">
        <v>46107</v>
      </c>
      <c r="B74" s="3">
        <v>2026</v>
      </c>
      <c r="C74" s="3" t="s">
        <v>114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11"/>
        <v>24</v>
      </c>
      <c r="R74" s="53" t="str">
        <f t="shared" si="12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73">
        <f t="shared" si="9"/>
        <v>37</v>
      </c>
      <c r="Z74" s="18">
        <v>46144</v>
      </c>
      <c r="AA74" s="3"/>
      <c r="AB74" s="3"/>
      <c r="AF74" t="str">
        <f t="shared" si="10"/>
        <v>Closed in May</v>
      </c>
    </row>
    <row r="75" spans="1:32" hidden="1">
      <c r="A75" s="6">
        <v>46107</v>
      </c>
      <c r="B75" s="3">
        <v>2026</v>
      </c>
      <c r="C75" s="3" t="s">
        <v>114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11"/>
        <v>24</v>
      </c>
      <c r="R75" s="53" t="str">
        <f t="shared" si="12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73">
        <f t="shared" si="9"/>
        <v>37</v>
      </c>
      <c r="Z75" s="18">
        <v>46144</v>
      </c>
      <c r="AA75" s="3"/>
      <c r="AB75" s="3"/>
      <c r="AF75" t="str">
        <f t="shared" si="10"/>
        <v>Closed in May</v>
      </c>
    </row>
    <row r="76" spans="1:32" hidden="1">
      <c r="A76" s="6">
        <v>46107</v>
      </c>
      <c r="B76" s="3">
        <v>2026</v>
      </c>
      <c r="C76" s="3" t="s">
        <v>114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11"/>
        <v>24</v>
      </c>
      <c r="R76" s="53" t="str">
        <f t="shared" si="12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73">
        <f t="shared" si="9"/>
        <v>37</v>
      </c>
      <c r="Z76" s="18">
        <v>46144</v>
      </c>
      <c r="AA76" s="3"/>
      <c r="AB76" s="3"/>
      <c r="AF76" t="str">
        <f t="shared" si="10"/>
        <v>Closed in May</v>
      </c>
    </row>
    <row r="77" spans="1:32" hidden="1">
      <c r="A77" s="6">
        <v>46107</v>
      </c>
      <c r="B77" s="3">
        <v>2026</v>
      </c>
      <c r="C77" s="3" t="s">
        <v>114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11"/>
        <v>24</v>
      </c>
      <c r="R77" s="53" t="str">
        <f t="shared" si="12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73">
        <f t="shared" si="9"/>
        <v>37</v>
      </c>
      <c r="Z77" s="18">
        <v>46144</v>
      </c>
      <c r="AA77" s="3"/>
      <c r="AB77" s="3"/>
      <c r="AF77" t="str">
        <f t="shared" si="10"/>
        <v>Closed in May</v>
      </c>
    </row>
    <row r="78" spans="1:32" hidden="1">
      <c r="A78" s="6">
        <v>46107</v>
      </c>
      <c r="B78" s="3">
        <v>2026</v>
      </c>
      <c r="C78" s="3" t="s">
        <v>114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11"/>
        <v>24</v>
      </c>
      <c r="R78" s="53" t="str">
        <f t="shared" si="12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73">
        <f t="shared" si="9"/>
        <v>37</v>
      </c>
      <c r="Z78" s="18">
        <v>46144</v>
      </c>
      <c r="AA78" s="3"/>
      <c r="AB78" s="3"/>
      <c r="AF78" t="str">
        <f t="shared" si="10"/>
        <v>Closed in May</v>
      </c>
    </row>
    <row r="79" spans="1:32" hidden="1">
      <c r="A79" s="6">
        <v>46107</v>
      </c>
      <c r="B79" s="3">
        <v>2026</v>
      </c>
      <c r="C79" s="3" t="s">
        <v>114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11"/>
        <v>24</v>
      </c>
      <c r="R79" s="53" t="str">
        <f t="shared" si="12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73">
        <f t="shared" si="9"/>
        <v>37</v>
      </c>
      <c r="Z79" s="18">
        <v>46144</v>
      </c>
      <c r="AA79" s="3"/>
      <c r="AB79" s="3"/>
      <c r="AF79" t="str">
        <f t="shared" si="10"/>
        <v>Closed in May</v>
      </c>
    </row>
    <row r="80" spans="1:32" hidden="1">
      <c r="A80" s="6">
        <v>46107</v>
      </c>
      <c r="B80" s="3">
        <v>2026</v>
      </c>
      <c r="C80" s="3" t="s">
        <v>114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11"/>
        <v>24</v>
      </c>
      <c r="R80" s="53" t="str">
        <f t="shared" si="12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73">
        <f t="shared" si="9"/>
        <v>37</v>
      </c>
      <c r="Z80" s="18">
        <v>46144</v>
      </c>
      <c r="AA80" s="3"/>
      <c r="AB80" s="3"/>
      <c r="AF80" t="str">
        <f t="shared" si="10"/>
        <v>Closed in May</v>
      </c>
    </row>
    <row r="81" spans="1:32" hidden="1">
      <c r="A81" s="6">
        <v>46107</v>
      </c>
      <c r="B81" s="3">
        <v>2026</v>
      </c>
      <c r="C81" s="3" t="s">
        <v>114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11"/>
        <v>24</v>
      </c>
      <c r="R81" s="53" t="str">
        <f t="shared" si="12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73">
        <f t="shared" si="9"/>
        <v>37</v>
      </c>
      <c r="Z81" s="18">
        <v>46144</v>
      </c>
      <c r="AA81" s="3"/>
      <c r="AB81" s="3"/>
      <c r="AF81" t="str">
        <f t="shared" si="10"/>
        <v>Closed in May</v>
      </c>
    </row>
    <row r="82" spans="1:32" hidden="1">
      <c r="A82" s="6">
        <v>46107</v>
      </c>
      <c r="B82" s="3">
        <v>2026</v>
      </c>
      <c r="C82" s="3" t="s">
        <v>114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11"/>
        <v>24</v>
      </c>
      <c r="R82" s="53" t="str">
        <f t="shared" si="12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73">
        <f t="shared" si="9"/>
        <v>37</v>
      </c>
      <c r="Z82" s="18">
        <v>46144</v>
      </c>
      <c r="AA82" s="3"/>
      <c r="AB82" s="3"/>
      <c r="AF82" t="str">
        <f t="shared" si="10"/>
        <v>Closed in May</v>
      </c>
    </row>
    <row r="83" spans="1:32" hidden="1">
      <c r="A83" s="6">
        <v>46107</v>
      </c>
      <c r="B83" s="3">
        <v>2026</v>
      </c>
      <c r="C83" s="3" t="s">
        <v>114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11"/>
        <v>24</v>
      </c>
      <c r="R83" s="53" t="str">
        <f t="shared" si="12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73">
        <f t="shared" si="9"/>
        <v>37</v>
      </c>
      <c r="Z83" s="18">
        <v>46144</v>
      </c>
      <c r="AA83" s="3"/>
      <c r="AB83" s="3"/>
      <c r="AF83" t="str">
        <f t="shared" si="10"/>
        <v>Closed in May</v>
      </c>
    </row>
    <row r="84" spans="1:32" hidden="1">
      <c r="A84" s="6">
        <v>46107</v>
      </c>
      <c r="B84" s="3">
        <v>2026</v>
      </c>
      <c r="C84" s="3" t="s">
        <v>114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11"/>
        <v>24</v>
      </c>
      <c r="R84" s="53" t="str">
        <f t="shared" si="12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73">
        <f t="shared" si="9"/>
        <v>37</v>
      </c>
      <c r="Z84" s="18">
        <v>46144</v>
      </c>
      <c r="AA84" s="3"/>
      <c r="AB84" s="3"/>
      <c r="AF84" t="str">
        <f t="shared" si="10"/>
        <v>Closed in May</v>
      </c>
    </row>
    <row r="85" spans="1:32" hidden="1">
      <c r="A85" s="6">
        <v>46107</v>
      </c>
      <c r="B85" s="3">
        <v>2026</v>
      </c>
      <c r="C85" s="3" t="s">
        <v>114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11"/>
        <v>24</v>
      </c>
      <c r="R85" s="53" t="str">
        <f t="shared" si="12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73">
        <f t="shared" si="9"/>
        <v>37</v>
      </c>
      <c r="Z85" s="18">
        <v>46144</v>
      </c>
      <c r="AA85" s="3"/>
      <c r="AB85" s="3"/>
      <c r="AF85" t="str">
        <f t="shared" si="10"/>
        <v>Closed in May</v>
      </c>
    </row>
    <row r="86" spans="1:32" hidden="1">
      <c r="A86" s="6">
        <v>46107</v>
      </c>
      <c r="B86" s="3">
        <v>2026</v>
      </c>
      <c r="C86" s="3" t="s">
        <v>114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11"/>
        <v>24</v>
      </c>
      <c r="R86" s="53" t="str">
        <f t="shared" si="12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73">
        <f t="shared" si="9"/>
        <v>37</v>
      </c>
      <c r="Z86" s="18">
        <v>46144</v>
      </c>
      <c r="AA86" s="3"/>
      <c r="AB86" s="3"/>
      <c r="AF86" t="str">
        <f t="shared" si="10"/>
        <v>Closed in May</v>
      </c>
    </row>
    <row r="87" spans="1:32" hidden="1">
      <c r="A87" s="6">
        <v>46107</v>
      </c>
      <c r="B87" s="3">
        <v>2026</v>
      </c>
      <c r="C87" s="3" t="s">
        <v>114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11"/>
        <v>24</v>
      </c>
      <c r="R87" s="53" t="str">
        <f t="shared" si="12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73">
        <f t="shared" si="9"/>
        <v>37</v>
      </c>
      <c r="Z87" s="18">
        <v>46144</v>
      </c>
      <c r="AA87" s="3"/>
      <c r="AB87" s="3"/>
      <c r="AF87" t="str">
        <f t="shared" si="10"/>
        <v>Closed in May</v>
      </c>
    </row>
    <row r="88" spans="1:32" hidden="1">
      <c r="A88" s="6">
        <v>46107</v>
      </c>
      <c r="B88" s="3">
        <v>2026</v>
      </c>
      <c r="C88" s="3" t="s">
        <v>114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11"/>
        <v>24</v>
      </c>
      <c r="R88" s="53" t="str">
        <f t="shared" si="12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73">
        <f t="shared" si="9"/>
        <v>37</v>
      </c>
      <c r="Z88" s="18">
        <v>46144</v>
      </c>
      <c r="AA88" s="3"/>
      <c r="AB88" s="3"/>
      <c r="AF88" t="str">
        <f t="shared" si="10"/>
        <v>Closed in May</v>
      </c>
    </row>
    <row r="89" spans="1:32" hidden="1">
      <c r="A89" s="6">
        <v>46107</v>
      </c>
      <c r="B89" s="3">
        <v>2026</v>
      </c>
      <c r="C89" s="3" t="s">
        <v>114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11"/>
        <v>24</v>
      </c>
      <c r="R89" s="53" t="str">
        <f t="shared" si="12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73">
        <f t="shared" si="9"/>
        <v>37</v>
      </c>
      <c r="Z89" s="18">
        <v>46144</v>
      </c>
      <c r="AA89" s="3"/>
      <c r="AB89" s="3"/>
      <c r="AF89" t="str">
        <f t="shared" si="10"/>
        <v>Closed in May</v>
      </c>
    </row>
    <row r="90" spans="1:32" hidden="1">
      <c r="A90" s="6">
        <v>46107</v>
      </c>
      <c r="B90" s="3">
        <v>2026</v>
      </c>
      <c r="C90" s="3" t="s">
        <v>114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11"/>
        <v>24</v>
      </c>
      <c r="R90" s="53" t="str">
        <f t="shared" si="12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73">
        <f t="shared" si="9"/>
        <v>37</v>
      </c>
      <c r="Z90" s="18">
        <v>46144</v>
      </c>
      <c r="AA90" s="15"/>
      <c r="AB90" s="15"/>
      <c r="AF90" t="str">
        <f t="shared" si="10"/>
        <v>Closed in May</v>
      </c>
    </row>
    <row r="91" spans="1:32" hidden="1">
      <c r="A91" s="6">
        <v>46107</v>
      </c>
      <c r="B91" s="3">
        <v>2026</v>
      </c>
      <c r="C91" s="3" t="s">
        <v>114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11"/>
        <v>24</v>
      </c>
      <c r="R91" s="53" t="str">
        <f t="shared" si="12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73">
        <f t="shared" si="9"/>
        <v>37</v>
      </c>
      <c r="Z91" s="18">
        <v>46144</v>
      </c>
      <c r="AA91" s="3"/>
      <c r="AB91" s="3"/>
      <c r="AF91" t="str">
        <f t="shared" si="10"/>
        <v>Closed in May</v>
      </c>
    </row>
    <row r="92" spans="1:32" hidden="1">
      <c r="A92" s="6">
        <v>46107</v>
      </c>
      <c r="B92" s="3">
        <v>2026</v>
      </c>
      <c r="C92" s="3" t="s">
        <v>114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11"/>
        <v>24</v>
      </c>
      <c r="R92" s="53" t="str">
        <f t="shared" si="12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73">
        <f t="shared" si="9"/>
        <v>37</v>
      </c>
      <c r="Z92" s="18">
        <v>46144</v>
      </c>
      <c r="AA92" s="15"/>
      <c r="AB92" s="15"/>
      <c r="AF92" t="str">
        <f t="shared" si="10"/>
        <v>Closed in May</v>
      </c>
    </row>
    <row r="93" spans="1:32" hidden="1">
      <c r="A93" s="6">
        <v>46107</v>
      </c>
      <c r="B93" s="3">
        <v>2026</v>
      </c>
      <c r="C93" s="3" t="s">
        <v>114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11"/>
        <v>24</v>
      </c>
      <c r="R93" s="53" t="str">
        <f t="shared" si="12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73">
        <f t="shared" si="9"/>
        <v>37</v>
      </c>
      <c r="Z93" s="18">
        <v>46144</v>
      </c>
      <c r="AA93" s="3"/>
      <c r="AB93" s="3"/>
      <c r="AF93" t="str">
        <f t="shared" si="10"/>
        <v>Closed in May</v>
      </c>
    </row>
    <row r="94" spans="1:32" hidden="1">
      <c r="A94" s="6">
        <v>46107</v>
      </c>
      <c r="B94" s="3">
        <v>2026</v>
      </c>
      <c r="C94" s="3" t="s">
        <v>114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11"/>
        <v>24</v>
      </c>
      <c r="R94" s="53" t="str">
        <f t="shared" si="12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73">
        <f t="shared" si="9"/>
        <v>37</v>
      </c>
      <c r="Z94" s="18">
        <v>46144</v>
      </c>
      <c r="AA94" s="15"/>
      <c r="AB94" s="15"/>
      <c r="AF94" t="str">
        <f t="shared" si="10"/>
        <v>Closed in May</v>
      </c>
    </row>
    <row r="95" spans="1:32" hidden="1">
      <c r="A95" s="6">
        <v>46107</v>
      </c>
      <c r="B95" s="3">
        <v>2026</v>
      </c>
      <c r="C95" s="3" t="s">
        <v>114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11"/>
        <v>24</v>
      </c>
      <c r="R95" s="53" t="str">
        <f t="shared" si="12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73">
        <f t="shared" si="9"/>
        <v>37</v>
      </c>
      <c r="Z95" s="18">
        <v>46144</v>
      </c>
      <c r="AA95" s="3"/>
      <c r="AB95" s="3"/>
      <c r="AF95" t="str">
        <f t="shared" si="10"/>
        <v>Closed in May</v>
      </c>
    </row>
    <row r="96" spans="1:32" hidden="1">
      <c r="A96" s="6">
        <v>46107</v>
      </c>
      <c r="B96" s="3">
        <v>2026</v>
      </c>
      <c r="C96" s="3" t="s">
        <v>114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11"/>
        <v>24</v>
      </c>
      <c r="R96" s="53" t="str">
        <f t="shared" si="12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73">
        <f t="shared" si="9"/>
        <v>37</v>
      </c>
      <c r="Z96" s="18">
        <v>46144</v>
      </c>
      <c r="AA96" s="15"/>
      <c r="AB96" s="15"/>
      <c r="AF96" t="str">
        <f t="shared" si="10"/>
        <v>Closed in May</v>
      </c>
    </row>
    <row r="97" spans="1:32" hidden="1">
      <c r="A97" s="6">
        <v>46107</v>
      </c>
      <c r="B97" s="3">
        <v>2026</v>
      </c>
      <c r="C97" s="3" t="s">
        <v>114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11"/>
        <v>24</v>
      </c>
      <c r="R97" s="53" t="str">
        <f t="shared" si="12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73">
        <f t="shared" si="9"/>
        <v>37</v>
      </c>
      <c r="Z97" s="18">
        <v>46144</v>
      </c>
      <c r="AA97" s="3"/>
      <c r="AB97" s="3"/>
      <c r="AF97" t="str">
        <f t="shared" si="10"/>
        <v>Closed in May</v>
      </c>
    </row>
    <row r="98" spans="1:32" hidden="1">
      <c r="A98" s="6">
        <v>46107</v>
      </c>
      <c r="B98" s="3">
        <v>2026</v>
      </c>
      <c r="C98" s="3" t="s">
        <v>114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11"/>
        <v>24</v>
      </c>
      <c r="R98" s="53" t="str">
        <f t="shared" si="12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73">
        <f t="shared" si="9"/>
        <v>37</v>
      </c>
      <c r="Z98" s="18">
        <v>46144</v>
      </c>
      <c r="AA98" s="15"/>
      <c r="AB98" s="15"/>
      <c r="AF98" t="str">
        <f t="shared" si="10"/>
        <v>Closed in May</v>
      </c>
    </row>
    <row r="99" spans="1:32" hidden="1">
      <c r="A99" s="6">
        <v>46107</v>
      </c>
      <c r="B99" s="3">
        <v>2026</v>
      </c>
      <c r="C99" s="3" t="s">
        <v>114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11"/>
        <v>24</v>
      </c>
      <c r="R99" s="53" t="str">
        <f t="shared" si="12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73">
        <f t="shared" si="9"/>
        <v>37</v>
      </c>
      <c r="Z99" s="18">
        <v>46144</v>
      </c>
      <c r="AA99" s="3"/>
      <c r="AB99" s="3"/>
      <c r="AF99" t="str">
        <f t="shared" si="10"/>
        <v>Closed in May</v>
      </c>
    </row>
    <row r="100" spans="1:32" hidden="1">
      <c r="A100" s="6">
        <v>46107</v>
      </c>
      <c r="B100" s="3">
        <v>2026</v>
      </c>
      <c r="C100" s="3" t="s">
        <v>114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11"/>
        <v>24</v>
      </c>
      <c r="R100" s="53" t="str">
        <f t="shared" si="12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73">
        <f t="shared" si="9"/>
        <v>37</v>
      </c>
      <c r="Z100" s="18">
        <v>46144</v>
      </c>
      <c r="AA100" s="15"/>
      <c r="AB100" s="15"/>
      <c r="AF100" t="str">
        <f t="shared" si="10"/>
        <v>Closed in May</v>
      </c>
    </row>
    <row r="101" spans="1:32" hidden="1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31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73">
        <f t="shared" si="9"/>
        <v>26</v>
      </c>
      <c r="Z101" s="18">
        <v>46144</v>
      </c>
      <c r="AA101" s="3"/>
      <c r="AB101" s="3"/>
      <c r="AF101" t="str">
        <f t="shared" si="10"/>
        <v>Closed in May</v>
      </c>
    </row>
    <row r="102" spans="1:32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3" t="s">
        <v>3134</v>
      </c>
      <c r="X102" s="15"/>
      <c r="Y102" s="73" t="str">
        <f t="shared" si="9"/>
        <v/>
      </c>
      <c r="Z102" s="18">
        <v>46144</v>
      </c>
      <c r="AA102" s="15"/>
      <c r="AB102" s="15"/>
      <c r="AF102" t="str">
        <f t="shared" si="10"/>
        <v>Other</v>
      </c>
    </row>
    <row r="103" spans="1:32" hidden="1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13">MID(P103,5,2)</f>
        <v>25</v>
      </c>
      <c r="R103" s="53" t="str">
        <f t="shared" ref="R103:R166" si="14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64</v>
      </c>
      <c r="X103" s="18">
        <v>46146</v>
      </c>
      <c r="Y103" s="73">
        <f t="shared" si="9"/>
        <v>34</v>
      </c>
      <c r="Z103" s="18">
        <v>46146</v>
      </c>
      <c r="AA103" s="15"/>
      <c r="AB103" s="15"/>
      <c r="AF103" t="str">
        <f t="shared" si="10"/>
        <v>Closed in May</v>
      </c>
    </row>
    <row r="104" spans="1:32" hidden="1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13"/>
        <v>22</v>
      </c>
      <c r="R104" s="53" t="str">
        <f t="shared" si="14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73">
        <f t="shared" si="9"/>
        <v>27</v>
      </c>
      <c r="Z104" s="18">
        <v>46146</v>
      </c>
      <c r="AA104" s="3"/>
      <c r="AB104" s="3"/>
      <c r="AF104" t="str">
        <f t="shared" si="10"/>
        <v>Closed in May</v>
      </c>
    </row>
    <row r="105" spans="1:32" hidden="1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13"/>
        <v>22</v>
      </c>
      <c r="R105" s="53" t="str">
        <f t="shared" si="14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73">
        <f t="shared" si="9"/>
        <v>27</v>
      </c>
      <c r="Z105" s="18">
        <v>46146</v>
      </c>
      <c r="AA105" s="15"/>
      <c r="AB105" s="15"/>
      <c r="AF105" t="str">
        <f t="shared" si="10"/>
        <v>Closed in May</v>
      </c>
    </row>
    <row r="106" spans="1:32" hidden="1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13"/>
        <v>22</v>
      </c>
      <c r="R106" s="53" t="str">
        <f t="shared" si="14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73">
        <f t="shared" si="9"/>
        <v>27</v>
      </c>
      <c r="Z106" s="18">
        <v>46146</v>
      </c>
      <c r="AA106" s="3"/>
      <c r="AB106" s="3"/>
      <c r="AF106" t="str">
        <f t="shared" si="10"/>
        <v>Closed in May</v>
      </c>
    </row>
    <row r="107" spans="1:32" hidden="1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13"/>
        <v/>
      </c>
      <c r="R107" s="53" t="str">
        <f t="shared" si="14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73">
        <f t="shared" si="9"/>
        <v>2</v>
      </c>
      <c r="Z107" s="18">
        <v>46146</v>
      </c>
      <c r="AA107" s="15"/>
      <c r="AB107" s="15"/>
      <c r="AF107" t="str">
        <f t="shared" si="10"/>
        <v>Closed in May</v>
      </c>
    </row>
    <row r="108" spans="1:32" hidden="1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13"/>
        <v/>
      </c>
      <c r="R108" s="53" t="str">
        <f t="shared" si="14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73">
        <f t="shared" si="9"/>
        <v>2</v>
      </c>
      <c r="Z108" s="18">
        <v>46146</v>
      </c>
      <c r="AA108" s="15"/>
      <c r="AB108" s="15"/>
      <c r="AF108" t="str">
        <f t="shared" si="10"/>
        <v>Closed in May</v>
      </c>
    </row>
    <row r="109" spans="1:32" hidden="1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13"/>
        <v/>
      </c>
      <c r="R109" s="53" t="str">
        <f t="shared" si="14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73">
        <f t="shared" si="9"/>
        <v>2</v>
      </c>
      <c r="Z109" s="18">
        <v>46146</v>
      </c>
      <c r="AA109" s="15"/>
      <c r="AB109" s="15"/>
      <c r="AF109" t="str">
        <f t="shared" si="10"/>
        <v>Closed in May</v>
      </c>
    </row>
    <row r="110" spans="1:32" hidden="1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13"/>
        <v/>
      </c>
      <c r="R110" s="53" t="str">
        <f t="shared" si="14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73">
        <f t="shared" si="9"/>
        <v>2</v>
      </c>
      <c r="Z110" s="18">
        <v>46146</v>
      </c>
      <c r="AA110" s="15"/>
      <c r="AB110" s="15"/>
      <c r="AF110" t="str">
        <f t="shared" si="10"/>
        <v>Closed in May</v>
      </c>
    </row>
    <row r="111" spans="1:32" hidden="1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13"/>
        <v/>
      </c>
      <c r="R111" s="53" t="str">
        <f t="shared" si="14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73">
        <f t="shared" si="9"/>
        <v>2</v>
      </c>
      <c r="Z111" s="18">
        <v>46146</v>
      </c>
      <c r="AA111" s="15"/>
      <c r="AB111" s="15"/>
      <c r="AF111" t="str">
        <f t="shared" si="10"/>
        <v>Closed in May</v>
      </c>
    </row>
    <row r="112" spans="1:32" hidden="1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13"/>
        <v/>
      </c>
      <c r="R112" s="53" t="str">
        <f t="shared" si="14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73">
        <f t="shared" si="9"/>
        <v>2</v>
      </c>
      <c r="Z112" s="18">
        <v>46146</v>
      </c>
      <c r="AA112" s="15"/>
      <c r="AB112" s="15"/>
      <c r="AF112" t="str">
        <f t="shared" si="10"/>
        <v>Closed in May</v>
      </c>
    </row>
    <row r="113" spans="1:32" hidden="1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13"/>
        <v>24</v>
      </c>
      <c r="R113" s="53" t="str">
        <f t="shared" si="14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73">
        <f t="shared" si="9"/>
        <v>2</v>
      </c>
      <c r="Z113" s="18">
        <v>46146</v>
      </c>
      <c r="AA113" s="15"/>
      <c r="AB113" s="15"/>
      <c r="AF113" t="str">
        <f t="shared" si="10"/>
        <v>Closed in May</v>
      </c>
    </row>
    <row r="114" spans="1:32" hidden="1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13"/>
        <v>24</v>
      </c>
      <c r="R114" s="53" t="str">
        <f t="shared" si="14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73">
        <f t="shared" si="9"/>
        <v>2</v>
      </c>
      <c r="Z114" s="18">
        <v>46146</v>
      </c>
      <c r="AA114" s="3"/>
      <c r="AB114" s="3"/>
      <c r="AF114" t="str">
        <f t="shared" si="10"/>
        <v>Closed in May</v>
      </c>
    </row>
    <row r="115" spans="1:32" hidden="1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13"/>
        <v>24</v>
      </c>
      <c r="R115" s="53" t="str">
        <f t="shared" si="14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73">
        <f t="shared" si="9"/>
        <v>2</v>
      </c>
      <c r="Z115" s="18">
        <v>46146</v>
      </c>
      <c r="AA115" s="15"/>
      <c r="AB115" s="15"/>
      <c r="AF115" t="str">
        <f t="shared" si="10"/>
        <v>Closed in May</v>
      </c>
    </row>
    <row r="116" spans="1:32" hidden="1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13"/>
        <v/>
      </c>
      <c r="R116" s="53" t="str">
        <f t="shared" si="14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73">
        <f t="shared" si="9"/>
        <v>2</v>
      </c>
      <c r="Z116" s="18">
        <v>46146</v>
      </c>
      <c r="AA116" s="3"/>
      <c r="AB116" s="3"/>
      <c r="AF116" t="str">
        <f t="shared" si="10"/>
        <v>Closed in May</v>
      </c>
    </row>
    <row r="117" spans="1:32" hidden="1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13"/>
        <v/>
      </c>
      <c r="R117" s="53" t="str">
        <f t="shared" si="14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73">
        <f t="shared" si="9"/>
        <v>2</v>
      </c>
      <c r="Z117" s="18">
        <v>46146</v>
      </c>
      <c r="AA117" s="15"/>
      <c r="AB117" s="15"/>
      <c r="AF117" t="str">
        <f t="shared" si="10"/>
        <v>Closed in May</v>
      </c>
    </row>
    <row r="118" spans="1:32" hidden="1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13"/>
        <v/>
      </c>
      <c r="R118" s="53" t="str">
        <f t="shared" si="14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73">
        <f t="shared" si="9"/>
        <v>2</v>
      </c>
      <c r="Z118" s="18">
        <v>46146</v>
      </c>
      <c r="AA118" s="3"/>
      <c r="AB118" s="3"/>
      <c r="AF118" t="str">
        <f t="shared" si="10"/>
        <v>Closed in May</v>
      </c>
    </row>
    <row r="119" spans="1:32" hidden="1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31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13"/>
        <v>22</v>
      </c>
      <c r="R119" s="53" t="str">
        <f t="shared" si="14"/>
        <v>12</v>
      </c>
      <c r="S119" s="3" t="s">
        <v>39</v>
      </c>
      <c r="T119" s="3" t="s">
        <v>40</v>
      </c>
      <c r="U119" s="9" t="s">
        <v>63</v>
      </c>
      <c r="V119" s="3" t="s">
        <v>64</v>
      </c>
      <c r="W119" s="3" t="s">
        <v>65</v>
      </c>
      <c r="X119" s="2">
        <f>Z119</f>
        <v>46146</v>
      </c>
      <c r="Y119" s="73">
        <f t="shared" si="9"/>
        <v>40</v>
      </c>
      <c r="Z119" s="18">
        <v>46146</v>
      </c>
      <c r="AA119" s="15"/>
      <c r="AB119" s="15"/>
      <c r="AF119" t="str">
        <f t="shared" si="10"/>
        <v>Closed in May</v>
      </c>
    </row>
    <row r="120" spans="1:32" hidden="1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31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13"/>
        <v>22</v>
      </c>
      <c r="R120" s="53" t="str">
        <f t="shared" si="14"/>
        <v>12</v>
      </c>
      <c r="S120" s="3" t="s">
        <v>39</v>
      </c>
      <c r="T120" s="3" t="s">
        <v>40</v>
      </c>
      <c r="U120" s="9" t="s">
        <v>69</v>
      </c>
      <c r="V120" s="3" t="s">
        <v>64</v>
      </c>
      <c r="W120" s="3" t="s">
        <v>65</v>
      </c>
      <c r="X120" s="2">
        <f>Z120</f>
        <v>46146</v>
      </c>
      <c r="Y120" s="73">
        <f t="shared" si="9"/>
        <v>40</v>
      </c>
      <c r="Z120" s="18">
        <v>46146</v>
      </c>
      <c r="AA120" s="15"/>
      <c r="AB120" s="15"/>
      <c r="AF120" t="str">
        <f t="shared" si="10"/>
        <v>Closed in May</v>
      </c>
    </row>
    <row r="121" spans="1:32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13"/>
        <v>23</v>
      </c>
      <c r="R121" s="53" t="str">
        <f t="shared" si="14"/>
        <v>01</v>
      </c>
      <c r="S121" s="3" t="s">
        <v>39</v>
      </c>
      <c r="T121" s="3" t="s">
        <v>40</v>
      </c>
      <c r="U121" s="9" t="s">
        <v>63</v>
      </c>
      <c r="V121" s="3" t="s">
        <v>64</v>
      </c>
      <c r="W121" s="3" t="s">
        <v>3134</v>
      </c>
      <c r="X121" s="5"/>
      <c r="Y121" s="73" t="str">
        <f t="shared" si="9"/>
        <v/>
      </c>
      <c r="Z121" s="18">
        <v>46146</v>
      </c>
      <c r="AA121" s="15"/>
      <c r="AB121" s="15"/>
      <c r="AF121" t="str">
        <f t="shared" si="10"/>
        <v>Other</v>
      </c>
    </row>
    <row r="122" spans="1:32" hidden="1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31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13"/>
        <v>23</v>
      </c>
      <c r="R122" s="53" t="str">
        <f t="shared" si="14"/>
        <v>01</v>
      </c>
      <c r="S122" s="3" t="s">
        <v>39</v>
      </c>
      <c r="T122" s="3" t="s">
        <v>40</v>
      </c>
      <c r="U122" s="9" t="s">
        <v>63</v>
      </c>
      <c r="V122" s="3" t="s">
        <v>64</v>
      </c>
      <c r="W122" s="3" t="s">
        <v>65</v>
      </c>
      <c r="X122" s="2">
        <f t="shared" ref="X122:X130" si="15">Z122</f>
        <v>46146</v>
      </c>
      <c r="Y122" s="73">
        <f t="shared" si="9"/>
        <v>40</v>
      </c>
      <c r="Z122" s="18">
        <v>46146</v>
      </c>
      <c r="AA122" s="15"/>
      <c r="AB122" s="15"/>
      <c r="AF122" t="str">
        <f t="shared" si="10"/>
        <v>Closed in May</v>
      </c>
    </row>
    <row r="123" spans="1:32" hidden="1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31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13"/>
        <v>22</v>
      </c>
      <c r="R123" s="53" t="str">
        <f t="shared" si="14"/>
        <v>12</v>
      </c>
      <c r="S123" s="3" t="s">
        <v>39</v>
      </c>
      <c r="T123" s="3" t="s">
        <v>40</v>
      </c>
      <c r="U123" s="9" t="s">
        <v>63</v>
      </c>
      <c r="V123" s="3" t="s">
        <v>64</v>
      </c>
      <c r="W123" s="3" t="s">
        <v>65</v>
      </c>
      <c r="X123" s="2">
        <f t="shared" si="15"/>
        <v>46146</v>
      </c>
      <c r="Y123" s="73">
        <f t="shared" si="9"/>
        <v>40</v>
      </c>
      <c r="Z123" s="18">
        <v>46146</v>
      </c>
      <c r="AA123" s="15"/>
      <c r="AB123" s="15"/>
      <c r="AF123" t="str">
        <f t="shared" si="10"/>
        <v>Closed in May</v>
      </c>
    </row>
    <row r="124" spans="1:32" hidden="1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31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13"/>
        <v>22</v>
      </c>
      <c r="R124" s="53" t="str">
        <f t="shared" si="14"/>
        <v>12</v>
      </c>
      <c r="S124" s="3" t="s">
        <v>39</v>
      </c>
      <c r="T124" s="3" t="s">
        <v>40</v>
      </c>
      <c r="U124" s="9" t="s">
        <v>69</v>
      </c>
      <c r="V124" s="3" t="s">
        <v>64</v>
      </c>
      <c r="W124" s="3" t="s">
        <v>65</v>
      </c>
      <c r="X124" s="2">
        <f t="shared" si="15"/>
        <v>46146</v>
      </c>
      <c r="Y124" s="73">
        <f t="shared" si="9"/>
        <v>40</v>
      </c>
      <c r="Z124" s="18">
        <v>46146</v>
      </c>
      <c r="AA124" s="15"/>
      <c r="AB124" s="15"/>
      <c r="AF124" t="str">
        <f t="shared" si="10"/>
        <v>Closed in May</v>
      </c>
    </row>
    <row r="125" spans="1:32" hidden="1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31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13"/>
        <v>22</v>
      </c>
      <c r="R125" s="53" t="str">
        <f t="shared" si="14"/>
        <v>12</v>
      </c>
      <c r="S125" s="3" t="s">
        <v>39</v>
      </c>
      <c r="T125" s="3" t="s">
        <v>40</v>
      </c>
      <c r="U125" s="9" t="s">
        <v>63</v>
      </c>
      <c r="V125" s="3" t="s">
        <v>64</v>
      </c>
      <c r="W125" s="3" t="s">
        <v>65</v>
      </c>
      <c r="X125" s="2">
        <f t="shared" si="15"/>
        <v>46146</v>
      </c>
      <c r="Y125" s="73">
        <f t="shared" si="9"/>
        <v>40</v>
      </c>
      <c r="Z125" s="18">
        <v>46146</v>
      </c>
      <c r="AA125" s="15"/>
      <c r="AB125" s="15"/>
      <c r="AF125" t="str">
        <f t="shared" si="10"/>
        <v>Closed in May</v>
      </c>
    </row>
    <row r="126" spans="1:32" hidden="1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31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13"/>
        <v>23</v>
      </c>
      <c r="R126" s="53" t="str">
        <f t="shared" si="14"/>
        <v>01</v>
      </c>
      <c r="S126" s="3" t="s">
        <v>39</v>
      </c>
      <c r="T126" s="3" t="s">
        <v>40</v>
      </c>
      <c r="U126" s="9" t="s">
        <v>63</v>
      </c>
      <c r="V126" s="3" t="s">
        <v>64</v>
      </c>
      <c r="W126" s="3" t="s">
        <v>65</v>
      </c>
      <c r="X126" s="2">
        <f t="shared" si="15"/>
        <v>46146</v>
      </c>
      <c r="Y126" s="73">
        <f t="shared" si="9"/>
        <v>40</v>
      </c>
      <c r="Z126" s="18">
        <v>46146</v>
      </c>
      <c r="AA126" s="15"/>
      <c r="AB126" s="15"/>
      <c r="AF126" t="str">
        <f t="shared" si="10"/>
        <v>Closed in May</v>
      </c>
    </row>
    <row r="127" spans="1:32" hidden="1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31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13"/>
        <v>23</v>
      </c>
      <c r="R127" s="53" t="str">
        <f t="shared" si="14"/>
        <v>01</v>
      </c>
      <c r="S127" s="3" t="s">
        <v>39</v>
      </c>
      <c r="T127" s="3" t="s">
        <v>40</v>
      </c>
      <c r="U127" s="9" t="s">
        <v>63</v>
      </c>
      <c r="V127" s="3" t="s">
        <v>64</v>
      </c>
      <c r="W127" s="3" t="s">
        <v>65</v>
      </c>
      <c r="X127" s="2">
        <f t="shared" si="15"/>
        <v>46146</v>
      </c>
      <c r="Y127" s="73">
        <f t="shared" si="9"/>
        <v>40</v>
      </c>
      <c r="Z127" s="18">
        <v>46146</v>
      </c>
      <c r="AA127" s="15"/>
      <c r="AB127" s="15"/>
      <c r="AF127" t="str">
        <f t="shared" si="10"/>
        <v>Closed in May</v>
      </c>
    </row>
    <row r="128" spans="1:32" hidden="1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31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13"/>
        <v>23</v>
      </c>
      <c r="R128" s="53" t="str">
        <f t="shared" si="14"/>
        <v>01</v>
      </c>
      <c r="S128" s="3" t="s">
        <v>39</v>
      </c>
      <c r="T128" s="3" t="s">
        <v>40</v>
      </c>
      <c r="U128" s="9" t="s">
        <v>63</v>
      </c>
      <c r="V128" s="3" t="s">
        <v>64</v>
      </c>
      <c r="W128" s="3" t="s">
        <v>65</v>
      </c>
      <c r="X128" s="2">
        <f t="shared" si="15"/>
        <v>46146</v>
      </c>
      <c r="Y128" s="73">
        <f t="shared" si="9"/>
        <v>40</v>
      </c>
      <c r="Z128" s="18">
        <v>46146</v>
      </c>
      <c r="AA128" s="15"/>
      <c r="AB128" s="15"/>
      <c r="AF128" t="str">
        <f t="shared" si="10"/>
        <v>Closed in May</v>
      </c>
    </row>
    <row r="129" spans="1:32" hidden="1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31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13"/>
        <v>22</v>
      </c>
      <c r="R129" s="53" t="str">
        <f t="shared" si="14"/>
        <v>12</v>
      </c>
      <c r="S129" s="3" t="s">
        <v>39</v>
      </c>
      <c r="T129" s="3" t="s">
        <v>40</v>
      </c>
      <c r="U129" s="9" t="s">
        <v>63</v>
      </c>
      <c r="V129" s="3" t="s">
        <v>64</v>
      </c>
      <c r="W129" s="3" t="s">
        <v>65</v>
      </c>
      <c r="X129" s="2">
        <f t="shared" si="15"/>
        <v>46146</v>
      </c>
      <c r="Y129" s="73">
        <f t="shared" si="9"/>
        <v>40</v>
      </c>
      <c r="Z129" s="18">
        <v>46146</v>
      </c>
      <c r="AA129" s="15"/>
      <c r="AB129" s="15"/>
      <c r="AF129" t="str">
        <f t="shared" si="10"/>
        <v>Closed in May</v>
      </c>
    </row>
    <row r="130" spans="1:32" hidden="1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31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13"/>
        <v>23</v>
      </c>
      <c r="R130" s="53" t="str">
        <f t="shared" si="14"/>
        <v>01</v>
      </c>
      <c r="S130" s="3" t="s">
        <v>39</v>
      </c>
      <c r="T130" s="3" t="s">
        <v>40</v>
      </c>
      <c r="U130" s="9" t="s">
        <v>63</v>
      </c>
      <c r="V130" s="3" t="s">
        <v>64</v>
      </c>
      <c r="W130" s="3" t="s">
        <v>65</v>
      </c>
      <c r="X130" s="2">
        <f t="shared" si="15"/>
        <v>46146</v>
      </c>
      <c r="Y130" s="73">
        <f t="shared" ref="Y130:Y193" si="16">IF(X130="","",X130-A130)</f>
        <v>40</v>
      </c>
      <c r="Z130" s="18">
        <v>46146</v>
      </c>
      <c r="AA130" s="15"/>
      <c r="AB130" s="15"/>
      <c r="AF130" t="str">
        <f t="shared" ref="AF130:AF193" si="17">IF(AND($F130="Closed",$X130&gt;=DATE(2026,5,1),$X130&lt;=DATE(2026,5,31)),"Closed in May","Other")</f>
        <v>Closed in May</v>
      </c>
    </row>
    <row r="131" spans="1:32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13"/>
        <v>23</v>
      </c>
      <c r="R131" s="53" t="str">
        <f t="shared" si="14"/>
        <v>01</v>
      </c>
      <c r="S131" s="3" t="s">
        <v>39</v>
      </c>
      <c r="T131" s="3" t="s">
        <v>40</v>
      </c>
      <c r="U131" s="9" t="s">
        <v>63</v>
      </c>
      <c r="V131" s="3" t="s">
        <v>64</v>
      </c>
      <c r="W131" s="3" t="s">
        <v>3134</v>
      </c>
      <c r="X131" s="5"/>
      <c r="Y131" s="73" t="str">
        <f t="shared" si="16"/>
        <v/>
      </c>
      <c r="Z131" s="18">
        <v>46146</v>
      </c>
      <c r="AA131" s="15"/>
      <c r="AB131" s="15"/>
      <c r="AF131" t="str">
        <f t="shared" si="17"/>
        <v>Other</v>
      </c>
    </row>
    <row r="132" spans="1:32" hidden="1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31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13"/>
        <v>22</v>
      </c>
      <c r="R132" s="53" t="str">
        <f t="shared" si="14"/>
        <v>12</v>
      </c>
      <c r="S132" s="3" t="s">
        <v>39</v>
      </c>
      <c r="T132" s="3" t="s">
        <v>40</v>
      </c>
      <c r="U132" s="9" t="s">
        <v>63</v>
      </c>
      <c r="V132" s="3" t="s">
        <v>64</v>
      </c>
      <c r="W132" s="3" t="s">
        <v>65</v>
      </c>
      <c r="X132" s="2">
        <f>Z132</f>
        <v>46146</v>
      </c>
      <c r="Y132" s="73">
        <f t="shared" si="16"/>
        <v>40</v>
      </c>
      <c r="Z132" s="18">
        <v>46146</v>
      </c>
      <c r="AA132" s="15"/>
      <c r="AB132" s="15"/>
      <c r="AF132" t="str">
        <f t="shared" si="17"/>
        <v>Closed in May</v>
      </c>
    </row>
    <row r="133" spans="1:32" hidden="1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31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13"/>
        <v>22</v>
      </c>
      <c r="R133" s="53" t="str">
        <f t="shared" si="14"/>
        <v>12</v>
      </c>
      <c r="S133" s="3" t="s">
        <v>39</v>
      </c>
      <c r="T133" s="3" t="s">
        <v>40</v>
      </c>
      <c r="U133" s="9" t="s">
        <v>63</v>
      </c>
      <c r="V133" s="3" t="s">
        <v>64</v>
      </c>
      <c r="W133" s="3" t="s">
        <v>65</v>
      </c>
      <c r="X133" s="2">
        <f>Z133</f>
        <v>46146</v>
      </c>
      <c r="Y133" s="73">
        <f t="shared" si="16"/>
        <v>40</v>
      </c>
      <c r="Z133" s="18">
        <v>46146</v>
      </c>
      <c r="AA133" s="15"/>
      <c r="AB133" s="15"/>
      <c r="AF133" t="str">
        <f t="shared" si="17"/>
        <v>Closed in May</v>
      </c>
    </row>
    <row r="134" spans="1:32" hidden="1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31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13"/>
        <v>22</v>
      </c>
      <c r="R134" s="53" t="str">
        <f t="shared" si="14"/>
        <v>12</v>
      </c>
      <c r="S134" s="3" t="s">
        <v>39</v>
      </c>
      <c r="T134" s="3" t="s">
        <v>40</v>
      </c>
      <c r="U134" s="9" t="s">
        <v>63</v>
      </c>
      <c r="V134" s="3" t="s">
        <v>64</v>
      </c>
      <c r="W134" s="3" t="s">
        <v>65</v>
      </c>
      <c r="X134" s="2">
        <f>Z134</f>
        <v>46146</v>
      </c>
      <c r="Y134" s="73">
        <f t="shared" si="16"/>
        <v>40</v>
      </c>
      <c r="Z134" s="18">
        <v>46146</v>
      </c>
      <c r="AA134" s="15"/>
      <c r="AB134" s="15"/>
      <c r="AF134" t="str">
        <f t="shared" si="17"/>
        <v>Closed in May</v>
      </c>
    </row>
    <row r="135" spans="1:32" hidden="1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31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13"/>
        <v>22</v>
      </c>
      <c r="R135" s="53" t="str">
        <f t="shared" si="14"/>
        <v>12</v>
      </c>
      <c r="S135" s="3" t="s">
        <v>39</v>
      </c>
      <c r="T135" s="3" t="s">
        <v>40</v>
      </c>
      <c r="U135" s="9" t="s">
        <v>63</v>
      </c>
      <c r="V135" s="3" t="s">
        <v>64</v>
      </c>
      <c r="W135" s="3" t="s">
        <v>65</v>
      </c>
      <c r="X135" s="2">
        <f>Z135</f>
        <v>46146</v>
      </c>
      <c r="Y135" s="73">
        <f t="shared" si="16"/>
        <v>40</v>
      </c>
      <c r="Z135" s="18">
        <v>46146</v>
      </c>
      <c r="AA135" s="15"/>
      <c r="AB135" s="15"/>
      <c r="AF135" t="str">
        <f t="shared" si="17"/>
        <v>Closed in May</v>
      </c>
    </row>
    <row r="136" spans="1:32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13"/>
        <v>22</v>
      </c>
      <c r="R136" s="53" t="str">
        <f t="shared" si="14"/>
        <v>12</v>
      </c>
      <c r="S136" s="3" t="s">
        <v>39</v>
      </c>
      <c r="T136" s="3" t="s">
        <v>40</v>
      </c>
      <c r="U136" s="9" t="s">
        <v>63</v>
      </c>
      <c r="V136" s="3" t="s">
        <v>64</v>
      </c>
      <c r="W136" s="3" t="s">
        <v>3134</v>
      </c>
      <c r="X136" s="5"/>
      <c r="Y136" s="73" t="str">
        <f t="shared" si="16"/>
        <v/>
      </c>
      <c r="Z136" s="18">
        <v>46146</v>
      </c>
      <c r="AA136" s="15"/>
      <c r="AB136" s="15"/>
      <c r="AF136" t="str">
        <f t="shared" si="17"/>
        <v>Other</v>
      </c>
    </row>
    <row r="137" spans="1:32" hidden="1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31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13"/>
        <v>22</v>
      </c>
      <c r="R137" s="53" t="str">
        <f t="shared" si="14"/>
        <v>12</v>
      </c>
      <c r="S137" s="3" t="s">
        <v>39</v>
      </c>
      <c r="T137" s="3" t="s">
        <v>40</v>
      </c>
      <c r="U137" s="9" t="s">
        <v>63</v>
      </c>
      <c r="V137" s="3" t="s">
        <v>64</v>
      </c>
      <c r="W137" s="3" t="s">
        <v>65</v>
      </c>
      <c r="X137" s="2">
        <f t="shared" ref="X137:X171" si="18">Z137</f>
        <v>46146</v>
      </c>
      <c r="Y137" s="73">
        <f t="shared" si="16"/>
        <v>40</v>
      </c>
      <c r="Z137" s="18">
        <v>46146</v>
      </c>
      <c r="AA137" s="15"/>
      <c r="AB137" s="15"/>
      <c r="AF137" t="str">
        <f t="shared" si="17"/>
        <v>Closed in May</v>
      </c>
    </row>
    <row r="138" spans="1:32" hidden="1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31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13"/>
        <v>23</v>
      </c>
      <c r="R138" s="53" t="str">
        <f t="shared" si="14"/>
        <v>01</v>
      </c>
      <c r="S138" s="3" t="s">
        <v>39</v>
      </c>
      <c r="T138" s="3" t="s">
        <v>40</v>
      </c>
      <c r="U138" s="9" t="s">
        <v>63</v>
      </c>
      <c r="V138" s="3" t="s">
        <v>64</v>
      </c>
      <c r="W138" s="3" t="s">
        <v>65</v>
      </c>
      <c r="X138" s="2">
        <f t="shared" si="18"/>
        <v>46146</v>
      </c>
      <c r="Y138" s="73">
        <f t="shared" si="16"/>
        <v>40</v>
      </c>
      <c r="Z138" s="18">
        <v>46146</v>
      </c>
      <c r="AA138" s="15"/>
      <c r="AB138" s="15"/>
      <c r="AF138" t="str">
        <f t="shared" si="17"/>
        <v>Closed in May</v>
      </c>
    </row>
    <row r="139" spans="1:32" hidden="1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31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13"/>
        <v>25</v>
      </c>
      <c r="R139" s="53" t="str">
        <f t="shared" si="14"/>
        <v>03</v>
      </c>
      <c r="S139" s="3" t="s">
        <v>39</v>
      </c>
      <c r="T139" s="3" t="s">
        <v>40</v>
      </c>
      <c r="U139" s="9" t="s">
        <v>69</v>
      </c>
      <c r="V139" s="3" t="s">
        <v>64</v>
      </c>
      <c r="W139" s="3" t="s">
        <v>65</v>
      </c>
      <c r="X139" s="2">
        <f t="shared" si="18"/>
        <v>46146</v>
      </c>
      <c r="Y139" s="73">
        <f t="shared" si="16"/>
        <v>40</v>
      </c>
      <c r="Z139" s="18">
        <v>46146</v>
      </c>
      <c r="AA139" s="15"/>
      <c r="AB139" s="15"/>
      <c r="AF139" t="str">
        <f t="shared" si="17"/>
        <v>Closed in May</v>
      </c>
    </row>
    <row r="140" spans="1:32" hidden="1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31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13"/>
        <v>23</v>
      </c>
      <c r="R140" s="53" t="str">
        <f t="shared" si="14"/>
        <v>01</v>
      </c>
      <c r="S140" s="3" t="s">
        <v>39</v>
      </c>
      <c r="T140" s="3" t="s">
        <v>40</v>
      </c>
      <c r="U140" s="9" t="s">
        <v>63</v>
      </c>
      <c r="V140" s="3" t="s">
        <v>64</v>
      </c>
      <c r="W140" s="3" t="s">
        <v>65</v>
      </c>
      <c r="X140" s="2">
        <f t="shared" si="18"/>
        <v>46146</v>
      </c>
      <c r="Y140" s="73">
        <f t="shared" si="16"/>
        <v>40</v>
      </c>
      <c r="Z140" s="18">
        <v>46146</v>
      </c>
      <c r="AA140" s="15"/>
      <c r="AB140" s="15"/>
      <c r="AF140" t="str">
        <f t="shared" si="17"/>
        <v>Closed in May</v>
      </c>
    </row>
    <row r="141" spans="1:32" hidden="1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31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13"/>
        <v>23</v>
      </c>
      <c r="R141" s="53" t="str">
        <f t="shared" si="14"/>
        <v>01</v>
      </c>
      <c r="S141" s="3" t="s">
        <v>39</v>
      </c>
      <c r="T141" s="3" t="s">
        <v>40</v>
      </c>
      <c r="U141" s="9" t="s">
        <v>69</v>
      </c>
      <c r="V141" s="3" t="s">
        <v>64</v>
      </c>
      <c r="W141" s="3" t="s">
        <v>65</v>
      </c>
      <c r="X141" s="2">
        <f t="shared" si="18"/>
        <v>46146</v>
      </c>
      <c r="Y141" s="73">
        <f t="shared" si="16"/>
        <v>40</v>
      </c>
      <c r="Z141" s="18">
        <v>46146</v>
      </c>
      <c r="AA141" s="15"/>
      <c r="AB141" s="15"/>
      <c r="AF141" t="str">
        <f t="shared" si="17"/>
        <v>Closed in May</v>
      </c>
    </row>
    <row r="142" spans="1:32" hidden="1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31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13"/>
        <v>23</v>
      </c>
      <c r="R142" s="53" t="str">
        <f t="shared" si="14"/>
        <v>01</v>
      </c>
      <c r="S142" s="3" t="s">
        <v>39</v>
      </c>
      <c r="T142" s="3" t="s">
        <v>40</v>
      </c>
      <c r="U142" s="9" t="s">
        <v>63</v>
      </c>
      <c r="V142" s="3" t="s">
        <v>64</v>
      </c>
      <c r="W142" s="3" t="s">
        <v>65</v>
      </c>
      <c r="X142" s="2">
        <f t="shared" si="18"/>
        <v>46146</v>
      </c>
      <c r="Y142" s="73">
        <f t="shared" si="16"/>
        <v>40</v>
      </c>
      <c r="Z142" s="18">
        <v>46146</v>
      </c>
      <c r="AA142" s="15"/>
      <c r="AB142" s="15"/>
      <c r="AF142" t="str">
        <f t="shared" si="17"/>
        <v>Closed in May</v>
      </c>
    </row>
    <row r="143" spans="1:32" hidden="1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31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13"/>
        <v>22</v>
      </c>
      <c r="R143" s="53" t="str">
        <f t="shared" si="14"/>
        <v>12</v>
      </c>
      <c r="S143" s="3" t="s">
        <v>39</v>
      </c>
      <c r="T143" s="3" t="s">
        <v>40</v>
      </c>
      <c r="U143" s="9" t="s">
        <v>63</v>
      </c>
      <c r="V143" s="3" t="s">
        <v>64</v>
      </c>
      <c r="W143" s="3" t="s">
        <v>65</v>
      </c>
      <c r="X143" s="2">
        <f t="shared" si="18"/>
        <v>46146</v>
      </c>
      <c r="Y143" s="73">
        <f t="shared" si="16"/>
        <v>40</v>
      </c>
      <c r="Z143" s="18">
        <v>46146</v>
      </c>
      <c r="AA143" s="15"/>
      <c r="AB143" s="15"/>
      <c r="AF143" t="str">
        <f t="shared" si="17"/>
        <v>Closed in May</v>
      </c>
    </row>
    <row r="144" spans="1:32" hidden="1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31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13"/>
        <v>22</v>
      </c>
      <c r="R144" s="53" t="str">
        <f t="shared" si="14"/>
        <v>12</v>
      </c>
      <c r="S144" s="3" t="s">
        <v>39</v>
      </c>
      <c r="T144" s="3" t="s">
        <v>40</v>
      </c>
      <c r="U144" s="9" t="s">
        <v>63</v>
      </c>
      <c r="V144" s="3" t="s">
        <v>64</v>
      </c>
      <c r="W144" s="3" t="s">
        <v>65</v>
      </c>
      <c r="X144" s="2">
        <f t="shared" si="18"/>
        <v>46146</v>
      </c>
      <c r="Y144" s="73">
        <f t="shared" si="16"/>
        <v>40</v>
      </c>
      <c r="Z144" s="18">
        <v>46146</v>
      </c>
      <c r="AA144" s="15"/>
      <c r="AB144" s="15"/>
      <c r="AF144" t="str">
        <f t="shared" si="17"/>
        <v>Closed in May</v>
      </c>
    </row>
    <row r="145" spans="1:32" hidden="1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31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13"/>
        <v>23</v>
      </c>
      <c r="R145" s="53" t="str">
        <f t="shared" si="14"/>
        <v>01</v>
      </c>
      <c r="S145" s="3" t="s">
        <v>39</v>
      </c>
      <c r="T145" s="3" t="s">
        <v>40</v>
      </c>
      <c r="U145" s="9" t="s">
        <v>69</v>
      </c>
      <c r="V145" s="3" t="s">
        <v>64</v>
      </c>
      <c r="W145" s="3" t="s">
        <v>65</v>
      </c>
      <c r="X145" s="2">
        <f t="shared" si="18"/>
        <v>46146</v>
      </c>
      <c r="Y145" s="73">
        <f t="shared" si="16"/>
        <v>40</v>
      </c>
      <c r="Z145" s="18">
        <v>46146</v>
      </c>
      <c r="AA145" s="15"/>
      <c r="AB145" s="15"/>
      <c r="AF145" t="str">
        <f t="shared" si="17"/>
        <v>Closed in May</v>
      </c>
    </row>
    <row r="146" spans="1:32" hidden="1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31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13"/>
        <v>23</v>
      </c>
      <c r="R146" s="53" t="str">
        <f t="shared" si="14"/>
        <v>01</v>
      </c>
      <c r="S146" s="3" t="s">
        <v>39</v>
      </c>
      <c r="T146" s="3" t="s">
        <v>40</v>
      </c>
      <c r="U146" s="9" t="s">
        <v>63</v>
      </c>
      <c r="V146" s="3" t="s">
        <v>64</v>
      </c>
      <c r="W146" s="3" t="s">
        <v>65</v>
      </c>
      <c r="X146" s="2">
        <f t="shared" si="18"/>
        <v>46146</v>
      </c>
      <c r="Y146" s="73">
        <f t="shared" si="16"/>
        <v>40</v>
      </c>
      <c r="Z146" s="18">
        <v>46146</v>
      </c>
      <c r="AA146" s="15"/>
      <c r="AB146" s="15"/>
      <c r="AF146" t="str">
        <f t="shared" si="17"/>
        <v>Closed in May</v>
      </c>
    </row>
    <row r="147" spans="1:32" hidden="1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31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13"/>
        <v>23</v>
      </c>
      <c r="R147" s="53" t="str">
        <f t="shared" si="14"/>
        <v>01</v>
      </c>
      <c r="S147" s="3" t="s">
        <v>39</v>
      </c>
      <c r="T147" s="3" t="s">
        <v>40</v>
      </c>
      <c r="U147" s="9" t="s">
        <v>63</v>
      </c>
      <c r="V147" s="3" t="s">
        <v>64</v>
      </c>
      <c r="W147" s="3" t="s">
        <v>65</v>
      </c>
      <c r="X147" s="2">
        <f t="shared" si="18"/>
        <v>46146</v>
      </c>
      <c r="Y147" s="73">
        <f t="shared" si="16"/>
        <v>40</v>
      </c>
      <c r="Z147" s="18">
        <v>46146</v>
      </c>
      <c r="AA147" s="15"/>
      <c r="AB147" s="15"/>
      <c r="AF147" t="str">
        <f t="shared" si="17"/>
        <v>Closed in May</v>
      </c>
    </row>
    <row r="148" spans="1:32" hidden="1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31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13"/>
        <v>23</v>
      </c>
      <c r="R148" s="53" t="str">
        <f t="shared" si="14"/>
        <v>01</v>
      </c>
      <c r="S148" s="3" t="s">
        <v>39</v>
      </c>
      <c r="T148" s="3" t="s">
        <v>40</v>
      </c>
      <c r="U148" s="9" t="s">
        <v>63</v>
      </c>
      <c r="V148" s="3" t="s">
        <v>64</v>
      </c>
      <c r="W148" s="3" t="s">
        <v>65</v>
      </c>
      <c r="X148" s="2">
        <f t="shared" si="18"/>
        <v>46146</v>
      </c>
      <c r="Y148" s="73">
        <f t="shared" si="16"/>
        <v>40</v>
      </c>
      <c r="Z148" s="18">
        <v>46146</v>
      </c>
      <c r="AA148" s="15"/>
      <c r="AB148" s="15"/>
      <c r="AF148" t="str">
        <f t="shared" si="17"/>
        <v>Closed in May</v>
      </c>
    </row>
    <row r="149" spans="1:32" hidden="1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31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13"/>
        <v>23</v>
      </c>
      <c r="R149" s="53" t="str">
        <f t="shared" si="14"/>
        <v>01</v>
      </c>
      <c r="S149" s="3" t="s">
        <v>39</v>
      </c>
      <c r="T149" s="3" t="s">
        <v>40</v>
      </c>
      <c r="U149" s="9" t="s">
        <v>63</v>
      </c>
      <c r="V149" s="3" t="s">
        <v>64</v>
      </c>
      <c r="W149" s="3" t="s">
        <v>65</v>
      </c>
      <c r="X149" s="2">
        <f t="shared" si="18"/>
        <v>46146</v>
      </c>
      <c r="Y149" s="73">
        <f t="shared" si="16"/>
        <v>40</v>
      </c>
      <c r="Z149" s="18">
        <v>46146</v>
      </c>
      <c r="AA149" s="15"/>
      <c r="AB149" s="15"/>
      <c r="AF149" t="str">
        <f t="shared" si="17"/>
        <v>Closed in May</v>
      </c>
    </row>
    <row r="150" spans="1:32" hidden="1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31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13"/>
        <v>23</v>
      </c>
      <c r="R150" s="53" t="str">
        <f t="shared" si="14"/>
        <v>01</v>
      </c>
      <c r="S150" s="3" t="s">
        <v>39</v>
      </c>
      <c r="T150" s="3" t="s">
        <v>40</v>
      </c>
      <c r="U150" s="9" t="s">
        <v>69</v>
      </c>
      <c r="V150" s="3" t="s">
        <v>64</v>
      </c>
      <c r="W150" s="3" t="s">
        <v>65</v>
      </c>
      <c r="X150" s="2">
        <f t="shared" si="18"/>
        <v>46146</v>
      </c>
      <c r="Y150" s="73">
        <f t="shared" si="16"/>
        <v>40</v>
      </c>
      <c r="Z150" s="18">
        <v>46146</v>
      </c>
      <c r="AA150" s="15"/>
      <c r="AB150" s="15"/>
      <c r="AF150" t="str">
        <f t="shared" si="17"/>
        <v>Closed in May</v>
      </c>
    </row>
    <row r="151" spans="1:32" hidden="1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31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13"/>
        <v>22</v>
      </c>
      <c r="R151" s="53" t="str">
        <f t="shared" si="14"/>
        <v>12</v>
      </c>
      <c r="S151" s="3" t="s">
        <v>39</v>
      </c>
      <c r="T151" s="3" t="s">
        <v>40</v>
      </c>
      <c r="U151" s="9" t="s">
        <v>63</v>
      </c>
      <c r="V151" s="3" t="s">
        <v>64</v>
      </c>
      <c r="W151" s="3" t="s">
        <v>65</v>
      </c>
      <c r="X151" s="2">
        <f t="shared" si="18"/>
        <v>46146</v>
      </c>
      <c r="Y151" s="73">
        <f t="shared" si="16"/>
        <v>40</v>
      </c>
      <c r="Z151" s="18">
        <v>46146</v>
      </c>
      <c r="AA151" s="15"/>
      <c r="AB151" s="15"/>
      <c r="AF151" t="str">
        <f t="shared" si="17"/>
        <v>Closed in May</v>
      </c>
    </row>
    <row r="152" spans="1:32" hidden="1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31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13"/>
        <v>22</v>
      </c>
      <c r="R152" s="53" t="str">
        <f t="shared" si="14"/>
        <v>12</v>
      </c>
      <c r="S152" s="3" t="s">
        <v>39</v>
      </c>
      <c r="T152" s="3" t="s">
        <v>40</v>
      </c>
      <c r="U152" s="9" t="s">
        <v>63</v>
      </c>
      <c r="V152" s="3" t="s">
        <v>64</v>
      </c>
      <c r="W152" s="3" t="s">
        <v>65</v>
      </c>
      <c r="X152" s="2">
        <f t="shared" si="18"/>
        <v>46146</v>
      </c>
      <c r="Y152" s="73">
        <f t="shared" si="16"/>
        <v>40</v>
      </c>
      <c r="Z152" s="18">
        <v>46146</v>
      </c>
      <c r="AA152" s="15"/>
      <c r="AB152" s="15"/>
      <c r="AF152" t="str">
        <f t="shared" si="17"/>
        <v>Closed in May</v>
      </c>
    </row>
    <row r="153" spans="1:32" hidden="1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31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13"/>
        <v>22</v>
      </c>
      <c r="R153" s="53" t="str">
        <f t="shared" si="14"/>
        <v>12</v>
      </c>
      <c r="S153" s="3" t="s">
        <v>39</v>
      </c>
      <c r="T153" s="3" t="s">
        <v>40</v>
      </c>
      <c r="U153" s="9" t="s">
        <v>69</v>
      </c>
      <c r="V153" s="3" t="s">
        <v>64</v>
      </c>
      <c r="W153" s="3" t="s">
        <v>65</v>
      </c>
      <c r="X153" s="2">
        <f t="shared" si="18"/>
        <v>46146</v>
      </c>
      <c r="Y153" s="73">
        <f t="shared" si="16"/>
        <v>40</v>
      </c>
      <c r="Z153" s="18">
        <v>46146</v>
      </c>
      <c r="AA153" s="15"/>
      <c r="AB153" s="15"/>
      <c r="AF153" t="str">
        <f t="shared" si="17"/>
        <v>Closed in May</v>
      </c>
    </row>
    <row r="154" spans="1:32" hidden="1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31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13"/>
        <v>23</v>
      </c>
      <c r="R154" s="53" t="str">
        <f t="shared" si="14"/>
        <v>01</v>
      </c>
      <c r="S154" s="3" t="s">
        <v>39</v>
      </c>
      <c r="T154" s="3" t="s">
        <v>40</v>
      </c>
      <c r="U154" s="9" t="s">
        <v>63</v>
      </c>
      <c r="V154" s="3" t="s">
        <v>64</v>
      </c>
      <c r="W154" s="3" t="s">
        <v>65</v>
      </c>
      <c r="X154" s="2">
        <f t="shared" si="18"/>
        <v>46146</v>
      </c>
      <c r="Y154" s="73">
        <f t="shared" si="16"/>
        <v>40</v>
      </c>
      <c r="Z154" s="18">
        <v>46146</v>
      </c>
      <c r="AA154" s="15"/>
      <c r="AB154" s="15"/>
      <c r="AF154" t="str">
        <f t="shared" si="17"/>
        <v>Closed in May</v>
      </c>
    </row>
    <row r="155" spans="1:32" hidden="1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31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13"/>
        <v>22</v>
      </c>
      <c r="R155" s="53" t="str">
        <f t="shared" si="14"/>
        <v>12</v>
      </c>
      <c r="S155" s="3" t="s">
        <v>39</v>
      </c>
      <c r="T155" s="3" t="s">
        <v>40</v>
      </c>
      <c r="U155" s="9" t="s">
        <v>63</v>
      </c>
      <c r="V155" s="3" t="s">
        <v>64</v>
      </c>
      <c r="W155" s="3" t="s">
        <v>65</v>
      </c>
      <c r="X155" s="2">
        <f t="shared" si="18"/>
        <v>46146</v>
      </c>
      <c r="Y155" s="73">
        <f t="shared" si="16"/>
        <v>40</v>
      </c>
      <c r="Z155" s="18">
        <v>46146</v>
      </c>
      <c r="AA155" s="15"/>
      <c r="AB155" s="15"/>
      <c r="AF155" t="str">
        <f t="shared" si="17"/>
        <v>Closed in May</v>
      </c>
    </row>
    <row r="156" spans="1:32" hidden="1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31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13"/>
        <v>22</v>
      </c>
      <c r="R156" s="53" t="str">
        <f t="shared" si="14"/>
        <v>12</v>
      </c>
      <c r="S156" s="3" t="s">
        <v>39</v>
      </c>
      <c r="T156" s="3" t="s">
        <v>40</v>
      </c>
      <c r="U156" s="9" t="s">
        <v>63</v>
      </c>
      <c r="V156" s="3" t="s">
        <v>64</v>
      </c>
      <c r="W156" s="3" t="s">
        <v>65</v>
      </c>
      <c r="X156" s="2">
        <f t="shared" si="18"/>
        <v>46146</v>
      </c>
      <c r="Y156" s="73">
        <f t="shared" si="16"/>
        <v>40</v>
      </c>
      <c r="Z156" s="18">
        <v>46146</v>
      </c>
      <c r="AA156" s="15"/>
      <c r="AB156" s="15"/>
      <c r="AF156" t="str">
        <f t="shared" si="17"/>
        <v>Closed in May</v>
      </c>
    </row>
    <row r="157" spans="1:32" hidden="1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31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13"/>
        <v>23</v>
      </c>
      <c r="R157" s="53" t="str">
        <f t="shared" si="14"/>
        <v>01</v>
      </c>
      <c r="S157" s="3" t="s">
        <v>39</v>
      </c>
      <c r="T157" s="3" t="s">
        <v>40</v>
      </c>
      <c r="U157" s="9" t="s">
        <v>63</v>
      </c>
      <c r="V157" s="3" t="s">
        <v>64</v>
      </c>
      <c r="W157" s="3" t="s">
        <v>65</v>
      </c>
      <c r="X157" s="2">
        <f t="shared" si="18"/>
        <v>46146</v>
      </c>
      <c r="Y157" s="73">
        <f t="shared" si="16"/>
        <v>40</v>
      </c>
      <c r="Z157" s="18">
        <v>46146</v>
      </c>
      <c r="AA157" s="15"/>
      <c r="AB157" s="15"/>
      <c r="AF157" t="str">
        <f t="shared" si="17"/>
        <v>Closed in May</v>
      </c>
    </row>
    <row r="158" spans="1:32" hidden="1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31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13"/>
        <v>22</v>
      </c>
      <c r="R158" s="53" t="str">
        <f t="shared" si="14"/>
        <v>12</v>
      </c>
      <c r="S158" s="3" t="s">
        <v>39</v>
      </c>
      <c r="T158" s="3" t="s">
        <v>40</v>
      </c>
      <c r="U158" s="9" t="s">
        <v>63</v>
      </c>
      <c r="V158" s="3" t="s">
        <v>64</v>
      </c>
      <c r="W158" s="3" t="s">
        <v>65</v>
      </c>
      <c r="X158" s="2">
        <f t="shared" si="18"/>
        <v>46146</v>
      </c>
      <c r="Y158" s="73">
        <f t="shared" si="16"/>
        <v>40</v>
      </c>
      <c r="Z158" s="18">
        <v>46146</v>
      </c>
      <c r="AA158" s="15"/>
      <c r="AB158" s="15"/>
      <c r="AF158" t="str">
        <f t="shared" si="17"/>
        <v>Closed in May</v>
      </c>
    </row>
    <row r="159" spans="1:32" hidden="1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31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13"/>
        <v>23</v>
      </c>
      <c r="R159" s="53" t="str">
        <f t="shared" si="14"/>
        <v>01</v>
      </c>
      <c r="S159" s="3" t="s">
        <v>39</v>
      </c>
      <c r="T159" s="3" t="s">
        <v>40</v>
      </c>
      <c r="U159" s="9" t="s">
        <v>69</v>
      </c>
      <c r="V159" s="3" t="s">
        <v>64</v>
      </c>
      <c r="W159" s="3" t="s">
        <v>65</v>
      </c>
      <c r="X159" s="2">
        <f t="shared" si="18"/>
        <v>46146</v>
      </c>
      <c r="Y159" s="73">
        <f t="shared" si="16"/>
        <v>40</v>
      </c>
      <c r="Z159" s="18">
        <v>46146</v>
      </c>
      <c r="AA159" s="15"/>
      <c r="AB159" s="15"/>
      <c r="AF159" t="str">
        <f t="shared" si="17"/>
        <v>Closed in May</v>
      </c>
    </row>
    <row r="160" spans="1:32" hidden="1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31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13"/>
        <v>23</v>
      </c>
      <c r="R160" s="53" t="str">
        <f t="shared" si="14"/>
        <v>01</v>
      </c>
      <c r="S160" s="3" t="s">
        <v>39</v>
      </c>
      <c r="T160" s="3" t="s">
        <v>40</v>
      </c>
      <c r="U160" s="9" t="s">
        <v>63</v>
      </c>
      <c r="V160" s="3" t="s">
        <v>64</v>
      </c>
      <c r="W160" s="3" t="s">
        <v>65</v>
      </c>
      <c r="X160" s="2">
        <f t="shared" si="18"/>
        <v>46146</v>
      </c>
      <c r="Y160" s="73">
        <f t="shared" si="16"/>
        <v>40</v>
      </c>
      <c r="Z160" s="18">
        <v>46146</v>
      </c>
      <c r="AA160" s="15"/>
      <c r="AB160" s="15"/>
      <c r="AF160" t="str">
        <f t="shared" si="17"/>
        <v>Closed in May</v>
      </c>
    </row>
    <row r="161" spans="1:32" hidden="1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31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13"/>
        <v>23</v>
      </c>
      <c r="R161" s="53" t="str">
        <f t="shared" si="14"/>
        <v>01</v>
      </c>
      <c r="S161" s="3" t="s">
        <v>39</v>
      </c>
      <c r="T161" s="3" t="s">
        <v>40</v>
      </c>
      <c r="U161" s="9" t="s">
        <v>69</v>
      </c>
      <c r="V161" s="3" t="s">
        <v>64</v>
      </c>
      <c r="W161" s="3" t="s">
        <v>65</v>
      </c>
      <c r="X161" s="2">
        <f t="shared" si="18"/>
        <v>46146</v>
      </c>
      <c r="Y161" s="73">
        <f t="shared" si="16"/>
        <v>40</v>
      </c>
      <c r="Z161" s="18">
        <v>46146</v>
      </c>
      <c r="AA161" s="15"/>
      <c r="AB161" s="15"/>
      <c r="AF161" t="str">
        <f t="shared" si="17"/>
        <v>Closed in May</v>
      </c>
    </row>
    <row r="162" spans="1:32" hidden="1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31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13"/>
        <v>22</v>
      </c>
      <c r="R162" s="53" t="str">
        <f t="shared" si="14"/>
        <v>12</v>
      </c>
      <c r="S162" s="3" t="s">
        <v>39</v>
      </c>
      <c r="T162" s="3" t="s">
        <v>40</v>
      </c>
      <c r="U162" s="9" t="s">
        <v>63</v>
      </c>
      <c r="V162" s="3" t="s">
        <v>64</v>
      </c>
      <c r="W162" s="3" t="s">
        <v>65</v>
      </c>
      <c r="X162" s="2">
        <f t="shared" si="18"/>
        <v>46146</v>
      </c>
      <c r="Y162" s="73">
        <f t="shared" si="16"/>
        <v>40</v>
      </c>
      <c r="Z162" s="18">
        <v>46146</v>
      </c>
      <c r="AA162" s="15"/>
      <c r="AB162" s="15"/>
      <c r="AF162" t="str">
        <f t="shared" si="17"/>
        <v>Closed in May</v>
      </c>
    </row>
    <row r="163" spans="1:32" hidden="1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31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13"/>
        <v>22</v>
      </c>
      <c r="R163" s="53" t="str">
        <f t="shared" si="14"/>
        <v>12</v>
      </c>
      <c r="S163" s="3" t="s">
        <v>39</v>
      </c>
      <c r="T163" s="3" t="s">
        <v>40</v>
      </c>
      <c r="U163" s="9" t="s">
        <v>63</v>
      </c>
      <c r="V163" s="3" t="s">
        <v>64</v>
      </c>
      <c r="W163" s="3" t="s">
        <v>65</v>
      </c>
      <c r="X163" s="2">
        <f t="shared" si="18"/>
        <v>46146</v>
      </c>
      <c r="Y163" s="73">
        <f t="shared" si="16"/>
        <v>40</v>
      </c>
      <c r="Z163" s="18">
        <v>46146</v>
      </c>
      <c r="AA163" s="15"/>
      <c r="AB163" s="15"/>
      <c r="AF163" t="str">
        <f t="shared" si="17"/>
        <v>Closed in May</v>
      </c>
    </row>
    <row r="164" spans="1:32" hidden="1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31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13"/>
        <v>22</v>
      </c>
      <c r="R164" s="53" t="str">
        <f t="shared" si="14"/>
        <v>12</v>
      </c>
      <c r="S164" s="3" t="s">
        <v>39</v>
      </c>
      <c r="T164" s="3" t="s">
        <v>40</v>
      </c>
      <c r="U164" s="9" t="s">
        <v>63</v>
      </c>
      <c r="V164" s="3" t="s">
        <v>64</v>
      </c>
      <c r="W164" s="3" t="s">
        <v>65</v>
      </c>
      <c r="X164" s="2">
        <f t="shared" si="18"/>
        <v>46146</v>
      </c>
      <c r="Y164" s="73">
        <f t="shared" si="16"/>
        <v>40</v>
      </c>
      <c r="Z164" s="18">
        <v>46146</v>
      </c>
      <c r="AA164" s="15"/>
      <c r="AB164" s="15"/>
      <c r="AF164" t="str">
        <f t="shared" si="17"/>
        <v>Closed in May</v>
      </c>
    </row>
    <row r="165" spans="1:32" hidden="1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31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13"/>
        <v>22</v>
      </c>
      <c r="R165" s="53" t="str">
        <f t="shared" si="14"/>
        <v>12</v>
      </c>
      <c r="S165" s="3" t="s">
        <v>39</v>
      </c>
      <c r="T165" s="3" t="s">
        <v>40</v>
      </c>
      <c r="U165" s="9" t="s">
        <v>63</v>
      </c>
      <c r="V165" s="3" t="s">
        <v>64</v>
      </c>
      <c r="W165" s="3" t="s">
        <v>65</v>
      </c>
      <c r="X165" s="2">
        <f t="shared" si="18"/>
        <v>46146</v>
      </c>
      <c r="Y165" s="73">
        <f t="shared" si="16"/>
        <v>40</v>
      </c>
      <c r="Z165" s="18">
        <v>46146</v>
      </c>
      <c r="AA165" s="15"/>
      <c r="AB165" s="15"/>
      <c r="AF165" t="str">
        <f t="shared" si="17"/>
        <v>Closed in May</v>
      </c>
    </row>
    <row r="166" spans="1:32" hidden="1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31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13"/>
        <v>23</v>
      </c>
      <c r="R166" s="53" t="str">
        <f t="shared" si="14"/>
        <v>01</v>
      </c>
      <c r="S166" s="3" t="s">
        <v>39</v>
      </c>
      <c r="T166" s="3" t="s">
        <v>40</v>
      </c>
      <c r="U166" s="9" t="s">
        <v>69</v>
      </c>
      <c r="V166" s="3" t="s">
        <v>64</v>
      </c>
      <c r="W166" s="3" t="s">
        <v>65</v>
      </c>
      <c r="X166" s="2">
        <f t="shared" si="18"/>
        <v>46146</v>
      </c>
      <c r="Y166" s="73">
        <f t="shared" si="16"/>
        <v>40</v>
      </c>
      <c r="Z166" s="18">
        <v>46146</v>
      </c>
      <c r="AA166" s="15"/>
      <c r="AB166" s="15"/>
      <c r="AF166" t="str">
        <f t="shared" si="17"/>
        <v>Closed in May</v>
      </c>
    </row>
    <row r="167" spans="1:32" hidden="1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31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9">MID(P167,5,2)</f>
        <v>22</v>
      </c>
      <c r="R167" s="53" t="str">
        <f t="shared" ref="R167:R230" si="20">MID(P167,7,2)</f>
        <v>12</v>
      </c>
      <c r="S167" s="3" t="s">
        <v>39</v>
      </c>
      <c r="T167" s="3" t="s">
        <v>40</v>
      </c>
      <c r="U167" s="9" t="s">
        <v>63</v>
      </c>
      <c r="V167" s="3" t="s">
        <v>64</v>
      </c>
      <c r="W167" s="3" t="s">
        <v>65</v>
      </c>
      <c r="X167" s="2">
        <f t="shared" si="18"/>
        <v>46146</v>
      </c>
      <c r="Y167" s="73">
        <f t="shared" si="16"/>
        <v>40</v>
      </c>
      <c r="Z167" s="18">
        <v>46146</v>
      </c>
      <c r="AA167" s="15"/>
      <c r="AB167" s="15"/>
      <c r="AF167" t="str">
        <f t="shared" si="17"/>
        <v>Closed in May</v>
      </c>
    </row>
    <row r="168" spans="1:32" hidden="1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31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9"/>
        <v>23</v>
      </c>
      <c r="R168" s="53" t="str">
        <f t="shared" si="20"/>
        <v>01</v>
      </c>
      <c r="S168" s="3" t="s">
        <v>39</v>
      </c>
      <c r="T168" s="3" t="s">
        <v>40</v>
      </c>
      <c r="U168" s="9" t="s">
        <v>69</v>
      </c>
      <c r="V168" s="3" t="s">
        <v>64</v>
      </c>
      <c r="W168" s="3" t="s">
        <v>65</v>
      </c>
      <c r="X168" s="2">
        <f t="shared" si="18"/>
        <v>46146</v>
      </c>
      <c r="Y168" s="73">
        <f t="shared" si="16"/>
        <v>40</v>
      </c>
      <c r="Z168" s="18">
        <v>46146</v>
      </c>
      <c r="AA168" s="15"/>
      <c r="AB168" s="15"/>
      <c r="AF168" t="str">
        <f t="shared" si="17"/>
        <v>Closed in May</v>
      </c>
    </row>
    <row r="169" spans="1:32" hidden="1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31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9"/>
        <v>23</v>
      </c>
      <c r="R169" s="53" t="str">
        <f t="shared" si="20"/>
        <v>01</v>
      </c>
      <c r="S169" s="3" t="s">
        <v>39</v>
      </c>
      <c r="T169" s="3" t="s">
        <v>40</v>
      </c>
      <c r="U169" s="9" t="s">
        <v>69</v>
      </c>
      <c r="V169" s="3" t="s">
        <v>64</v>
      </c>
      <c r="W169" s="3" t="s">
        <v>65</v>
      </c>
      <c r="X169" s="2">
        <f t="shared" si="18"/>
        <v>46146</v>
      </c>
      <c r="Y169" s="73">
        <f t="shared" si="16"/>
        <v>40</v>
      </c>
      <c r="Z169" s="18">
        <v>46146</v>
      </c>
      <c r="AA169" s="15"/>
      <c r="AB169" s="15"/>
      <c r="AF169" t="str">
        <f t="shared" si="17"/>
        <v>Closed in May</v>
      </c>
    </row>
    <row r="170" spans="1:32" hidden="1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31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9"/>
        <v>23</v>
      </c>
      <c r="R170" s="53" t="str">
        <f t="shared" si="20"/>
        <v>01</v>
      </c>
      <c r="S170" s="3" t="s">
        <v>39</v>
      </c>
      <c r="T170" s="3" t="s">
        <v>40</v>
      </c>
      <c r="U170" s="9" t="s">
        <v>63</v>
      </c>
      <c r="V170" s="3" t="s">
        <v>64</v>
      </c>
      <c r="W170" s="3" t="s">
        <v>65</v>
      </c>
      <c r="X170" s="2">
        <f t="shared" si="18"/>
        <v>46146</v>
      </c>
      <c r="Y170" s="73">
        <f t="shared" si="16"/>
        <v>40</v>
      </c>
      <c r="Z170" s="18">
        <v>46146</v>
      </c>
      <c r="AA170" s="15"/>
      <c r="AB170" s="15"/>
      <c r="AF170" t="str">
        <f t="shared" si="17"/>
        <v>Closed in May</v>
      </c>
    </row>
    <row r="171" spans="1:32" hidden="1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31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9"/>
        <v>22</v>
      </c>
      <c r="R171" s="53" t="str">
        <f t="shared" si="20"/>
        <v>12</v>
      </c>
      <c r="S171" s="3" t="s">
        <v>39</v>
      </c>
      <c r="T171" s="3" t="s">
        <v>40</v>
      </c>
      <c r="U171" s="9" t="s">
        <v>272</v>
      </c>
      <c r="V171" s="3" t="s">
        <v>64</v>
      </c>
      <c r="W171" s="3" t="s">
        <v>65</v>
      </c>
      <c r="X171" s="2">
        <f t="shared" si="18"/>
        <v>46146</v>
      </c>
      <c r="Y171" s="73">
        <f t="shared" si="16"/>
        <v>40</v>
      </c>
      <c r="Z171" s="18">
        <v>46146</v>
      </c>
      <c r="AA171" s="15"/>
      <c r="AB171" s="15"/>
      <c r="AF171" t="str">
        <f t="shared" si="17"/>
        <v>Closed in May</v>
      </c>
    </row>
    <row r="172" spans="1:32" hidden="1">
      <c r="A172" s="6">
        <v>46107</v>
      </c>
      <c r="B172" s="3">
        <v>2026</v>
      </c>
      <c r="C172" s="3" t="s">
        <v>114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9"/>
        <v>24</v>
      </c>
      <c r="R172" s="53" t="str">
        <f t="shared" si="20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73">
        <f t="shared" si="16"/>
        <v>39</v>
      </c>
      <c r="Z172" s="18">
        <v>46146</v>
      </c>
      <c r="AA172" s="15"/>
      <c r="AB172" s="15"/>
      <c r="AF172" t="str">
        <f t="shared" si="17"/>
        <v>Closed in May</v>
      </c>
    </row>
    <row r="173" spans="1:32" hidden="1">
      <c r="A173" s="6">
        <v>46107</v>
      </c>
      <c r="B173" s="3">
        <v>2026</v>
      </c>
      <c r="C173" s="3" t="s">
        <v>114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9"/>
        <v>24</v>
      </c>
      <c r="R173" s="53" t="str">
        <f t="shared" si="20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73">
        <f t="shared" si="16"/>
        <v>39</v>
      </c>
      <c r="Z173" s="18">
        <v>46146</v>
      </c>
      <c r="AA173" s="15"/>
      <c r="AB173" s="15"/>
      <c r="AF173" t="str">
        <f t="shared" si="17"/>
        <v>Closed in May</v>
      </c>
    </row>
    <row r="174" spans="1:32" hidden="1">
      <c r="A174" s="6">
        <v>46107</v>
      </c>
      <c r="B174" s="3">
        <v>2026</v>
      </c>
      <c r="C174" s="3" t="s">
        <v>114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9"/>
        <v>24</v>
      </c>
      <c r="R174" s="53" t="str">
        <f t="shared" si="20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73">
        <f t="shared" si="16"/>
        <v>39</v>
      </c>
      <c r="Z174" s="18">
        <v>46146</v>
      </c>
      <c r="AA174" s="15"/>
      <c r="AB174" s="15"/>
      <c r="AF174" t="str">
        <f t="shared" si="17"/>
        <v>Closed in May</v>
      </c>
    </row>
    <row r="175" spans="1:32" hidden="1">
      <c r="A175" s="6">
        <v>46107</v>
      </c>
      <c r="B175" s="3">
        <v>2026</v>
      </c>
      <c r="C175" s="3" t="s">
        <v>114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9"/>
        <v>24</v>
      </c>
      <c r="R175" s="53" t="str">
        <f t="shared" si="20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73">
        <f t="shared" si="16"/>
        <v>39</v>
      </c>
      <c r="Z175" s="18">
        <v>46146</v>
      </c>
      <c r="AA175" s="15"/>
      <c r="AB175" s="15"/>
      <c r="AF175" t="str">
        <f t="shared" si="17"/>
        <v>Closed in May</v>
      </c>
    </row>
    <row r="176" spans="1:32" hidden="1">
      <c r="A176" s="6">
        <v>46107</v>
      </c>
      <c r="B176" s="3">
        <v>2026</v>
      </c>
      <c r="C176" s="3" t="s">
        <v>114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9"/>
        <v>24</v>
      </c>
      <c r="R176" s="53" t="str">
        <f t="shared" si="20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73">
        <f t="shared" si="16"/>
        <v>39</v>
      </c>
      <c r="Z176" s="18">
        <v>46146</v>
      </c>
      <c r="AA176" s="15"/>
      <c r="AB176" s="15"/>
      <c r="AF176" t="str">
        <f t="shared" si="17"/>
        <v>Closed in May</v>
      </c>
    </row>
    <row r="177" spans="1:32" hidden="1">
      <c r="A177" s="6">
        <v>46107</v>
      </c>
      <c r="B177" s="3">
        <v>2026</v>
      </c>
      <c r="C177" s="3" t="s">
        <v>114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9"/>
        <v>24</v>
      </c>
      <c r="R177" s="53" t="str">
        <f t="shared" si="20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73">
        <f t="shared" si="16"/>
        <v>39</v>
      </c>
      <c r="Z177" s="18">
        <v>46146</v>
      </c>
      <c r="AA177" s="15"/>
      <c r="AB177" s="15"/>
      <c r="AF177" t="str">
        <f t="shared" si="17"/>
        <v>Closed in May</v>
      </c>
    </row>
    <row r="178" spans="1:32" hidden="1">
      <c r="A178" s="6">
        <v>46107</v>
      </c>
      <c r="B178" s="3">
        <v>2026</v>
      </c>
      <c r="C178" s="3" t="s">
        <v>114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9"/>
        <v>24</v>
      </c>
      <c r="R178" s="53" t="str">
        <f t="shared" si="20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73">
        <f t="shared" si="16"/>
        <v>39</v>
      </c>
      <c r="Z178" s="18">
        <v>46146</v>
      </c>
      <c r="AA178" s="15"/>
      <c r="AB178" s="15"/>
      <c r="AF178" t="str">
        <f t="shared" si="17"/>
        <v>Closed in May</v>
      </c>
    </row>
    <row r="179" spans="1:32" hidden="1">
      <c r="A179" s="6">
        <v>46107</v>
      </c>
      <c r="B179" s="3">
        <v>2026</v>
      </c>
      <c r="C179" s="3" t="s">
        <v>114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9"/>
        <v>24</v>
      </c>
      <c r="R179" s="53" t="str">
        <f t="shared" si="20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73">
        <f t="shared" si="16"/>
        <v>39</v>
      </c>
      <c r="Z179" s="18">
        <v>46146</v>
      </c>
      <c r="AA179" s="15"/>
      <c r="AB179" s="15"/>
      <c r="AF179" t="str">
        <f t="shared" si="17"/>
        <v>Closed in May</v>
      </c>
    </row>
    <row r="180" spans="1:32" hidden="1">
      <c r="A180" s="6">
        <v>46107</v>
      </c>
      <c r="B180" s="3">
        <v>2026</v>
      </c>
      <c r="C180" s="3" t="s">
        <v>114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9"/>
        <v>24</v>
      </c>
      <c r="R180" s="53" t="str">
        <f t="shared" si="20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73">
        <f t="shared" si="16"/>
        <v>39</v>
      </c>
      <c r="Z180" s="18">
        <v>46146</v>
      </c>
      <c r="AA180" s="15"/>
      <c r="AB180" s="15"/>
      <c r="AF180" t="str">
        <f t="shared" si="17"/>
        <v>Closed in May</v>
      </c>
    </row>
    <row r="181" spans="1:32" hidden="1">
      <c r="A181" s="6">
        <v>46107</v>
      </c>
      <c r="B181" s="3">
        <v>2026</v>
      </c>
      <c r="C181" s="3" t="s">
        <v>114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9"/>
        <v>24</v>
      </c>
      <c r="R181" s="53" t="str">
        <f t="shared" si="20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73">
        <f t="shared" si="16"/>
        <v>39</v>
      </c>
      <c r="Z181" s="18">
        <v>46146</v>
      </c>
      <c r="AA181" s="15"/>
      <c r="AB181" s="15"/>
      <c r="AF181" t="str">
        <f t="shared" si="17"/>
        <v>Closed in May</v>
      </c>
    </row>
    <row r="182" spans="1:32" hidden="1">
      <c r="A182" s="6">
        <v>46107</v>
      </c>
      <c r="B182" s="3">
        <v>2026</v>
      </c>
      <c r="C182" s="3" t="s">
        <v>114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9"/>
        <v>24</v>
      </c>
      <c r="R182" s="53" t="str">
        <f t="shared" si="20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73">
        <f t="shared" si="16"/>
        <v>39</v>
      </c>
      <c r="Z182" s="18">
        <v>46146</v>
      </c>
      <c r="AA182" s="15"/>
      <c r="AB182" s="15"/>
      <c r="AF182" t="str">
        <f t="shared" si="17"/>
        <v>Closed in May</v>
      </c>
    </row>
    <row r="183" spans="1:32" hidden="1">
      <c r="A183" s="6">
        <v>46107</v>
      </c>
      <c r="B183" s="3">
        <v>2026</v>
      </c>
      <c r="C183" s="3" t="s">
        <v>114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9"/>
        <v>24</v>
      </c>
      <c r="R183" s="53" t="str">
        <f t="shared" si="20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73">
        <f t="shared" si="16"/>
        <v>39</v>
      </c>
      <c r="Z183" s="18">
        <v>46146</v>
      </c>
      <c r="AA183" s="15"/>
      <c r="AB183" s="15"/>
      <c r="AF183" t="str">
        <f t="shared" si="17"/>
        <v>Closed in May</v>
      </c>
    </row>
    <row r="184" spans="1:32" hidden="1">
      <c r="A184" s="6">
        <v>46107</v>
      </c>
      <c r="B184" s="3">
        <v>2026</v>
      </c>
      <c r="C184" s="3" t="s">
        <v>114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9"/>
        <v>24</v>
      </c>
      <c r="R184" s="53" t="str">
        <f t="shared" si="20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73">
        <f t="shared" si="16"/>
        <v>39</v>
      </c>
      <c r="Z184" s="18">
        <v>46146</v>
      </c>
      <c r="AA184" s="15"/>
      <c r="AB184" s="15"/>
      <c r="AF184" t="str">
        <f t="shared" si="17"/>
        <v>Closed in May</v>
      </c>
    </row>
    <row r="185" spans="1:32" hidden="1">
      <c r="A185" s="6">
        <v>46107</v>
      </c>
      <c r="B185" s="3">
        <v>2026</v>
      </c>
      <c r="C185" s="3" t="s">
        <v>114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9"/>
        <v>24</v>
      </c>
      <c r="R185" s="53" t="str">
        <f t="shared" si="20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73">
        <f t="shared" si="16"/>
        <v>39</v>
      </c>
      <c r="Z185" s="18">
        <v>46146</v>
      </c>
      <c r="AA185" s="15"/>
      <c r="AB185" s="15"/>
      <c r="AF185" t="str">
        <f t="shared" si="17"/>
        <v>Closed in May</v>
      </c>
    </row>
    <row r="186" spans="1:32" hidden="1">
      <c r="A186" s="6">
        <v>46107</v>
      </c>
      <c r="B186" s="3">
        <v>2026</v>
      </c>
      <c r="C186" s="3" t="s">
        <v>114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9"/>
        <v>24</v>
      </c>
      <c r="R186" s="53" t="str">
        <f t="shared" si="20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73">
        <f t="shared" si="16"/>
        <v>39</v>
      </c>
      <c r="Z186" s="18">
        <v>46146</v>
      </c>
      <c r="AA186" s="15"/>
      <c r="AB186" s="15"/>
      <c r="AF186" t="str">
        <f t="shared" si="17"/>
        <v>Closed in May</v>
      </c>
    </row>
    <row r="187" spans="1:32" hidden="1">
      <c r="A187" s="6">
        <v>46107</v>
      </c>
      <c r="B187" s="3">
        <v>2026</v>
      </c>
      <c r="C187" s="3" t="s">
        <v>114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9"/>
        <v>24</v>
      </c>
      <c r="R187" s="53" t="str">
        <f t="shared" si="20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73">
        <f t="shared" si="16"/>
        <v>39</v>
      </c>
      <c r="Z187" s="18">
        <v>46146</v>
      </c>
      <c r="AA187" s="15"/>
      <c r="AB187" s="15"/>
      <c r="AF187" t="str">
        <f t="shared" si="17"/>
        <v>Closed in May</v>
      </c>
    </row>
    <row r="188" spans="1:32" hidden="1">
      <c r="A188" s="6">
        <v>46107</v>
      </c>
      <c r="B188" s="3">
        <v>2026</v>
      </c>
      <c r="C188" s="3" t="s">
        <v>114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9"/>
        <v>24</v>
      </c>
      <c r="R188" s="53" t="str">
        <f t="shared" si="20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73">
        <f t="shared" si="16"/>
        <v>39</v>
      </c>
      <c r="Z188" s="18">
        <v>46146</v>
      </c>
      <c r="AA188" s="15"/>
      <c r="AB188" s="15"/>
      <c r="AF188" t="str">
        <f t="shared" si="17"/>
        <v>Closed in May</v>
      </c>
    </row>
    <row r="189" spans="1:32" hidden="1">
      <c r="A189" s="6">
        <v>46107</v>
      </c>
      <c r="B189" s="3">
        <v>2026</v>
      </c>
      <c r="C189" s="3" t="s">
        <v>114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9"/>
        <v>24</v>
      </c>
      <c r="R189" s="53" t="str">
        <f t="shared" si="20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73">
        <f t="shared" si="16"/>
        <v>39</v>
      </c>
      <c r="Z189" s="18">
        <v>46146</v>
      </c>
      <c r="AA189" s="15"/>
      <c r="AB189" s="15"/>
      <c r="AF189" t="str">
        <f t="shared" si="17"/>
        <v>Closed in May</v>
      </c>
    </row>
    <row r="190" spans="1:32" hidden="1">
      <c r="A190" s="6">
        <v>46107</v>
      </c>
      <c r="B190" s="3">
        <v>2026</v>
      </c>
      <c r="C190" s="3" t="s">
        <v>114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9"/>
        <v>24</v>
      </c>
      <c r="R190" s="53" t="str">
        <f t="shared" si="20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73">
        <f t="shared" si="16"/>
        <v>39</v>
      </c>
      <c r="Z190" s="18">
        <v>46146</v>
      </c>
      <c r="AA190" s="15"/>
      <c r="AB190" s="15"/>
      <c r="AF190" t="str">
        <f t="shared" si="17"/>
        <v>Closed in May</v>
      </c>
    </row>
    <row r="191" spans="1:32" hidden="1">
      <c r="A191" s="6">
        <v>46107</v>
      </c>
      <c r="B191" s="3">
        <v>2026</v>
      </c>
      <c r="C191" s="3" t="s">
        <v>114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9"/>
        <v>24</v>
      </c>
      <c r="R191" s="53" t="str">
        <f t="shared" si="20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73">
        <f t="shared" si="16"/>
        <v>39</v>
      </c>
      <c r="Z191" s="18">
        <v>46146</v>
      </c>
      <c r="AA191" s="15"/>
      <c r="AB191" s="15"/>
      <c r="AF191" t="str">
        <f t="shared" si="17"/>
        <v>Closed in May</v>
      </c>
    </row>
    <row r="192" spans="1:32" hidden="1">
      <c r="A192" s="6">
        <v>46107</v>
      </c>
      <c r="B192" s="3">
        <v>2026</v>
      </c>
      <c r="C192" s="3" t="s">
        <v>114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9"/>
        <v>24</v>
      </c>
      <c r="R192" s="53" t="str">
        <f t="shared" si="20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73">
        <f t="shared" si="16"/>
        <v>39</v>
      </c>
      <c r="Z192" s="18">
        <v>46146</v>
      </c>
      <c r="AA192" s="15"/>
      <c r="AB192" s="15"/>
      <c r="AF192" t="str">
        <f t="shared" si="17"/>
        <v>Closed in May</v>
      </c>
    </row>
    <row r="193" spans="1:32" hidden="1">
      <c r="A193" s="6">
        <v>46107</v>
      </c>
      <c r="B193" s="3">
        <v>2026</v>
      </c>
      <c r="C193" s="3" t="s">
        <v>114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9"/>
        <v>24</v>
      </c>
      <c r="R193" s="53" t="str">
        <f t="shared" si="20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73">
        <f t="shared" si="16"/>
        <v>39</v>
      </c>
      <c r="Z193" s="18">
        <v>46146</v>
      </c>
      <c r="AA193" s="15"/>
      <c r="AB193" s="15"/>
      <c r="AF193" t="str">
        <f t="shared" si="17"/>
        <v>Closed in May</v>
      </c>
    </row>
    <row r="194" spans="1:32" hidden="1">
      <c r="A194" s="6">
        <v>46107</v>
      </c>
      <c r="B194" s="3">
        <v>2026</v>
      </c>
      <c r="C194" s="3" t="s">
        <v>114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9"/>
        <v>24</v>
      </c>
      <c r="R194" s="53" t="str">
        <f t="shared" si="20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73">
        <f t="shared" ref="Y194:Y257" si="21">IF(X194="","",X194-A194)</f>
        <v>39</v>
      </c>
      <c r="Z194" s="18">
        <v>46146</v>
      </c>
      <c r="AA194" s="15"/>
      <c r="AB194" s="15"/>
      <c r="AF194" t="str">
        <f t="shared" ref="AF194:AF257" si="22">IF(AND($F194="Closed",$X194&gt;=DATE(2026,5,1),$X194&lt;=DATE(2026,5,31)),"Closed in May","Other")</f>
        <v>Closed in May</v>
      </c>
    </row>
    <row r="195" spans="1:32" hidden="1">
      <c r="A195" s="6">
        <v>46107</v>
      </c>
      <c r="B195" s="3">
        <v>2026</v>
      </c>
      <c r="C195" s="3" t="s">
        <v>114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9"/>
        <v>24</v>
      </c>
      <c r="R195" s="53" t="str">
        <f t="shared" si="20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73">
        <f t="shared" si="21"/>
        <v>39</v>
      </c>
      <c r="Z195" s="18">
        <v>46146</v>
      </c>
      <c r="AA195" s="15"/>
      <c r="AB195" s="15"/>
      <c r="AF195" t="str">
        <f t="shared" si="22"/>
        <v>Closed in May</v>
      </c>
    </row>
    <row r="196" spans="1:32" hidden="1">
      <c r="A196" s="6">
        <v>46107</v>
      </c>
      <c r="B196" s="3">
        <v>2026</v>
      </c>
      <c r="C196" s="3" t="s">
        <v>114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9"/>
        <v>24</v>
      </c>
      <c r="R196" s="53" t="str">
        <f t="shared" si="20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73">
        <f t="shared" si="21"/>
        <v>39</v>
      </c>
      <c r="Z196" s="18">
        <v>46146</v>
      </c>
      <c r="AA196" s="15"/>
      <c r="AB196" s="15"/>
      <c r="AF196" t="str">
        <f t="shared" si="22"/>
        <v>Closed in May</v>
      </c>
    </row>
    <row r="197" spans="1:32" hidden="1">
      <c r="A197" s="6">
        <v>46107</v>
      </c>
      <c r="B197" s="3">
        <v>2026</v>
      </c>
      <c r="C197" s="3" t="s">
        <v>114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9"/>
        <v>24</v>
      </c>
      <c r="R197" s="53" t="str">
        <f t="shared" si="20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73">
        <f t="shared" si="21"/>
        <v>39</v>
      </c>
      <c r="Z197" s="18">
        <v>46146</v>
      </c>
      <c r="AA197" s="15"/>
      <c r="AB197" s="15"/>
      <c r="AF197" t="str">
        <f t="shared" si="22"/>
        <v>Closed in May</v>
      </c>
    </row>
    <row r="198" spans="1:32" hidden="1">
      <c r="A198" s="6">
        <v>46107</v>
      </c>
      <c r="B198" s="3">
        <v>2026</v>
      </c>
      <c r="C198" s="3" t="s">
        <v>114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9"/>
        <v>24</v>
      </c>
      <c r="R198" s="53" t="str">
        <f t="shared" si="20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73">
        <f t="shared" si="21"/>
        <v>39</v>
      </c>
      <c r="Z198" s="18">
        <v>46146</v>
      </c>
      <c r="AA198" s="15"/>
      <c r="AB198" s="15"/>
      <c r="AF198" t="str">
        <f t="shared" si="22"/>
        <v>Closed in May</v>
      </c>
    </row>
    <row r="199" spans="1:32" hidden="1">
      <c r="A199" s="6">
        <v>46107</v>
      </c>
      <c r="B199" s="3">
        <v>2026</v>
      </c>
      <c r="C199" s="3" t="s">
        <v>114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9"/>
        <v>24</v>
      </c>
      <c r="R199" s="53" t="str">
        <f t="shared" si="20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73">
        <f t="shared" si="21"/>
        <v>39</v>
      </c>
      <c r="Z199" s="18">
        <v>46146</v>
      </c>
      <c r="AA199" s="15"/>
      <c r="AB199" s="15"/>
      <c r="AF199" t="str">
        <f t="shared" si="22"/>
        <v>Closed in May</v>
      </c>
    </row>
    <row r="200" spans="1:32" hidden="1">
      <c r="A200" s="6">
        <v>46107</v>
      </c>
      <c r="B200" s="3">
        <v>2026</v>
      </c>
      <c r="C200" s="3" t="s">
        <v>114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9"/>
        <v>24</v>
      </c>
      <c r="R200" s="53" t="str">
        <f t="shared" si="20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73">
        <f t="shared" si="21"/>
        <v>39</v>
      </c>
      <c r="Z200" s="18">
        <v>46146</v>
      </c>
      <c r="AA200" s="15"/>
      <c r="AB200" s="15"/>
      <c r="AF200" t="str">
        <f t="shared" si="22"/>
        <v>Closed in May</v>
      </c>
    </row>
    <row r="201" spans="1:32" hidden="1">
      <c r="A201" s="6">
        <v>46107</v>
      </c>
      <c r="B201" s="3">
        <v>2026</v>
      </c>
      <c r="C201" s="3" t="s">
        <v>114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9"/>
        <v>24</v>
      </c>
      <c r="R201" s="53" t="str">
        <f t="shared" si="20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73">
        <f t="shared" si="21"/>
        <v>39</v>
      </c>
      <c r="Z201" s="18">
        <v>46146</v>
      </c>
      <c r="AA201" s="15"/>
      <c r="AB201" s="15"/>
      <c r="AF201" t="str">
        <f t="shared" si="22"/>
        <v>Closed in May</v>
      </c>
    </row>
    <row r="202" spans="1:32" hidden="1">
      <c r="A202" s="6">
        <v>46107</v>
      </c>
      <c r="B202" s="3">
        <v>2026</v>
      </c>
      <c r="C202" s="3" t="s">
        <v>114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9"/>
        <v>24</v>
      </c>
      <c r="R202" s="53" t="str">
        <f t="shared" si="20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73">
        <f t="shared" si="21"/>
        <v>39</v>
      </c>
      <c r="Z202" s="18">
        <v>46146</v>
      </c>
      <c r="AA202" s="15"/>
      <c r="AB202" s="15"/>
      <c r="AF202" t="str">
        <f t="shared" si="22"/>
        <v>Closed in May</v>
      </c>
    </row>
    <row r="203" spans="1:32">
      <c r="A203" s="6">
        <v>46107</v>
      </c>
      <c r="B203" s="3">
        <v>2026</v>
      </c>
      <c r="C203" s="3" t="s">
        <v>114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9"/>
        <v>24</v>
      </c>
      <c r="R203" s="53" t="str">
        <f t="shared" si="20"/>
        <v>05</v>
      </c>
      <c r="S203" s="3" t="s">
        <v>121</v>
      </c>
      <c r="T203" s="3" t="s">
        <v>122</v>
      </c>
      <c r="U203" s="3" t="s">
        <v>307</v>
      </c>
      <c r="V203" s="3" t="s">
        <v>64</v>
      </c>
      <c r="W203" s="3" t="s">
        <v>3134</v>
      </c>
      <c r="X203" s="18"/>
      <c r="Y203" s="73" t="str">
        <f t="shared" si="21"/>
        <v/>
      </c>
      <c r="Z203" s="18">
        <v>46146</v>
      </c>
      <c r="AA203" s="15"/>
      <c r="AB203" s="15"/>
      <c r="AF203" t="str">
        <f t="shared" si="22"/>
        <v>Other</v>
      </c>
    </row>
    <row r="204" spans="1:32" hidden="1">
      <c r="A204" s="6">
        <v>46107</v>
      </c>
      <c r="B204" s="3">
        <v>2026</v>
      </c>
      <c r="C204" s="3" t="s">
        <v>114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9"/>
        <v>24</v>
      </c>
      <c r="R204" s="53" t="str">
        <f t="shared" si="20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73">
        <f t="shared" si="21"/>
        <v>39</v>
      </c>
      <c r="Z204" s="18">
        <v>46146</v>
      </c>
      <c r="AA204" s="15"/>
      <c r="AB204" s="15"/>
      <c r="AF204" t="str">
        <f t="shared" si="22"/>
        <v>Closed in May</v>
      </c>
    </row>
    <row r="205" spans="1:32" hidden="1">
      <c r="A205" s="6">
        <v>46107</v>
      </c>
      <c r="B205" s="3">
        <v>2026</v>
      </c>
      <c r="C205" s="3" t="s">
        <v>114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9"/>
        <v>24</v>
      </c>
      <c r="R205" s="53" t="str">
        <f t="shared" si="20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73">
        <f t="shared" si="21"/>
        <v>39</v>
      </c>
      <c r="Z205" s="18">
        <v>46146</v>
      </c>
      <c r="AA205" s="15"/>
      <c r="AB205" s="15"/>
      <c r="AF205" t="str">
        <f t="shared" si="22"/>
        <v>Closed in May</v>
      </c>
    </row>
    <row r="206" spans="1:32" hidden="1">
      <c r="A206" s="6">
        <v>46107</v>
      </c>
      <c r="B206" s="3">
        <v>2026</v>
      </c>
      <c r="C206" s="3" t="s">
        <v>114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9"/>
        <v>24</v>
      </c>
      <c r="R206" s="53" t="str">
        <f t="shared" si="20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73">
        <f t="shared" si="21"/>
        <v>39</v>
      </c>
      <c r="Z206" s="18">
        <v>46146</v>
      </c>
      <c r="AA206" s="15"/>
      <c r="AB206" s="15"/>
      <c r="AF206" t="str">
        <f t="shared" si="22"/>
        <v>Closed in May</v>
      </c>
    </row>
    <row r="207" spans="1:32">
      <c r="A207" s="6">
        <v>46107</v>
      </c>
      <c r="B207" s="3">
        <v>2026</v>
      </c>
      <c r="C207" s="3" t="s">
        <v>114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9"/>
        <v>24</v>
      </c>
      <c r="R207" s="53" t="str">
        <f t="shared" si="20"/>
        <v>05</v>
      </c>
      <c r="S207" s="3" t="s">
        <v>121</v>
      </c>
      <c r="T207" s="3" t="s">
        <v>122</v>
      </c>
      <c r="U207" s="9" t="s">
        <v>313</v>
      </c>
      <c r="V207" s="3" t="s">
        <v>64</v>
      </c>
      <c r="W207" s="3" t="s">
        <v>3134</v>
      </c>
      <c r="X207" s="18"/>
      <c r="Y207" s="73" t="str">
        <f t="shared" si="21"/>
        <v/>
      </c>
      <c r="Z207" s="18">
        <v>46146</v>
      </c>
      <c r="AA207" s="15"/>
      <c r="AB207" s="15"/>
      <c r="AF207" t="str">
        <f t="shared" si="22"/>
        <v>Other</v>
      </c>
    </row>
    <row r="208" spans="1:32" hidden="1">
      <c r="A208" s="6">
        <v>46107</v>
      </c>
      <c r="B208" s="3">
        <v>2026</v>
      </c>
      <c r="C208" s="3" t="s">
        <v>114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9"/>
        <v>24</v>
      </c>
      <c r="R208" s="53" t="str">
        <f t="shared" si="20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73">
        <f t="shared" si="21"/>
        <v>39</v>
      </c>
      <c r="Z208" s="18">
        <v>46146</v>
      </c>
      <c r="AA208" s="15"/>
      <c r="AB208" s="15"/>
      <c r="AF208" t="str">
        <f t="shared" si="22"/>
        <v>Closed in May</v>
      </c>
    </row>
    <row r="209" spans="1:32" hidden="1">
      <c r="A209" s="6">
        <v>46107</v>
      </c>
      <c r="B209" s="3">
        <v>2026</v>
      </c>
      <c r="C209" s="3" t="s">
        <v>114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9"/>
        <v>24</v>
      </c>
      <c r="R209" s="53" t="str">
        <f t="shared" si="20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73">
        <f t="shared" si="21"/>
        <v>39</v>
      </c>
      <c r="Z209" s="18">
        <v>46146</v>
      </c>
      <c r="AA209" s="15"/>
      <c r="AB209" s="15"/>
      <c r="AF209" t="str">
        <f t="shared" si="22"/>
        <v>Closed in May</v>
      </c>
    </row>
    <row r="210" spans="1:32" hidden="1">
      <c r="A210" s="6">
        <v>46107</v>
      </c>
      <c r="B210" s="3">
        <v>2026</v>
      </c>
      <c r="C210" s="3" t="s">
        <v>114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9"/>
        <v>24</v>
      </c>
      <c r="R210" s="53" t="str">
        <f t="shared" si="20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73">
        <f t="shared" si="21"/>
        <v>39</v>
      </c>
      <c r="Z210" s="18">
        <v>46146</v>
      </c>
      <c r="AA210" s="15"/>
      <c r="AB210" s="15"/>
      <c r="AF210" t="str">
        <f t="shared" si="22"/>
        <v>Closed in May</v>
      </c>
    </row>
    <row r="211" spans="1:32" hidden="1">
      <c r="A211" s="6">
        <v>46107</v>
      </c>
      <c r="B211" s="3">
        <v>2026</v>
      </c>
      <c r="C211" s="3" t="s">
        <v>114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9"/>
        <v>24</v>
      </c>
      <c r="R211" s="53" t="str">
        <f t="shared" si="20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73">
        <f t="shared" si="21"/>
        <v>39</v>
      </c>
      <c r="Z211" s="18">
        <v>46146</v>
      </c>
      <c r="AA211" s="15"/>
      <c r="AB211" s="15"/>
      <c r="AF211" t="str">
        <f t="shared" si="22"/>
        <v>Closed in May</v>
      </c>
    </row>
    <row r="212" spans="1:32">
      <c r="A212" s="6">
        <v>46107</v>
      </c>
      <c r="B212" s="3">
        <v>2026</v>
      </c>
      <c r="C212" s="3" t="s">
        <v>114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9"/>
        <v>24</v>
      </c>
      <c r="R212" s="53" t="str">
        <f t="shared" si="20"/>
        <v>05</v>
      </c>
      <c r="S212" s="3" t="s">
        <v>121</v>
      </c>
      <c r="T212" s="3" t="s">
        <v>122</v>
      </c>
      <c r="U212" s="9" t="s">
        <v>313</v>
      </c>
      <c r="V212" s="3" t="s">
        <v>64</v>
      </c>
      <c r="W212" s="3" t="s">
        <v>3134</v>
      </c>
      <c r="X212" s="18"/>
      <c r="Y212" s="73" t="str">
        <f t="shared" si="21"/>
        <v/>
      </c>
      <c r="Z212" s="18">
        <v>46146</v>
      </c>
      <c r="AA212" s="15"/>
      <c r="AB212" s="15"/>
      <c r="AF212" t="str">
        <f t="shared" si="22"/>
        <v>Other</v>
      </c>
    </row>
    <row r="213" spans="1:32" hidden="1">
      <c r="A213" s="6">
        <v>46107</v>
      </c>
      <c r="B213" s="3">
        <v>2026</v>
      </c>
      <c r="C213" s="3" t="s">
        <v>114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9"/>
        <v>24</v>
      </c>
      <c r="R213" s="53" t="str">
        <f t="shared" si="20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73">
        <f t="shared" si="21"/>
        <v>39</v>
      </c>
      <c r="Z213" s="18">
        <v>46146</v>
      </c>
      <c r="AA213" s="15"/>
      <c r="AB213" s="15"/>
      <c r="AF213" t="str">
        <f t="shared" si="22"/>
        <v>Closed in May</v>
      </c>
    </row>
    <row r="214" spans="1:32" hidden="1">
      <c r="A214" s="6">
        <v>46107</v>
      </c>
      <c r="B214" s="3">
        <v>2026</v>
      </c>
      <c r="C214" s="3" t="s">
        <v>114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9"/>
        <v>24</v>
      </c>
      <c r="R214" s="53" t="str">
        <f t="shared" si="20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73">
        <f t="shared" si="21"/>
        <v>39</v>
      </c>
      <c r="Z214" s="18">
        <v>46146</v>
      </c>
      <c r="AA214" s="15"/>
      <c r="AB214" s="15"/>
      <c r="AF214" t="str">
        <f t="shared" si="22"/>
        <v>Closed in May</v>
      </c>
    </row>
    <row r="215" spans="1:32" hidden="1">
      <c r="A215" s="6">
        <v>46107</v>
      </c>
      <c r="B215" s="3">
        <v>2026</v>
      </c>
      <c r="C215" s="3" t="s">
        <v>114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9"/>
        <v>24</v>
      </c>
      <c r="R215" s="53" t="str">
        <f t="shared" si="20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73">
        <f t="shared" si="21"/>
        <v>39</v>
      </c>
      <c r="Z215" s="18">
        <v>46146</v>
      </c>
      <c r="AA215" s="15"/>
      <c r="AB215" s="15"/>
      <c r="AF215" t="str">
        <f t="shared" si="22"/>
        <v>Closed in May</v>
      </c>
    </row>
    <row r="216" spans="1:32" hidden="1">
      <c r="A216" s="6">
        <v>46107</v>
      </c>
      <c r="B216" s="3">
        <v>2026</v>
      </c>
      <c r="C216" s="3" t="s">
        <v>114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9"/>
        <v>24</v>
      </c>
      <c r="R216" s="53" t="str">
        <f t="shared" si="20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73">
        <f t="shared" si="21"/>
        <v>39</v>
      </c>
      <c r="Z216" s="18">
        <v>46146</v>
      </c>
      <c r="AA216" s="15"/>
      <c r="AB216" s="15"/>
      <c r="AF216" t="str">
        <f t="shared" si="22"/>
        <v>Closed in May</v>
      </c>
    </row>
    <row r="217" spans="1:32" hidden="1">
      <c r="A217" s="6">
        <v>46107</v>
      </c>
      <c r="B217" s="3">
        <v>2026</v>
      </c>
      <c r="C217" s="3" t="s">
        <v>114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9"/>
        <v>24</v>
      </c>
      <c r="R217" s="53" t="str">
        <f t="shared" si="20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73">
        <f t="shared" si="21"/>
        <v>39</v>
      </c>
      <c r="Z217" s="18">
        <v>46146</v>
      </c>
      <c r="AA217" s="15"/>
      <c r="AB217" s="15"/>
      <c r="AF217" t="str">
        <f t="shared" si="22"/>
        <v>Closed in May</v>
      </c>
    </row>
    <row r="218" spans="1:32" hidden="1">
      <c r="A218" s="6">
        <v>46107</v>
      </c>
      <c r="B218" s="3">
        <v>2026</v>
      </c>
      <c r="C218" s="3" t="s">
        <v>114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9"/>
        <v>24</v>
      </c>
      <c r="R218" s="53" t="str">
        <f t="shared" si="20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73">
        <f t="shared" si="21"/>
        <v>39</v>
      </c>
      <c r="Z218" s="18">
        <v>46146</v>
      </c>
      <c r="AA218" s="15"/>
      <c r="AB218" s="15"/>
      <c r="AF218" t="str">
        <f t="shared" si="22"/>
        <v>Closed in May</v>
      </c>
    </row>
    <row r="219" spans="1:32" hidden="1">
      <c r="A219" s="6">
        <v>46107</v>
      </c>
      <c r="B219" s="3">
        <v>2026</v>
      </c>
      <c r="C219" s="3" t="s">
        <v>114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9"/>
        <v>24</v>
      </c>
      <c r="R219" s="53" t="str">
        <f t="shared" si="20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73">
        <f t="shared" si="21"/>
        <v>39</v>
      </c>
      <c r="Z219" s="18">
        <v>46146</v>
      </c>
      <c r="AA219" s="15"/>
      <c r="AB219" s="15"/>
      <c r="AF219" t="str">
        <f t="shared" si="22"/>
        <v>Closed in May</v>
      </c>
    </row>
    <row r="220" spans="1:32" hidden="1">
      <c r="A220" s="6">
        <v>46107</v>
      </c>
      <c r="B220" s="3">
        <v>2026</v>
      </c>
      <c r="C220" s="3" t="s">
        <v>114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9"/>
        <v>24</v>
      </c>
      <c r="R220" s="53" t="str">
        <f t="shared" si="20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73">
        <f t="shared" si="21"/>
        <v>39</v>
      </c>
      <c r="Z220" s="18">
        <v>46146</v>
      </c>
      <c r="AA220" s="15"/>
      <c r="AB220" s="15"/>
      <c r="AF220" t="str">
        <f t="shared" si="22"/>
        <v>Closed in May</v>
      </c>
    </row>
    <row r="221" spans="1:32" hidden="1">
      <c r="A221" s="6">
        <v>46107</v>
      </c>
      <c r="B221" s="3">
        <v>2026</v>
      </c>
      <c r="C221" s="3" t="s">
        <v>114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9"/>
        <v>24</v>
      </c>
      <c r="R221" s="53" t="str">
        <f t="shared" si="20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73">
        <f t="shared" si="21"/>
        <v>39</v>
      </c>
      <c r="Z221" s="18">
        <v>46146</v>
      </c>
      <c r="AA221" s="15"/>
      <c r="AB221" s="15"/>
      <c r="AF221" t="str">
        <f t="shared" si="22"/>
        <v>Closed in May</v>
      </c>
    </row>
    <row r="222" spans="1:32" hidden="1">
      <c r="A222" s="6">
        <v>46107</v>
      </c>
      <c r="B222" s="3">
        <v>2026</v>
      </c>
      <c r="C222" s="3" t="s">
        <v>114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9"/>
        <v>24</v>
      </c>
      <c r="R222" s="53" t="str">
        <f t="shared" si="20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73">
        <f t="shared" si="21"/>
        <v>39</v>
      </c>
      <c r="Z222" s="18">
        <v>46146</v>
      </c>
      <c r="AA222" s="15"/>
      <c r="AB222" s="15"/>
      <c r="AF222" t="str">
        <f t="shared" si="22"/>
        <v>Closed in May</v>
      </c>
    </row>
    <row r="223" spans="1:32" hidden="1">
      <c r="A223" s="6">
        <v>46107</v>
      </c>
      <c r="B223" s="3">
        <v>2026</v>
      </c>
      <c r="C223" s="3" t="s">
        <v>114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9"/>
        <v>24</v>
      </c>
      <c r="R223" s="53" t="str">
        <f t="shared" si="20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73">
        <f t="shared" si="21"/>
        <v>39</v>
      </c>
      <c r="Z223" s="18">
        <v>46146</v>
      </c>
      <c r="AA223" s="15"/>
      <c r="AB223" s="15"/>
      <c r="AF223" t="str">
        <f t="shared" si="22"/>
        <v>Closed in May</v>
      </c>
    </row>
    <row r="224" spans="1:32" hidden="1">
      <c r="A224" s="6">
        <v>46107</v>
      </c>
      <c r="B224" s="3">
        <v>2026</v>
      </c>
      <c r="C224" s="3" t="s">
        <v>114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9"/>
        <v>24</v>
      </c>
      <c r="R224" s="53" t="str">
        <f t="shared" si="20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73">
        <f t="shared" si="21"/>
        <v>39</v>
      </c>
      <c r="Z224" s="18">
        <v>46146</v>
      </c>
      <c r="AA224" s="15"/>
      <c r="AB224" s="15"/>
      <c r="AF224" t="str">
        <f t="shared" si="22"/>
        <v>Closed in May</v>
      </c>
    </row>
    <row r="225" spans="1:32" hidden="1">
      <c r="A225" s="6">
        <v>46107</v>
      </c>
      <c r="B225" s="3">
        <v>2026</v>
      </c>
      <c r="C225" s="3" t="s">
        <v>114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9"/>
        <v>24</v>
      </c>
      <c r="R225" s="53" t="str">
        <f t="shared" si="20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73">
        <f t="shared" si="21"/>
        <v>39</v>
      </c>
      <c r="Z225" s="18">
        <v>46146</v>
      </c>
      <c r="AA225" s="15"/>
      <c r="AB225" s="15"/>
      <c r="AF225" t="str">
        <f t="shared" si="22"/>
        <v>Closed in May</v>
      </c>
    </row>
    <row r="226" spans="1:32" hidden="1">
      <c r="A226" s="6">
        <v>46107</v>
      </c>
      <c r="B226" s="3">
        <v>2026</v>
      </c>
      <c r="C226" s="3" t="s">
        <v>114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9"/>
        <v>24</v>
      </c>
      <c r="R226" s="53" t="str">
        <f t="shared" si="20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73">
        <f t="shared" si="21"/>
        <v>39</v>
      </c>
      <c r="Z226" s="18">
        <v>46146</v>
      </c>
      <c r="AA226" s="15"/>
      <c r="AB226" s="15"/>
      <c r="AF226" t="str">
        <f t="shared" si="22"/>
        <v>Closed in May</v>
      </c>
    </row>
    <row r="227" spans="1:32" hidden="1">
      <c r="A227" s="6">
        <v>46107</v>
      </c>
      <c r="B227" s="3">
        <v>2026</v>
      </c>
      <c r="C227" s="3" t="s">
        <v>114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9"/>
        <v>24</v>
      </c>
      <c r="R227" s="53" t="str">
        <f t="shared" si="20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73">
        <f t="shared" si="21"/>
        <v>39</v>
      </c>
      <c r="Z227" s="18">
        <v>46146</v>
      </c>
      <c r="AA227" s="15"/>
      <c r="AB227" s="15"/>
      <c r="AF227" t="str">
        <f t="shared" si="22"/>
        <v>Closed in May</v>
      </c>
    </row>
    <row r="228" spans="1:32" hidden="1">
      <c r="A228" s="6">
        <v>46107</v>
      </c>
      <c r="B228" s="3">
        <v>2026</v>
      </c>
      <c r="C228" s="3" t="s">
        <v>114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9"/>
        <v>24</v>
      </c>
      <c r="R228" s="53" t="str">
        <f t="shared" si="20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73">
        <f t="shared" si="21"/>
        <v>39</v>
      </c>
      <c r="Z228" s="18">
        <v>46146</v>
      </c>
      <c r="AA228" s="15"/>
      <c r="AB228" s="15"/>
      <c r="AF228" t="str">
        <f t="shared" si="22"/>
        <v>Closed in May</v>
      </c>
    </row>
    <row r="229" spans="1:32" hidden="1">
      <c r="A229" s="6">
        <v>46107</v>
      </c>
      <c r="B229" s="3">
        <v>2026</v>
      </c>
      <c r="C229" s="3" t="s">
        <v>114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9"/>
        <v>24</v>
      </c>
      <c r="R229" s="53" t="str">
        <f t="shared" si="20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73">
        <f t="shared" si="21"/>
        <v>39</v>
      </c>
      <c r="Z229" s="18">
        <v>46146</v>
      </c>
      <c r="AA229" s="15"/>
      <c r="AB229" s="15"/>
      <c r="AF229" t="str">
        <f t="shared" si="22"/>
        <v>Closed in May</v>
      </c>
    </row>
    <row r="230" spans="1:32" hidden="1">
      <c r="A230" s="6">
        <v>46107</v>
      </c>
      <c r="B230" s="3">
        <v>2026</v>
      </c>
      <c r="C230" s="3" t="s">
        <v>114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9"/>
        <v>24</v>
      </c>
      <c r="R230" s="53" t="str">
        <f t="shared" si="20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73">
        <f t="shared" si="21"/>
        <v>39</v>
      </c>
      <c r="Z230" s="18">
        <v>46146</v>
      </c>
      <c r="AA230" s="15"/>
      <c r="AB230" s="15"/>
      <c r="AF230" t="str">
        <f t="shared" si="22"/>
        <v>Closed in May</v>
      </c>
    </row>
    <row r="231" spans="1:32" hidden="1">
      <c r="A231" s="6">
        <v>46107</v>
      </c>
      <c r="B231" s="3">
        <v>2026</v>
      </c>
      <c r="C231" s="3" t="s">
        <v>114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23">MID(P231,5,2)</f>
        <v>24</v>
      </c>
      <c r="R231" s="53" t="str">
        <f t="shared" ref="R231:R294" si="24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73">
        <f t="shared" si="21"/>
        <v>39</v>
      </c>
      <c r="Z231" s="18">
        <v>46146</v>
      </c>
      <c r="AA231" s="15"/>
      <c r="AB231" s="15"/>
      <c r="AF231" t="str">
        <f t="shared" si="22"/>
        <v>Closed in May</v>
      </c>
    </row>
    <row r="232" spans="1:32" hidden="1">
      <c r="A232" s="6">
        <v>46107</v>
      </c>
      <c r="B232" s="3">
        <v>2026</v>
      </c>
      <c r="C232" s="3" t="s">
        <v>114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23"/>
        <v>24</v>
      </c>
      <c r="R232" s="53" t="str">
        <f t="shared" si="24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73">
        <f t="shared" si="21"/>
        <v>39</v>
      </c>
      <c r="Z232" s="18">
        <v>46146</v>
      </c>
      <c r="AA232" s="15"/>
      <c r="AB232" s="15"/>
      <c r="AF232" t="str">
        <f t="shared" si="22"/>
        <v>Closed in May</v>
      </c>
    </row>
    <row r="233" spans="1:32" hidden="1">
      <c r="A233" s="6">
        <v>46107</v>
      </c>
      <c r="B233" s="3">
        <v>2026</v>
      </c>
      <c r="C233" s="3" t="s">
        <v>114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23"/>
        <v>24</v>
      </c>
      <c r="R233" s="53" t="str">
        <f t="shared" si="24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73">
        <f t="shared" si="21"/>
        <v>39</v>
      </c>
      <c r="Z233" s="18">
        <v>46146</v>
      </c>
      <c r="AA233" s="15"/>
      <c r="AB233" s="15"/>
      <c r="AF233" t="str">
        <f t="shared" si="22"/>
        <v>Closed in May</v>
      </c>
    </row>
    <row r="234" spans="1:32" hidden="1">
      <c r="A234" s="6">
        <v>46107</v>
      </c>
      <c r="B234" s="3">
        <v>2026</v>
      </c>
      <c r="C234" s="3" t="s">
        <v>114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23"/>
        <v>24</v>
      </c>
      <c r="R234" s="53" t="str">
        <f t="shared" si="24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73">
        <f t="shared" si="21"/>
        <v>39</v>
      </c>
      <c r="Z234" s="18">
        <v>46146</v>
      </c>
      <c r="AA234" s="15"/>
      <c r="AB234" s="15"/>
      <c r="AF234" t="str">
        <f t="shared" si="22"/>
        <v>Closed in May</v>
      </c>
    </row>
    <row r="235" spans="1:32" hidden="1">
      <c r="A235" s="6">
        <v>46107</v>
      </c>
      <c r="B235" s="3">
        <v>2026</v>
      </c>
      <c r="C235" s="3" t="s">
        <v>114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23"/>
        <v>24</v>
      </c>
      <c r="R235" s="53" t="str">
        <f t="shared" si="24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73">
        <f t="shared" si="21"/>
        <v>39</v>
      </c>
      <c r="Z235" s="18">
        <v>46146</v>
      </c>
      <c r="AA235" s="15"/>
      <c r="AB235" s="15"/>
      <c r="AF235" t="str">
        <f t="shared" si="22"/>
        <v>Closed in May</v>
      </c>
    </row>
    <row r="236" spans="1:32" hidden="1">
      <c r="A236" s="37">
        <v>46139</v>
      </c>
      <c r="B236" s="3">
        <v>2026</v>
      </c>
      <c r="C236" s="3" t="s">
        <v>343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23"/>
        <v>25</v>
      </c>
      <c r="R236" s="53" t="str">
        <f t="shared" si="24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73">
        <f t="shared" si="21"/>
        <v>7</v>
      </c>
      <c r="Z236" s="18" t="s">
        <v>349</v>
      </c>
      <c r="AA236" s="15"/>
      <c r="AB236" s="15"/>
      <c r="AF236" t="str">
        <f t="shared" si="22"/>
        <v>Closed in May</v>
      </c>
    </row>
    <row r="237" spans="1:32" hidden="1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23"/>
        <v>25</v>
      </c>
      <c r="R237" s="53" t="str">
        <f t="shared" si="24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73">
        <f t="shared" si="21"/>
        <v>39</v>
      </c>
      <c r="Z237" s="18" t="s">
        <v>349</v>
      </c>
      <c r="AA237" s="15"/>
      <c r="AB237" s="15"/>
      <c r="AF237" t="str">
        <f t="shared" si="22"/>
        <v>Closed in May</v>
      </c>
    </row>
    <row r="238" spans="1:32" hidden="1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23"/>
        <v>25</v>
      </c>
      <c r="R238" s="53" t="str">
        <f t="shared" si="24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73">
        <f t="shared" si="21"/>
        <v>39</v>
      </c>
      <c r="Z238" s="18" t="s">
        <v>349</v>
      </c>
      <c r="AA238" s="15"/>
      <c r="AB238" s="15"/>
      <c r="AF238" t="str">
        <f t="shared" si="22"/>
        <v>Closed in May</v>
      </c>
    </row>
    <row r="239" spans="1:32" hidden="1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23"/>
        <v>26</v>
      </c>
      <c r="R239" s="53" t="str">
        <f t="shared" si="24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73">
        <f t="shared" si="21"/>
        <v>39</v>
      </c>
      <c r="Z239" s="18" t="s">
        <v>349</v>
      </c>
      <c r="AA239" s="15"/>
      <c r="AB239" s="15"/>
      <c r="AF239" t="str">
        <f t="shared" si="22"/>
        <v>Closed in May</v>
      </c>
    </row>
    <row r="240" spans="1:32" hidden="1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23"/>
        <v>26</v>
      </c>
      <c r="R240" s="53" t="str">
        <f t="shared" si="24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73">
        <f t="shared" si="21"/>
        <v>39</v>
      </c>
      <c r="Z240" s="18" t="s">
        <v>349</v>
      </c>
      <c r="AA240" s="15"/>
      <c r="AB240" s="15"/>
      <c r="AF240" t="str">
        <f t="shared" si="22"/>
        <v>Closed in May</v>
      </c>
    </row>
    <row r="241" spans="1:32" hidden="1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23"/>
        <v>26</v>
      </c>
      <c r="R241" s="53" t="str">
        <f t="shared" si="24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73">
        <f t="shared" si="21"/>
        <v>6</v>
      </c>
      <c r="Z241" s="18">
        <v>46147</v>
      </c>
      <c r="AA241" s="19"/>
      <c r="AB241" s="19"/>
      <c r="AF241" t="str">
        <f t="shared" si="22"/>
        <v>Closed in May</v>
      </c>
    </row>
    <row r="242" spans="1:32" hidden="1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23"/>
        <v>26</v>
      </c>
      <c r="R242" s="53" t="str">
        <f t="shared" si="24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73">
        <f t="shared" si="21"/>
        <v>6</v>
      </c>
      <c r="Z242" s="18">
        <v>46147</v>
      </c>
      <c r="AA242" s="19"/>
      <c r="AB242" s="19"/>
      <c r="AF242" t="str">
        <f t="shared" si="22"/>
        <v>Closed in May</v>
      </c>
    </row>
    <row r="243" spans="1:32" hidden="1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23"/>
        <v>23</v>
      </c>
      <c r="R243" s="53" t="str">
        <f t="shared" si="24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73">
        <f t="shared" si="21"/>
        <v>26</v>
      </c>
      <c r="Z243" s="18">
        <v>46147</v>
      </c>
      <c r="AA243" s="19"/>
      <c r="AB243" s="19"/>
      <c r="AF243" t="str">
        <f t="shared" si="22"/>
        <v>Closed in May</v>
      </c>
    </row>
    <row r="244" spans="1:32" hidden="1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31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23"/>
        <v>23</v>
      </c>
      <c r="R244" s="53" t="str">
        <f t="shared" si="24"/>
        <v>01</v>
      </c>
      <c r="S244" s="3" t="s">
        <v>39</v>
      </c>
      <c r="T244" s="3" t="s">
        <v>40</v>
      </c>
      <c r="U244" s="9" t="s">
        <v>113</v>
      </c>
      <c r="V244" s="3" t="s">
        <v>64</v>
      </c>
      <c r="W244" s="3" t="s">
        <v>65</v>
      </c>
      <c r="X244" s="2">
        <f t="shared" ref="X244:X262" si="25">Z244</f>
        <v>46147</v>
      </c>
      <c r="Y244" s="73">
        <f t="shared" si="21"/>
        <v>41</v>
      </c>
      <c r="Z244" s="18">
        <v>46147</v>
      </c>
      <c r="AA244" s="15"/>
      <c r="AB244" s="15"/>
      <c r="AF244" t="str">
        <f t="shared" si="22"/>
        <v>Closed in May</v>
      </c>
    </row>
    <row r="245" spans="1:32" hidden="1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31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23"/>
        <v>23</v>
      </c>
      <c r="R245" s="53" t="str">
        <f t="shared" si="24"/>
        <v>01</v>
      </c>
      <c r="S245" s="3" t="s">
        <v>39</v>
      </c>
      <c r="T245" s="3" t="s">
        <v>40</v>
      </c>
      <c r="U245" s="9" t="s">
        <v>272</v>
      </c>
      <c r="V245" s="3" t="s">
        <v>64</v>
      </c>
      <c r="W245" s="3" t="s">
        <v>65</v>
      </c>
      <c r="X245" s="2">
        <f t="shared" si="25"/>
        <v>46147</v>
      </c>
      <c r="Y245" s="73">
        <f t="shared" si="21"/>
        <v>41</v>
      </c>
      <c r="Z245" s="18">
        <v>46147</v>
      </c>
      <c r="AA245" s="15"/>
      <c r="AB245" s="15"/>
      <c r="AF245" t="str">
        <f t="shared" si="22"/>
        <v>Closed in May</v>
      </c>
    </row>
    <row r="246" spans="1:32" hidden="1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31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23"/>
        <v>23</v>
      </c>
      <c r="R246" s="53" t="str">
        <f t="shared" si="24"/>
        <v>01</v>
      </c>
      <c r="S246" s="3" t="s">
        <v>39</v>
      </c>
      <c r="T246" s="3" t="s">
        <v>40</v>
      </c>
      <c r="U246" s="9" t="s">
        <v>272</v>
      </c>
      <c r="V246" s="3" t="s">
        <v>64</v>
      </c>
      <c r="W246" s="3" t="s">
        <v>65</v>
      </c>
      <c r="X246" s="2">
        <f t="shared" si="25"/>
        <v>46147</v>
      </c>
      <c r="Y246" s="73">
        <f t="shared" si="21"/>
        <v>41</v>
      </c>
      <c r="Z246" s="18">
        <v>46147</v>
      </c>
      <c r="AA246" s="15"/>
      <c r="AB246" s="15"/>
      <c r="AF246" t="str">
        <f t="shared" si="22"/>
        <v>Closed in May</v>
      </c>
    </row>
    <row r="247" spans="1:32" hidden="1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31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23"/>
        <v>23</v>
      </c>
      <c r="R247" s="53" t="str">
        <f t="shared" si="24"/>
        <v>01</v>
      </c>
      <c r="S247" s="3" t="s">
        <v>39</v>
      </c>
      <c r="T247" s="3" t="s">
        <v>40</v>
      </c>
      <c r="U247" s="9" t="s">
        <v>272</v>
      </c>
      <c r="V247" s="3" t="s">
        <v>64</v>
      </c>
      <c r="W247" s="3" t="s">
        <v>65</v>
      </c>
      <c r="X247" s="2">
        <f t="shared" si="25"/>
        <v>46147</v>
      </c>
      <c r="Y247" s="73">
        <f t="shared" si="21"/>
        <v>41</v>
      </c>
      <c r="Z247" s="18">
        <v>46147</v>
      </c>
      <c r="AA247" s="15"/>
      <c r="AB247" s="15"/>
      <c r="AF247" t="str">
        <f t="shared" si="22"/>
        <v>Closed in May</v>
      </c>
    </row>
    <row r="248" spans="1:32" hidden="1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31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23"/>
        <v>23</v>
      </c>
      <c r="R248" s="53" t="str">
        <f t="shared" si="24"/>
        <v>01</v>
      </c>
      <c r="S248" s="3" t="s">
        <v>39</v>
      </c>
      <c r="T248" s="3" t="s">
        <v>40</v>
      </c>
      <c r="U248" s="9" t="s">
        <v>113</v>
      </c>
      <c r="V248" s="3" t="s">
        <v>64</v>
      </c>
      <c r="W248" s="3" t="s">
        <v>65</v>
      </c>
      <c r="X248" s="2">
        <f t="shared" si="25"/>
        <v>46147</v>
      </c>
      <c r="Y248" s="73">
        <f t="shared" si="21"/>
        <v>41</v>
      </c>
      <c r="Z248" s="18">
        <v>46147</v>
      </c>
      <c r="AA248" s="15"/>
      <c r="AB248" s="15"/>
      <c r="AF248" t="str">
        <f t="shared" si="22"/>
        <v>Closed in May</v>
      </c>
    </row>
    <row r="249" spans="1:32" hidden="1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31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23"/>
        <v>23</v>
      </c>
      <c r="R249" s="53" t="str">
        <f t="shared" si="24"/>
        <v>01</v>
      </c>
      <c r="S249" s="3" t="s">
        <v>39</v>
      </c>
      <c r="T249" s="3" t="s">
        <v>40</v>
      </c>
      <c r="U249" s="9" t="s">
        <v>113</v>
      </c>
      <c r="V249" s="3" t="s">
        <v>64</v>
      </c>
      <c r="W249" s="3" t="s">
        <v>65</v>
      </c>
      <c r="X249" s="2">
        <f t="shared" si="25"/>
        <v>46147</v>
      </c>
      <c r="Y249" s="73">
        <f t="shared" si="21"/>
        <v>41</v>
      </c>
      <c r="Z249" s="18">
        <v>46147</v>
      </c>
      <c r="AA249" s="15"/>
      <c r="AB249" s="15"/>
      <c r="AF249" t="str">
        <f t="shared" si="22"/>
        <v>Closed in May</v>
      </c>
    </row>
    <row r="250" spans="1:32" hidden="1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31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23"/>
        <v>23</v>
      </c>
      <c r="R250" s="53" t="str">
        <f t="shared" si="24"/>
        <v>01</v>
      </c>
      <c r="S250" s="3" t="s">
        <v>39</v>
      </c>
      <c r="T250" s="3" t="s">
        <v>40</v>
      </c>
      <c r="U250" s="9" t="s">
        <v>113</v>
      </c>
      <c r="V250" s="3" t="s">
        <v>64</v>
      </c>
      <c r="W250" s="3" t="s">
        <v>65</v>
      </c>
      <c r="X250" s="2">
        <f t="shared" si="25"/>
        <v>46147</v>
      </c>
      <c r="Y250" s="73">
        <f t="shared" si="21"/>
        <v>41</v>
      </c>
      <c r="Z250" s="18">
        <v>46147</v>
      </c>
      <c r="AA250" s="15"/>
      <c r="AB250" s="15"/>
      <c r="AF250" t="str">
        <f t="shared" si="22"/>
        <v>Closed in May</v>
      </c>
    </row>
    <row r="251" spans="1:32" hidden="1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31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23"/>
        <v>23</v>
      </c>
      <c r="R251" s="53" t="str">
        <f t="shared" si="24"/>
        <v>01</v>
      </c>
      <c r="S251" s="3" t="s">
        <v>39</v>
      </c>
      <c r="T251" s="3" t="s">
        <v>40</v>
      </c>
      <c r="U251" s="9" t="s">
        <v>272</v>
      </c>
      <c r="V251" s="3" t="s">
        <v>64</v>
      </c>
      <c r="W251" s="3" t="s">
        <v>65</v>
      </c>
      <c r="X251" s="2">
        <f t="shared" si="25"/>
        <v>46147</v>
      </c>
      <c r="Y251" s="73">
        <f t="shared" si="21"/>
        <v>41</v>
      </c>
      <c r="Z251" s="18">
        <v>46147</v>
      </c>
      <c r="AA251" s="15"/>
      <c r="AB251" s="15"/>
      <c r="AF251" t="str">
        <f t="shared" si="22"/>
        <v>Closed in May</v>
      </c>
    </row>
    <row r="252" spans="1:32" hidden="1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31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23"/>
        <v>23</v>
      </c>
      <c r="R252" s="53" t="str">
        <f t="shared" si="24"/>
        <v>01</v>
      </c>
      <c r="S252" s="3" t="s">
        <v>39</v>
      </c>
      <c r="T252" s="3" t="s">
        <v>40</v>
      </c>
      <c r="U252" s="9" t="s">
        <v>272</v>
      </c>
      <c r="V252" s="3" t="s">
        <v>64</v>
      </c>
      <c r="W252" s="3" t="s">
        <v>65</v>
      </c>
      <c r="X252" s="2">
        <f t="shared" si="25"/>
        <v>46147</v>
      </c>
      <c r="Y252" s="73">
        <f t="shared" si="21"/>
        <v>41</v>
      </c>
      <c r="Z252" s="18">
        <v>46147</v>
      </c>
      <c r="AA252" s="15"/>
      <c r="AB252" s="15"/>
      <c r="AF252" t="str">
        <f t="shared" si="22"/>
        <v>Closed in May</v>
      </c>
    </row>
    <row r="253" spans="1:32" hidden="1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31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23"/>
        <v>23</v>
      </c>
      <c r="R253" s="53" t="str">
        <f t="shared" si="24"/>
        <v>01</v>
      </c>
      <c r="S253" s="3" t="s">
        <v>39</v>
      </c>
      <c r="T253" s="3" t="s">
        <v>40</v>
      </c>
      <c r="U253" s="9" t="s">
        <v>272</v>
      </c>
      <c r="V253" s="3" t="s">
        <v>64</v>
      </c>
      <c r="W253" s="3" t="s">
        <v>65</v>
      </c>
      <c r="X253" s="2">
        <f t="shared" si="25"/>
        <v>46147</v>
      </c>
      <c r="Y253" s="73">
        <f t="shared" si="21"/>
        <v>41</v>
      </c>
      <c r="Z253" s="18">
        <v>46147</v>
      </c>
      <c r="AA253" s="15"/>
      <c r="AB253" s="15"/>
      <c r="AF253" t="str">
        <f t="shared" si="22"/>
        <v>Closed in May</v>
      </c>
    </row>
    <row r="254" spans="1:32" hidden="1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31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23"/>
        <v>23</v>
      </c>
      <c r="R254" s="53" t="str">
        <f t="shared" si="24"/>
        <v>01</v>
      </c>
      <c r="S254" s="3" t="s">
        <v>39</v>
      </c>
      <c r="T254" s="3" t="s">
        <v>40</v>
      </c>
      <c r="U254" s="9" t="s">
        <v>272</v>
      </c>
      <c r="V254" s="3" t="s">
        <v>64</v>
      </c>
      <c r="W254" s="3" t="s">
        <v>65</v>
      </c>
      <c r="X254" s="2">
        <f t="shared" si="25"/>
        <v>46147</v>
      </c>
      <c r="Y254" s="73">
        <f t="shared" si="21"/>
        <v>41</v>
      </c>
      <c r="Z254" s="18">
        <v>46147</v>
      </c>
      <c r="AA254" s="15"/>
      <c r="AB254" s="15"/>
      <c r="AF254" t="str">
        <f t="shared" si="22"/>
        <v>Closed in May</v>
      </c>
    </row>
    <row r="255" spans="1:32" hidden="1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31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23"/>
        <v>22</v>
      </c>
      <c r="R255" s="53" t="str">
        <f t="shared" si="24"/>
        <v>12</v>
      </c>
      <c r="S255" s="3" t="s">
        <v>39</v>
      </c>
      <c r="T255" s="3" t="s">
        <v>40</v>
      </c>
      <c r="U255" s="9" t="s">
        <v>63</v>
      </c>
      <c r="V255" s="3" t="s">
        <v>64</v>
      </c>
      <c r="W255" s="3" t="s">
        <v>65</v>
      </c>
      <c r="X255" s="2">
        <f t="shared" si="25"/>
        <v>46147</v>
      </c>
      <c r="Y255" s="73">
        <f t="shared" si="21"/>
        <v>41</v>
      </c>
      <c r="Z255" s="18">
        <v>46147</v>
      </c>
      <c r="AA255" s="15"/>
      <c r="AB255" s="15"/>
      <c r="AF255" t="str">
        <f t="shared" si="22"/>
        <v>Closed in May</v>
      </c>
    </row>
    <row r="256" spans="1:32" hidden="1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31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23"/>
        <v>22</v>
      </c>
      <c r="R256" s="53" t="str">
        <f t="shared" si="24"/>
        <v>12</v>
      </c>
      <c r="S256" s="3" t="s">
        <v>39</v>
      </c>
      <c r="T256" s="3" t="s">
        <v>40</v>
      </c>
      <c r="U256" s="9" t="s">
        <v>69</v>
      </c>
      <c r="V256" s="3" t="s">
        <v>64</v>
      </c>
      <c r="W256" s="3" t="s">
        <v>65</v>
      </c>
      <c r="X256" s="2">
        <f t="shared" si="25"/>
        <v>46147</v>
      </c>
      <c r="Y256" s="73">
        <f t="shared" si="21"/>
        <v>41</v>
      </c>
      <c r="Z256" s="18">
        <v>46147</v>
      </c>
      <c r="AA256" s="15"/>
      <c r="AB256" s="15"/>
      <c r="AF256" t="str">
        <f t="shared" si="22"/>
        <v>Closed in May</v>
      </c>
    </row>
    <row r="257" spans="1:32" hidden="1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31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23"/>
        <v>23</v>
      </c>
      <c r="R257" s="53" t="str">
        <f t="shared" si="24"/>
        <v>01</v>
      </c>
      <c r="S257" s="3" t="s">
        <v>39</v>
      </c>
      <c r="T257" s="3" t="s">
        <v>40</v>
      </c>
      <c r="U257" s="9" t="s">
        <v>272</v>
      </c>
      <c r="V257" s="3" t="s">
        <v>64</v>
      </c>
      <c r="W257" s="3" t="s">
        <v>65</v>
      </c>
      <c r="X257" s="2">
        <f t="shared" si="25"/>
        <v>46147</v>
      </c>
      <c r="Y257" s="73">
        <f t="shared" si="21"/>
        <v>41</v>
      </c>
      <c r="Z257" s="18">
        <v>46147</v>
      </c>
      <c r="AA257" s="15"/>
      <c r="AB257" s="15"/>
      <c r="AF257" t="str">
        <f t="shared" si="22"/>
        <v>Closed in May</v>
      </c>
    </row>
    <row r="258" spans="1:32" hidden="1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31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23"/>
        <v>23</v>
      </c>
      <c r="R258" s="53" t="str">
        <f t="shared" si="24"/>
        <v>04</v>
      </c>
      <c r="S258" s="3" t="s">
        <v>39</v>
      </c>
      <c r="T258" s="3" t="s">
        <v>40</v>
      </c>
      <c r="U258" s="9" t="s">
        <v>63</v>
      </c>
      <c r="V258" s="3" t="s">
        <v>64</v>
      </c>
      <c r="W258" s="3" t="s">
        <v>65</v>
      </c>
      <c r="X258" s="2">
        <f t="shared" si="25"/>
        <v>46147</v>
      </c>
      <c r="Y258" s="73">
        <f t="shared" ref="Y258:Y321" si="26">IF(X258="","",X258-A258)</f>
        <v>41</v>
      </c>
      <c r="Z258" s="18">
        <v>46147</v>
      </c>
      <c r="AA258" s="15"/>
      <c r="AB258" s="15"/>
      <c r="AF258" t="str">
        <f t="shared" ref="AF258:AF321" si="27">IF(AND($F258="Closed",$X258&gt;=DATE(2026,5,1),$X258&lt;=DATE(2026,5,31)),"Closed in May","Other")</f>
        <v>Closed in May</v>
      </c>
    </row>
    <row r="259" spans="1:32" hidden="1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31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23"/>
        <v>23</v>
      </c>
      <c r="R259" s="53" t="str">
        <f t="shared" si="24"/>
        <v>01</v>
      </c>
      <c r="S259" s="3" t="s">
        <v>39</v>
      </c>
      <c r="T259" s="3" t="s">
        <v>40</v>
      </c>
      <c r="U259" s="9" t="s">
        <v>69</v>
      </c>
      <c r="V259" s="3" t="s">
        <v>64</v>
      </c>
      <c r="W259" s="3" t="s">
        <v>65</v>
      </c>
      <c r="X259" s="2">
        <f t="shared" si="25"/>
        <v>46147</v>
      </c>
      <c r="Y259" s="73">
        <f t="shared" si="26"/>
        <v>41</v>
      </c>
      <c r="Z259" s="18">
        <v>46147</v>
      </c>
      <c r="AA259" s="15"/>
      <c r="AB259" s="15"/>
      <c r="AF259" t="str">
        <f t="shared" si="27"/>
        <v>Closed in May</v>
      </c>
    </row>
    <row r="260" spans="1:32" hidden="1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31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23"/>
        <v>23</v>
      </c>
      <c r="R260" s="53" t="str">
        <f t="shared" si="24"/>
        <v>01</v>
      </c>
      <c r="S260" s="3" t="s">
        <v>39</v>
      </c>
      <c r="T260" s="3" t="s">
        <v>40</v>
      </c>
      <c r="U260" s="9" t="s">
        <v>113</v>
      </c>
      <c r="V260" s="3" t="s">
        <v>64</v>
      </c>
      <c r="W260" s="3" t="s">
        <v>65</v>
      </c>
      <c r="X260" s="2">
        <f t="shared" si="25"/>
        <v>46147</v>
      </c>
      <c r="Y260" s="73">
        <f t="shared" si="26"/>
        <v>41</v>
      </c>
      <c r="Z260" s="18">
        <v>46147</v>
      </c>
      <c r="AA260" s="15"/>
      <c r="AB260" s="15"/>
      <c r="AF260" t="str">
        <f t="shared" si="27"/>
        <v>Closed in May</v>
      </c>
    </row>
    <row r="261" spans="1:32" hidden="1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31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23"/>
        <v>22</v>
      </c>
      <c r="R261" s="53" t="str">
        <f t="shared" si="24"/>
        <v>12</v>
      </c>
      <c r="S261" s="3" t="s">
        <v>39</v>
      </c>
      <c r="T261" s="3" t="s">
        <v>40</v>
      </c>
      <c r="U261" s="9" t="s">
        <v>272</v>
      </c>
      <c r="V261" s="3" t="s">
        <v>64</v>
      </c>
      <c r="W261" s="3" t="s">
        <v>65</v>
      </c>
      <c r="X261" s="2">
        <f t="shared" si="25"/>
        <v>46147</v>
      </c>
      <c r="Y261" s="73">
        <f t="shared" si="26"/>
        <v>41</v>
      </c>
      <c r="Z261" s="18">
        <v>46147</v>
      </c>
      <c r="AA261" s="15"/>
      <c r="AB261" s="15"/>
      <c r="AF261" t="str">
        <f t="shared" si="27"/>
        <v>Closed in May</v>
      </c>
    </row>
    <row r="262" spans="1:32" hidden="1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31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23"/>
        <v>22</v>
      </c>
      <c r="R262" s="53" t="str">
        <f t="shared" si="24"/>
        <v>12</v>
      </c>
      <c r="S262" s="3" t="s">
        <v>39</v>
      </c>
      <c r="T262" s="3" t="s">
        <v>40</v>
      </c>
      <c r="U262" s="9" t="s">
        <v>63</v>
      </c>
      <c r="V262" s="3" t="s">
        <v>64</v>
      </c>
      <c r="W262" s="3" t="s">
        <v>65</v>
      </c>
      <c r="X262" s="2">
        <f t="shared" si="25"/>
        <v>46147</v>
      </c>
      <c r="Y262" s="73">
        <f t="shared" si="26"/>
        <v>41</v>
      </c>
      <c r="Z262" s="18">
        <v>46147</v>
      </c>
      <c r="AA262" s="15"/>
      <c r="AB262" s="15"/>
      <c r="AF262" t="str">
        <f t="shared" si="27"/>
        <v>Closed in May</v>
      </c>
    </row>
    <row r="263" spans="1:32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23"/>
        <v>23</v>
      </c>
      <c r="R263" s="53" t="str">
        <f t="shared" si="24"/>
        <v>01</v>
      </c>
      <c r="S263" s="3" t="s">
        <v>39</v>
      </c>
      <c r="T263" s="3" t="s">
        <v>40</v>
      </c>
      <c r="U263" s="9" t="s">
        <v>272</v>
      </c>
      <c r="V263" s="3" t="s">
        <v>64</v>
      </c>
      <c r="W263" s="3" t="s">
        <v>3134</v>
      </c>
      <c r="X263" s="5"/>
      <c r="Y263" s="73" t="str">
        <f t="shared" si="26"/>
        <v/>
      </c>
      <c r="Z263" s="18">
        <v>46147</v>
      </c>
      <c r="AA263" s="15"/>
      <c r="AB263" s="15"/>
      <c r="AF263" t="str">
        <f t="shared" si="27"/>
        <v>Other</v>
      </c>
    </row>
    <row r="264" spans="1:32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403</v>
      </c>
      <c r="Q264" s="53" t="str">
        <f t="shared" si="23"/>
        <v>23</v>
      </c>
      <c r="R264" s="53" t="str">
        <f t="shared" si="24"/>
        <v>01</v>
      </c>
      <c r="S264" s="3" t="s">
        <v>39</v>
      </c>
      <c r="T264" s="3" t="s">
        <v>40</v>
      </c>
      <c r="U264" s="9" t="s">
        <v>272</v>
      </c>
      <c r="V264" s="3" t="s">
        <v>64</v>
      </c>
      <c r="W264" s="3" t="s">
        <v>3134</v>
      </c>
      <c r="X264" s="5"/>
      <c r="Y264" s="73" t="str">
        <f t="shared" si="26"/>
        <v/>
      </c>
      <c r="Z264" s="18">
        <v>46147</v>
      </c>
      <c r="AA264" s="15"/>
      <c r="AB264" s="15"/>
      <c r="AF264" t="str">
        <f t="shared" si="27"/>
        <v>Other</v>
      </c>
    </row>
    <row r="265" spans="1:32" hidden="1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31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23"/>
        <v>22</v>
      </c>
      <c r="R265" s="53" t="str">
        <f t="shared" si="24"/>
        <v>12</v>
      </c>
      <c r="S265" s="3" t="s">
        <v>39</v>
      </c>
      <c r="T265" s="3" t="s">
        <v>40</v>
      </c>
      <c r="U265" s="9" t="s">
        <v>272</v>
      </c>
      <c r="V265" s="3" t="s">
        <v>64</v>
      </c>
      <c r="W265" s="3" t="s">
        <v>65</v>
      </c>
      <c r="X265" s="2">
        <f t="shared" ref="X265:X286" si="28">Z265</f>
        <v>46147</v>
      </c>
      <c r="Y265" s="73">
        <f t="shared" si="26"/>
        <v>41</v>
      </c>
      <c r="Z265" s="18">
        <v>46147</v>
      </c>
      <c r="AA265" s="15"/>
      <c r="AB265" s="15"/>
      <c r="AF265" t="str">
        <f t="shared" si="27"/>
        <v>Closed in May</v>
      </c>
    </row>
    <row r="266" spans="1:32" hidden="1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31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23"/>
        <v>23</v>
      </c>
      <c r="R266" s="53" t="str">
        <f t="shared" si="24"/>
        <v>01</v>
      </c>
      <c r="S266" s="3" t="s">
        <v>39</v>
      </c>
      <c r="T266" s="3" t="s">
        <v>40</v>
      </c>
      <c r="U266" s="9" t="s">
        <v>113</v>
      </c>
      <c r="V266" s="3" t="s">
        <v>64</v>
      </c>
      <c r="W266" s="3" t="s">
        <v>65</v>
      </c>
      <c r="X266" s="2">
        <f t="shared" si="28"/>
        <v>46147</v>
      </c>
      <c r="Y266" s="73">
        <f t="shared" si="26"/>
        <v>41</v>
      </c>
      <c r="Z266" s="18">
        <v>46147</v>
      </c>
      <c r="AA266" s="15"/>
      <c r="AB266" s="15"/>
      <c r="AF266" t="str">
        <f t="shared" si="27"/>
        <v>Closed in May</v>
      </c>
    </row>
    <row r="267" spans="1:32" hidden="1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31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23"/>
        <v>23</v>
      </c>
      <c r="R267" s="53" t="str">
        <f t="shared" si="24"/>
        <v>01</v>
      </c>
      <c r="S267" s="3" t="s">
        <v>39</v>
      </c>
      <c r="T267" s="3" t="s">
        <v>40</v>
      </c>
      <c r="U267" s="9" t="s">
        <v>113</v>
      </c>
      <c r="V267" s="3" t="s">
        <v>64</v>
      </c>
      <c r="W267" s="3" t="s">
        <v>65</v>
      </c>
      <c r="X267" s="2">
        <f t="shared" si="28"/>
        <v>46147</v>
      </c>
      <c r="Y267" s="73">
        <f t="shared" si="26"/>
        <v>41</v>
      </c>
      <c r="Z267" s="18">
        <v>46147</v>
      </c>
      <c r="AA267" s="15"/>
      <c r="AB267" s="15"/>
      <c r="AF267" t="str">
        <f t="shared" si="27"/>
        <v>Closed in May</v>
      </c>
    </row>
    <row r="268" spans="1:32" hidden="1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31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23"/>
        <v>23</v>
      </c>
      <c r="R268" s="53" t="str">
        <f t="shared" si="24"/>
        <v>01</v>
      </c>
      <c r="S268" s="3" t="s">
        <v>39</v>
      </c>
      <c r="T268" s="3" t="s">
        <v>40</v>
      </c>
      <c r="U268" s="9" t="s">
        <v>113</v>
      </c>
      <c r="V268" s="3" t="s">
        <v>64</v>
      </c>
      <c r="W268" s="3" t="s">
        <v>65</v>
      </c>
      <c r="X268" s="2">
        <f t="shared" si="28"/>
        <v>46147</v>
      </c>
      <c r="Y268" s="73">
        <f t="shared" si="26"/>
        <v>41</v>
      </c>
      <c r="Z268" s="18">
        <v>46147</v>
      </c>
      <c r="AA268" s="15"/>
      <c r="AB268" s="15"/>
      <c r="AF268" t="str">
        <f t="shared" si="27"/>
        <v>Closed in May</v>
      </c>
    </row>
    <row r="269" spans="1:32" hidden="1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31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23"/>
        <v>22</v>
      </c>
      <c r="R269" s="53" t="str">
        <f t="shared" si="24"/>
        <v>12</v>
      </c>
      <c r="S269" s="3" t="s">
        <v>39</v>
      </c>
      <c r="T269" s="3" t="s">
        <v>40</v>
      </c>
      <c r="U269" s="9" t="s">
        <v>272</v>
      </c>
      <c r="V269" s="3" t="s">
        <v>64</v>
      </c>
      <c r="W269" s="3" t="s">
        <v>65</v>
      </c>
      <c r="X269" s="2">
        <f t="shared" si="28"/>
        <v>46147</v>
      </c>
      <c r="Y269" s="73">
        <f t="shared" si="26"/>
        <v>41</v>
      </c>
      <c r="Z269" s="18">
        <v>46147</v>
      </c>
      <c r="AA269" s="15"/>
      <c r="AB269" s="15"/>
      <c r="AF269" t="str">
        <f t="shared" si="27"/>
        <v>Closed in May</v>
      </c>
    </row>
    <row r="270" spans="1:32" hidden="1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31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23"/>
        <v>22</v>
      </c>
      <c r="R270" s="53" t="str">
        <f t="shared" si="24"/>
        <v>12</v>
      </c>
      <c r="S270" s="3" t="s">
        <v>39</v>
      </c>
      <c r="T270" s="3" t="s">
        <v>40</v>
      </c>
      <c r="U270" s="9" t="s">
        <v>63</v>
      </c>
      <c r="V270" s="3" t="s">
        <v>64</v>
      </c>
      <c r="W270" s="3" t="s">
        <v>65</v>
      </c>
      <c r="X270" s="2">
        <f t="shared" si="28"/>
        <v>46147</v>
      </c>
      <c r="Y270" s="73">
        <f t="shared" si="26"/>
        <v>41</v>
      </c>
      <c r="Z270" s="18">
        <v>46147</v>
      </c>
      <c r="AA270" s="15"/>
      <c r="AB270" s="15"/>
      <c r="AF270" t="str">
        <f t="shared" si="27"/>
        <v>Closed in May</v>
      </c>
    </row>
    <row r="271" spans="1:32" hidden="1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31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23"/>
        <v>23</v>
      </c>
      <c r="R271" s="53" t="str">
        <f t="shared" si="24"/>
        <v>01</v>
      </c>
      <c r="S271" s="3" t="s">
        <v>39</v>
      </c>
      <c r="T271" s="3" t="s">
        <v>40</v>
      </c>
      <c r="U271" s="9" t="s">
        <v>113</v>
      </c>
      <c r="V271" s="3" t="s">
        <v>64</v>
      </c>
      <c r="W271" s="3" t="s">
        <v>65</v>
      </c>
      <c r="X271" s="2">
        <f t="shared" si="28"/>
        <v>46147</v>
      </c>
      <c r="Y271" s="73">
        <f t="shared" si="26"/>
        <v>41</v>
      </c>
      <c r="Z271" s="18">
        <v>46147</v>
      </c>
      <c r="AA271" s="15"/>
      <c r="AB271" s="15"/>
      <c r="AF271" t="str">
        <f t="shared" si="27"/>
        <v>Closed in May</v>
      </c>
    </row>
    <row r="272" spans="1:32" hidden="1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31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23"/>
        <v>22</v>
      </c>
      <c r="R272" s="53" t="str">
        <f t="shared" si="24"/>
        <v>12</v>
      </c>
      <c r="S272" s="3" t="s">
        <v>39</v>
      </c>
      <c r="T272" s="3" t="s">
        <v>40</v>
      </c>
      <c r="U272" s="9" t="s">
        <v>113</v>
      </c>
      <c r="V272" s="3" t="s">
        <v>64</v>
      </c>
      <c r="W272" s="3" t="s">
        <v>65</v>
      </c>
      <c r="X272" s="2">
        <f t="shared" si="28"/>
        <v>46147</v>
      </c>
      <c r="Y272" s="73">
        <f t="shared" si="26"/>
        <v>41</v>
      </c>
      <c r="Z272" s="18">
        <v>46147</v>
      </c>
      <c r="AA272" s="15"/>
      <c r="AB272" s="15"/>
      <c r="AF272" t="str">
        <f t="shared" si="27"/>
        <v>Closed in May</v>
      </c>
    </row>
    <row r="273" spans="1:32" hidden="1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31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23"/>
        <v>23</v>
      </c>
      <c r="R273" s="53" t="str">
        <f t="shared" si="24"/>
        <v>01</v>
      </c>
      <c r="S273" s="3" t="s">
        <v>39</v>
      </c>
      <c r="T273" s="3" t="s">
        <v>40</v>
      </c>
      <c r="U273" s="9" t="s">
        <v>113</v>
      </c>
      <c r="V273" s="3" t="s">
        <v>64</v>
      </c>
      <c r="W273" s="3" t="s">
        <v>65</v>
      </c>
      <c r="X273" s="2">
        <f t="shared" si="28"/>
        <v>46147</v>
      </c>
      <c r="Y273" s="73">
        <f t="shared" si="26"/>
        <v>41</v>
      </c>
      <c r="Z273" s="18">
        <v>46147</v>
      </c>
      <c r="AA273" s="15"/>
      <c r="AB273" s="15"/>
      <c r="AF273" t="str">
        <f t="shared" si="27"/>
        <v>Closed in May</v>
      </c>
    </row>
    <row r="274" spans="1:32" hidden="1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31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23"/>
        <v>23</v>
      </c>
      <c r="R274" s="53" t="str">
        <f t="shared" si="24"/>
        <v>01</v>
      </c>
      <c r="S274" s="3" t="s">
        <v>39</v>
      </c>
      <c r="T274" s="3" t="s">
        <v>40</v>
      </c>
      <c r="U274" s="9" t="s">
        <v>113</v>
      </c>
      <c r="V274" s="3" t="s">
        <v>64</v>
      </c>
      <c r="W274" s="3" t="s">
        <v>65</v>
      </c>
      <c r="X274" s="2">
        <f t="shared" si="28"/>
        <v>46147</v>
      </c>
      <c r="Y274" s="73">
        <f t="shared" si="26"/>
        <v>41</v>
      </c>
      <c r="Z274" s="18">
        <v>46147</v>
      </c>
      <c r="AA274" s="15"/>
      <c r="AB274" s="15"/>
      <c r="AF274" t="str">
        <f t="shared" si="27"/>
        <v>Closed in May</v>
      </c>
    </row>
    <row r="275" spans="1:32" hidden="1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31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23"/>
        <v>23</v>
      </c>
      <c r="R275" s="53" t="str">
        <f t="shared" si="24"/>
        <v>01</v>
      </c>
      <c r="S275" s="3" t="s">
        <v>39</v>
      </c>
      <c r="T275" s="3" t="s">
        <v>40</v>
      </c>
      <c r="U275" s="9" t="s">
        <v>113</v>
      </c>
      <c r="V275" s="3" t="s">
        <v>64</v>
      </c>
      <c r="W275" s="3" t="s">
        <v>65</v>
      </c>
      <c r="X275" s="2">
        <f t="shared" si="28"/>
        <v>46147</v>
      </c>
      <c r="Y275" s="73">
        <f t="shared" si="26"/>
        <v>41</v>
      </c>
      <c r="Z275" s="18">
        <v>46147</v>
      </c>
      <c r="AA275" s="15"/>
      <c r="AB275" s="15"/>
      <c r="AF275" t="str">
        <f t="shared" si="27"/>
        <v>Closed in May</v>
      </c>
    </row>
    <row r="276" spans="1:32" hidden="1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31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23"/>
        <v>23</v>
      </c>
      <c r="R276" s="53" t="str">
        <f t="shared" si="24"/>
        <v>01</v>
      </c>
      <c r="S276" s="3" t="s">
        <v>39</v>
      </c>
      <c r="T276" s="3" t="s">
        <v>40</v>
      </c>
      <c r="U276" s="9" t="s">
        <v>113</v>
      </c>
      <c r="V276" s="3" t="s">
        <v>64</v>
      </c>
      <c r="W276" s="3" t="s">
        <v>65</v>
      </c>
      <c r="X276" s="2">
        <f t="shared" si="28"/>
        <v>46147</v>
      </c>
      <c r="Y276" s="73">
        <f t="shared" si="26"/>
        <v>41</v>
      </c>
      <c r="Z276" s="18">
        <v>46147</v>
      </c>
      <c r="AA276" s="15"/>
      <c r="AB276" s="15"/>
      <c r="AF276" t="str">
        <f t="shared" si="27"/>
        <v>Closed in May</v>
      </c>
    </row>
    <row r="277" spans="1:32" hidden="1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31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23"/>
        <v>22</v>
      </c>
      <c r="R277" s="53" t="str">
        <f t="shared" si="24"/>
        <v>12</v>
      </c>
      <c r="S277" s="3" t="s">
        <v>39</v>
      </c>
      <c r="T277" s="3" t="s">
        <v>40</v>
      </c>
      <c r="U277" s="9" t="s">
        <v>113</v>
      </c>
      <c r="V277" s="3" t="s">
        <v>64</v>
      </c>
      <c r="W277" s="3" t="s">
        <v>65</v>
      </c>
      <c r="X277" s="2">
        <f t="shared" si="28"/>
        <v>46147</v>
      </c>
      <c r="Y277" s="73">
        <f t="shared" si="26"/>
        <v>41</v>
      </c>
      <c r="Z277" s="18">
        <v>46147</v>
      </c>
      <c r="AA277" s="15"/>
      <c r="AB277" s="15"/>
      <c r="AF277" t="str">
        <f t="shared" si="27"/>
        <v>Closed in May</v>
      </c>
    </row>
    <row r="278" spans="1:32" hidden="1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31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23"/>
        <v>22</v>
      </c>
      <c r="R278" s="53" t="str">
        <f t="shared" si="24"/>
        <v>12</v>
      </c>
      <c r="S278" s="3" t="s">
        <v>39</v>
      </c>
      <c r="T278" s="3" t="s">
        <v>40</v>
      </c>
      <c r="U278" s="9" t="s">
        <v>113</v>
      </c>
      <c r="V278" s="3" t="s">
        <v>64</v>
      </c>
      <c r="W278" s="3" t="s">
        <v>65</v>
      </c>
      <c r="X278" s="2">
        <f t="shared" si="28"/>
        <v>46147</v>
      </c>
      <c r="Y278" s="73">
        <f t="shared" si="26"/>
        <v>41</v>
      </c>
      <c r="Z278" s="18">
        <v>46147</v>
      </c>
      <c r="AA278" s="15"/>
      <c r="AB278" s="15"/>
      <c r="AF278" t="str">
        <f t="shared" si="27"/>
        <v>Closed in May</v>
      </c>
    </row>
    <row r="279" spans="1:32" hidden="1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31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23"/>
        <v>22</v>
      </c>
      <c r="R279" s="53" t="str">
        <f t="shared" si="24"/>
        <v>12</v>
      </c>
      <c r="S279" s="3" t="s">
        <v>39</v>
      </c>
      <c r="T279" s="3" t="s">
        <v>40</v>
      </c>
      <c r="U279" s="9" t="s">
        <v>272</v>
      </c>
      <c r="V279" s="3" t="s">
        <v>64</v>
      </c>
      <c r="W279" s="3" t="s">
        <v>65</v>
      </c>
      <c r="X279" s="2">
        <f t="shared" si="28"/>
        <v>46147</v>
      </c>
      <c r="Y279" s="73">
        <f t="shared" si="26"/>
        <v>41</v>
      </c>
      <c r="Z279" s="18">
        <v>46147</v>
      </c>
      <c r="AA279" s="15"/>
      <c r="AB279" s="15"/>
      <c r="AF279" t="str">
        <f t="shared" si="27"/>
        <v>Closed in May</v>
      </c>
    </row>
    <row r="280" spans="1:32" hidden="1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31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23"/>
        <v>23</v>
      </c>
      <c r="R280" s="53" t="str">
        <f t="shared" si="24"/>
        <v>01</v>
      </c>
      <c r="S280" s="3" t="s">
        <v>39</v>
      </c>
      <c r="T280" s="3" t="s">
        <v>40</v>
      </c>
      <c r="U280" s="9" t="s">
        <v>272</v>
      </c>
      <c r="V280" s="3" t="s">
        <v>64</v>
      </c>
      <c r="W280" s="3" t="s">
        <v>65</v>
      </c>
      <c r="X280" s="2">
        <f t="shared" si="28"/>
        <v>46147</v>
      </c>
      <c r="Y280" s="73">
        <f t="shared" si="26"/>
        <v>41</v>
      </c>
      <c r="Z280" s="18">
        <v>46147</v>
      </c>
      <c r="AA280" s="15"/>
      <c r="AB280" s="15"/>
      <c r="AF280" t="str">
        <f t="shared" si="27"/>
        <v>Closed in May</v>
      </c>
    </row>
    <row r="281" spans="1:32" hidden="1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31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23"/>
        <v>22</v>
      </c>
      <c r="R281" s="53" t="str">
        <f t="shared" si="24"/>
        <v>12</v>
      </c>
      <c r="S281" s="3" t="s">
        <v>39</v>
      </c>
      <c r="T281" s="3" t="s">
        <v>40</v>
      </c>
      <c r="U281" s="9" t="s">
        <v>272</v>
      </c>
      <c r="V281" s="3" t="s">
        <v>64</v>
      </c>
      <c r="W281" s="3" t="s">
        <v>65</v>
      </c>
      <c r="X281" s="2">
        <f t="shared" si="28"/>
        <v>46147</v>
      </c>
      <c r="Y281" s="73">
        <f t="shared" si="26"/>
        <v>41</v>
      </c>
      <c r="Z281" s="18">
        <v>46147</v>
      </c>
      <c r="AA281" s="15"/>
      <c r="AB281" s="15"/>
      <c r="AF281" t="str">
        <f t="shared" si="27"/>
        <v>Closed in May</v>
      </c>
    </row>
    <row r="282" spans="1:32" hidden="1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31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23"/>
        <v>23</v>
      </c>
      <c r="R282" s="53" t="str">
        <f t="shared" si="24"/>
        <v>01</v>
      </c>
      <c r="S282" s="3" t="s">
        <v>39</v>
      </c>
      <c r="T282" s="3" t="s">
        <v>40</v>
      </c>
      <c r="U282" s="9" t="s">
        <v>272</v>
      </c>
      <c r="V282" s="3" t="s">
        <v>64</v>
      </c>
      <c r="W282" s="3" t="s">
        <v>65</v>
      </c>
      <c r="X282" s="2">
        <f t="shared" si="28"/>
        <v>46147</v>
      </c>
      <c r="Y282" s="73">
        <f t="shared" si="26"/>
        <v>41</v>
      </c>
      <c r="Z282" s="18">
        <v>46147</v>
      </c>
      <c r="AA282" s="15"/>
      <c r="AB282" s="15"/>
      <c r="AF282" t="str">
        <f t="shared" si="27"/>
        <v>Closed in May</v>
      </c>
    </row>
    <row r="283" spans="1:32" hidden="1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31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23"/>
        <v>22</v>
      </c>
      <c r="R283" s="53" t="str">
        <f t="shared" si="24"/>
        <v>12</v>
      </c>
      <c r="S283" s="3" t="s">
        <v>39</v>
      </c>
      <c r="T283" s="3" t="s">
        <v>40</v>
      </c>
      <c r="U283" s="9" t="s">
        <v>272</v>
      </c>
      <c r="V283" s="3" t="s">
        <v>64</v>
      </c>
      <c r="W283" s="3" t="s">
        <v>65</v>
      </c>
      <c r="X283" s="2">
        <f t="shared" si="28"/>
        <v>46147</v>
      </c>
      <c r="Y283" s="73">
        <f t="shared" si="26"/>
        <v>41</v>
      </c>
      <c r="Z283" s="18">
        <v>46147</v>
      </c>
      <c r="AA283" s="15"/>
      <c r="AB283" s="15"/>
      <c r="AF283" t="str">
        <f t="shared" si="27"/>
        <v>Closed in May</v>
      </c>
    </row>
    <row r="284" spans="1:32" hidden="1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31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23"/>
        <v>22</v>
      </c>
      <c r="R284" s="53" t="str">
        <f t="shared" si="24"/>
        <v>12</v>
      </c>
      <c r="S284" s="3" t="s">
        <v>39</v>
      </c>
      <c r="T284" s="3" t="s">
        <v>40</v>
      </c>
      <c r="U284" s="9" t="s">
        <v>272</v>
      </c>
      <c r="V284" s="3" t="s">
        <v>64</v>
      </c>
      <c r="W284" s="3" t="s">
        <v>65</v>
      </c>
      <c r="X284" s="2">
        <f t="shared" si="28"/>
        <v>46147</v>
      </c>
      <c r="Y284" s="73">
        <f t="shared" si="26"/>
        <v>41</v>
      </c>
      <c r="Z284" s="18">
        <v>46147</v>
      </c>
      <c r="AA284" s="15"/>
      <c r="AB284" s="15"/>
      <c r="AF284" t="str">
        <f t="shared" si="27"/>
        <v>Closed in May</v>
      </c>
    </row>
    <row r="285" spans="1:32" hidden="1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31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23"/>
        <v>23</v>
      </c>
      <c r="R285" s="53" t="str">
        <f t="shared" si="24"/>
        <v>01</v>
      </c>
      <c r="S285" s="3" t="s">
        <v>39</v>
      </c>
      <c r="T285" s="3" t="s">
        <v>40</v>
      </c>
      <c r="U285" s="9" t="s">
        <v>272</v>
      </c>
      <c r="V285" s="3" t="s">
        <v>64</v>
      </c>
      <c r="W285" s="3" t="s">
        <v>65</v>
      </c>
      <c r="X285" s="2">
        <f t="shared" si="28"/>
        <v>46147</v>
      </c>
      <c r="Y285" s="73">
        <f t="shared" si="26"/>
        <v>41</v>
      </c>
      <c r="Z285" s="18">
        <v>46147</v>
      </c>
      <c r="AA285" s="15"/>
      <c r="AB285" s="15"/>
      <c r="AF285" t="str">
        <f t="shared" si="27"/>
        <v>Closed in May</v>
      </c>
    </row>
    <row r="286" spans="1:32" hidden="1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31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23"/>
        <v>23</v>
      </c>
      <c r="R286" s="53" t="str">
        <f t="shared" si="24"/>
        <v>01</v>
      </c>
      <c r="S286" s="3" t="s">
        <v>39</v>
      </c>
      <c r="T286" s="3" t="s">
        <v>40</v>
      </c>
      <c r="U286" s="9" t="s">
        <v>272</v>
      </c>
      <c r="V286" s="3" t="s">
        <v>64</v>
      </c>
      <c r="W286" s="3" t="s">
        <v>65</v>
      </c>
      <c r="X286" s="2">
        <f t="shared" si="28"/>
        <v>46147</v>
      </c>
      <c r="Y286" s="73">
        <f t="shared" si="26"/>
        <v>41</v>
      </c>
      <c r="Z286" s="18">
        <v>46147</v>
      </c>
      <c r="AA286" s="15"/>
      <c r="AB286" s="15"/>
      <c r="AF286" t="str">
        <f t="shared" si="27"/>
        <v>Closed in May</v>
      </c>
    </row>
    <row r="287" spans="1:32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23"/>
        <v>23</v>
      </c>
      <c r="R287" s="53" t="str">
        <f t="shared" si="24"/>
        <v>01</v>
      </c>
      <c r="S287" s="3" t="s">
        <v>39</v>
      </c>
      <c r="T287" s="3" t="s">
        <v>40</v>
      </c>
      <c r="U287" s="9" t="s">
        <v>113</v>
      </c>
      <c r="V287" s="3" t="s">
        <v>64</v>
      </c>
      <c r="W287" s="3" t="s">
        <v>3134</v>
      </c>
      <c r="X287" s="5"/>
      <c r="Y287" s="73" t="str">
        <f t="shared" si="26"/>
        <v/>
      </c>
      <c r="Z287" s="18">
        <v>46147</v>
      </c>
      <c r="AA287" s="15"/>
      <c r="AB287" s="15"/>
      <c r="AF287" t="str">
        <f t="shared" si="27"/>
        <v>Other</v>
      </c>
    </row>
    <row r="288" spans="1:32" hidden="1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31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23"/>
        <v>23</v>
      </c>
      <c r="R288" s="53" t="str">
        <f t="shared" si="24"/>
        <v>01</v>
      </c>
      <c r="S288" s="3" t="s">
        <v>39</v>
      </c>
      <c r="T288" s="3" t="s">
        <v>40</v>
      </c>
      <c r="U288" s="9" t="s">
        <v>113</v>
      </c>
      <c r="V288" s="3" t="s">
        <v>64</v>
      </c>
      <c r="W288" s="3" t="s">
        <v>65</v>
      </c>
      <c r="X288" s="2">
        <f t="shared" ref="X288:X298" si="29">Z288</f>
        <v>46147</v>
      </c>
      <c r="Y288" s="73">
        <f t="shared" si="26"/>
        <v>41</v>
      </c>
      <c r="Z288" s="18">
        <v>46147</v>
      </c>
      <c r="AA288" s="15"/>
      <c r="AB288" s="15"/>
      <c r="AF288" t="str">
        <f t="shared" si="27"/>
        <v>Closed in May</v>
      </c>
    </row>
    <row r="289" spans="1:32" hidden="1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31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23"/>
        <v>24</v>
      </c>
      <c r="R289" s="53" t="str">
        <f t="shared" si="24"/>
        <v>09</v>
      </c>
      <c r="S289" s="3" t="s">
        <v>39</v>
      </c>
      <c r="T289" s="3" t="s">
        <v>40</v>
      </c>
      <c r="U289" s="9" t="s">
        <v>113</v>
      </c>
      <c r="V289" s="3" t="s">
        <v>64</v>
      </c>
      <c r="W289" s="3" t="s">
        <v>65</v>
      </c>
      <c r="X289" s="2">
        <f t="shared" si="29"/>
        <v>46147</v>
      </c>
      <c r="Y289" s="73">
        <f t="shared" si="26"/>
        <v>41</v>
      </c>
      <c r="Z289" s="18">
        <v>46147</v>
      </c>
      <c r="AA289" s="15"/>
      <c r="AB289" s="15"/>
      <c r="AF289" t="str">
        <f t="shared" si="27"/>
        <v>Closed in May</v>
      </c>
    </row>
    <row r="290" spans="1:32" hidden="1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31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23"/>
        <v>24</v>
      </c>
      <c r="R290" s="53" t="str">
        <f t="shared" si="24"/>
        <v>09</v>
      </c>
      <c r="S290" s="3" t="s">
        <v>39</v>
      </c>
      <c r="T290" s="3" t="s">
        <v>40</v>
      </c>
      <c r="U290" s="9" t="s">
        <v>113</v>
      </c>
      <c r="V290" s="3" t="s">
        <v>64</v>
      </c>
      <c r="W290" s="3" t="s">
        <v>65</v>
      </c>
      <c r="X290" s="2">
        <f t="shared" si="29"/>
        <v>46147</v>
      </c>
      <c r="Y290" s="73">
        <f t="shared" si="26"/>
        <v>41</v>
      </c>
      <c r="Z290" s="18">
        <v>46147</v>
      </c>
      <c r="AA290" s="15"/>
      <c r="AB290" s="15"/>
      <c r="AF290" t="str">
        <f t="shared" si="27"/>
        <v>Closed in May</v>
      </c>
    </row>
    <row r="291" spans="1:32" hidden="1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31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23"/>
        <v>23</v>
      </c>
      <c r="R291" s="53" t="str">
        <f t="shared" si="24"/>
        <v>01</v>
      </c>
      <c r="S291" s="3" t="s">
        <v>39</v>
      </c>
      <c r="T291" s="3" t="s">
        <v>40</v>
      </c>
      <c r="U291" s="9" t="s">
        <v>69</v>
      </c>
      <c r="V291" s="3" t="s">
        <v>64</v>
      </c>
      <c r="W291" s="3" t="s">
        <v>65</v>
      </c>
      <c r="X291" s="2">
        <f t="shared" si="29"/>
        <v>46147</v>
      </c>
      <c r="Y291" s="73">
        <f t="shared" si="26"/>
        <v>41</v>
      </c>
      <c r="Z291" s="18">
        <v>46147</v>
      </c>
      <c r="AA291" s="15"/>
      <c r="AB291" s="15"/>
      <c r="AF291" t="str">
        <f t="shared" si="27"/>
        <v>Closed in May</v>
      </c>
    </row>
    <row r="292" spans="1:32" hidden="1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31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23"/>
        <v>22</v>
      </c>
      <c r="R292" s="53" t="str">
        <f t="shared" si="24"/>
        <v>12</v>
      </c>
      <c r="S292" s="3" t="s">
        <v>39</v>
      </c>
      <c r="T292" s="3" t="s">
        <v>40</v>
      </c>
      <c r="U292" s="9" t="s">
        <v>113</v>
      </c>
      <c r="V292" s="3" t="s">
        <v>64</v>
      </c>
      <c r="W292" s="3" t="s">
        <v>65</v>
      </c>
      <c r="X292" s="2">
        <f t="shared" si="29"/>
        <v>46147</v>
      </c>
      <c r="Y292" s="73">
        <f t="shared" si="26"/>
        <v>41</v>
      </c>
      <c r="Z292" s="18">
        <v>46147</v>
      </c>
      <c r="AA292" s="15"/>
      <c r="AB292" s="15"/>
      <c r="AF292" t="str">
        <f t="shared" si="27"/>
        <v>Closed in May</v>
      </c>
    </row>
    <row r="293" spans="1:32" hidden="1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31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23"/>
        <v>22</v>
      </c>
      <c r="R293" s="53" t="str">
        <f t="shared" si="24"/>
        <v>12</v>
      </c>
      <c r="S293" s="3" t="s">
        <v>39</v>
      </c>
      <c r="T293" s="3" t="s">
        <v>40</v>
      </c>
      <c r="U293" s="9" t="s">
        <v>272</v>
      </c>
      <c r="V293" s="3" t="s">
        <v>64</v>
      </c>
      <c r="W293" s="3" t="s">
        <v>65</v>
      </c>
      <c r="X293" s="2">
        <f t="shared" si="29"/>
        <v>46147</v>
      </c>
      <c r="Y293" s="73">
        <f t="shared" si="26"/>
        <v>41</v>
      </c>
      <c r="Z293" s="18">
        <v>46147</v>
      </c>
      <c r="AA293" s="15"/>
      <c r="AB293" s="15"/>
      <c r="AF293" t="str">
        <f t="shared" si="27"/>
        <v>Closed in May</v>
      </c>
    </row>
    <row r="294" spans="1:32" hidden="1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31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23"/>
        <v>22</v>
      </c>
      <c r="R294" s="53" t="str">
        <f t="shared" si="24"/>
        <v>12</v>
      </c>
      <c r="S294" s="3" t="s">
        <v>39</v>
      </c>
      <c r="T294" s="3" t="s">
        <v>40</v>
      </c>
      <c r="U294" s="9" t="s">
        <v>113</v>
      </c>
      <c r="V294" s="3" t="s">
        <v>64</v>
      </c>
      <c r="W294" s="3" t="s">
        <v>65</v>
      </c>
      <c r="X294" s="2">
        <f t="shared" si="29"/>
        <v>46147</v>
      </c>
      <c r="Y294" s="73">
        <f t="shared" si="26"/>
        <v>41</v>
      </c>
      <c r="Z294" s="18">
        <v>46147</v>
      </c>
      <c r="AA294" s="15"/>
      <c r="AB294" s="15"/>
      <c r="AF294" t="str">
        <f t="shared" si="27"/>
        <v>Closed in May</v>
      </c>
    </row>
    <row r="295" spans="1:32" hidden="1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31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30">MID(P295,5,2)</f>
        <v>24</v>
      </c>
      <c r="R295" s="53" t="str">
        <f t="shared" ref="R295:R358" si="31">MID(P295,7,2)</f>
        <v>09</v>
      </c>
      <c r="S295" s="3" t="s">
        <v>39</v>
      </c>
      <c r="T295" s="3" t="s">
        <v>40</v>
      </c>
      <c r="U295" s="9" t="s">
        <v>113</v>
      </c>
      <c r="V295" s="3" t="s">
        <v>64</v>
      </c>
      <c r="W295" s="3" t="s">
        <v>65</v>
      </c>
      <c r="X295" s="2">
        <f t="shared" si="29"/>
        <v>46147</v>
      </c>
      <c r="Y295" s="73">
        <f t="shared" si="26"/>
        <v>41</v>
      </c>
      <c r="Z295" s="18">
        <v>46147</v>
      </c>
      <c r="AA295" s="15"/>
      <c r="AB295" s="15"/>
      <c r="AF295" t="str">
        <f t="shared" si="27"/>
        <v>Closed in May</v>
      </c>
    </row>
    <row r="296" spans="1:32" hidden="1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31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30"/>
        <v>23</v>
      </c>
      <c r="R296" s="53" t="str">
        <f t="shared" si="31"/>
        <v>01</v>
      </c>
      <c r="S296" s="3" t="s">
        <v>39</v>
      </c>
      <c r="T296" s="3" t="s">
        <v>40</v>
      </c>
      <c r="U296" s="9" t="s">
        <v>113</v>
      </c>
      <c r="V296" s="3" t="s">
        <v>64</v>
      </c>
      <c r="W296" s="3" t="s">
        <v>65</v>
      </c>
      <c r="X296" s="2">
        <f t="shared" si="29"/>
        <v>46147</v>
      </c>
      <c r="Y296" s="73">
        <f t="shared" si="26"/>
        <v>41</v>
      </c>
      <c r="Z296" s="18">
        <v>46147</v>
      </c>
      <c r="AA296" s="15"/>
      <c r="AB296" s="15"/>
      <c r="AF296" t="str">
        <f t="shared" si="27"/>
        <v>Closed in May</v>
      </c>
    </row>
    <row r="297" spans="1:32" hidden="1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31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30"/>
        <v>23</v>
      </c>
      <c r="R297" s="53" t="str">
        <f t="shared" si="31"/>
        <v>01</v>
      </c>
      <c r="S297" s="3" t="s">
        <v>39</v>
      </c>
      <c r="T297" s="3" t="s">
        <v>40</v>
      </c>
      <c r="U297" s="9" t="s">
        <v>113</v>
      </c>
      <c r="V297" s="3" t="s">
        <v>64</v>
      </c>
      <c r="W297" s="3" t="s">
        <v>65</v>
      </c>
      <c r="X297" s="2">
        <f t="shared" si="29"/>
        <v>46147</v>
      </c>
      <c r="Y297" s="73">
        <f t="shared" si="26"/>
        <v>41</v>
      </c>
      <c r="Z297" s="18">
        <v>46147</v>
      </c>
      <c r="AA297" s="15"/>
      <c r="AB297" s="15"/>
      <c r="AF297" t="str">
        <f t="shared" si="27"/>
        <v>Closed in May</v>
      </c>
    </row>
    <row r="298" spans="1:32" hidden="1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31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30"/>
        <v>22</v>
      </c>
      <c r="R298" s="53" t="str">
        <f t="shared" si="31"/>
        <v>12</v>
      </c>
      <c r="S298" s="3" t="s">
        <v>39</v>
      </c>
      <c r="T298" s="3" t="s">
        <v>40</v>
      </c>
      <c r="U298" s="9" t="s">
        <v>272</v>
      </c>
      <c r="V298" s="3" t="s">
        <v>64</v>
      </c>
      <c r="W298" s="3" t="s">
        <v>65</v>
      </c>
      <c r="X298" s="2">
        <f t="shared" si="29"/>
        <v>46147</v>
      </c>
      <c r="Y298" s="73">
        <f t="shared" si="26"/>
        <v>41</v>
      </c>
      <c r="Z298" s="18">
        <v>46147</v>
      </c>
      <c r="AA298" s="15"/>
      <c r="AB298" s="15"/>
      <c r="AF298" t="str">
        <f t="shared" si="27"/>
        <v>Closed in May</v>
      </c>
    </row>
    <row r="299" spans="1:32" hidden="1">
      <c r="A299" s="6">
        <v>46107</v>
      </c>
      <c r="B299" s="3">
        <v>2026</v>
      </c>
      <c r="C299" s="3" t="s">
        <v>114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30"/>
        <v>24</v>
      </c>
      <c r="R299" s="53" t="str">
        <f t="shared" si="31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73">
        <f t="shared" si="26"/>
        <v>40</v>
      </c>
      <c r="Z299" s="18">
        <v>46147</v>
      </c>
      <c r="AA299" s="15"/>
      <c r="AB299" s="15"/>
      <c r="AF299" t="str">
        <f t="shared" si="27"/>
        <v>Closed in May</v>
      </c>
    </row>
    <row r="300" spans="1:32" hidden="1">
      <c r="A300" s="6">
        <v>46107</v>
      </c>
      <c r="B300" s="3">
        <v>2026</v>
      </c>
      <c r="C300" s="3" t="s">
        <v>114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30"/>
        <v>24</v>
      </c>
      <c r="R300" s="53" t="str">
        <f t="shared" si="31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73">
        <f t="shared" si="26"/>
        <v>40</v>
      </c>
      <c r="Z300" s="18">
        <v>46147</v>
      </c>
      <c r="AA300" s="15"/>
      <c r="AB300" s="15"/>
      <c r="AF300" t="str">
        <f t="shared" si="27"/>
        <v>Closed in May</v>
      </c>
    </row>
    <row r="301" spans="1:32" hidden="1">
      <c r="A301" s="6">
        <v>46107</v>
      </c>
      <c r="B301" s="3">
        <v>2026</v>
      </c>
      <c r="C301" s="3" t="s">
        <v>114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30"/>
        <v>24</v>
      </c>
      <c r="R301" s="53" t="str">
        <f t="shared" si="31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73">
        <f t="shared" si="26"/>
        <v>40</v>
      </c>
      <c r="Z301" s="18">
        <v>46147</v>
      </c>
      <c r="AA301" s="15"/>
      <c r="AB301" s="15"/>
      <c r="AF301" t="str">
        <f t="shared" si="27"/>
        <v>Closed in May</v>
      </c>
    </row>
    <row r="302" spans="1:32" hidden="1">
      <c r="A302" s="6">
        <v>46107</v>
      </c>
      <c r="B302" s="3">
        <v>2026</v>
      </c>
      <c r="C302" s="3" t="s">
        <v>114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30"/>
        <v>24</v>
      </c>
      <c r="R302" s="53" t="str">
        <f t="shared" si="31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73">
        <f t="shared" si="26"/>
        <v>40</v>
      </c>
      <c r="Z302" s="18">
        <v>46147</v>
      </c>
      <c r="AA302" s="15"/>
      <c r="AB302" s="15"/>
      <c r="AF302" t="str">
        <f t="shared" si="27"/>
        <v>Closed in May</v>
      </c>
    </row>
    <row r="303" spans="1:32" hidden="1">
      <c r="A303" s="6">
        <v>46107</v>
      </c>
      <c r="B303" s="3">
        <v>2026</v>
      </c>
      <c r="C303" s="3" t="s">
        <v>114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30"/>
        <v>24</v>
      </c>
      <c r="R303" s="53" t="str">
        <f t="shared" si="31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73">
        <f t="shared" si="26"/>
        <v>40</v>
      </c>
      <c r="Z303" s="18">
        <v>46147</v>
      </c>
      <c r="AA303" s="15"/>
      <c r="AB303" s="15"/>
      <c r="AF303" t="str">
        <f t="shared" si="27"/>
        <v>Closed in May</v>
      </c>
    </row>
    <row r="304" spans="1:32" hidden="1">
      <c r="A304" s="6">
        <v>46107</v>
      </c>
      <c r="B304" s="3">
        <v>2026</v>
      </c>
      <c r="C304" s="3" t="s">
        <v>114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30"/>
        <v>24</v>
      </c>
      <c r="R304" s="53" t="str">
        <f t="shared" si="31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73">
        <f t="shared" si="26"/>
        <v>40</v>
      </c>
      <c r="Z304" s="18">
        <v>46147</v>
      </c>
      <c r="AA304" s="15"/>
      <c r="AB304" s="15"/>
      <c r="AF304" t="str">
        <f t="shared" si="27"/>
        <v>Closed in May</v>
      </c>
    </row>
    <row r="305" spans="1:32" hidden="1">
      <c r="A305" s="6">
        <v>46107</v>
      </c>
      <c r="B305" s="3">
        <v>2026</v>
      </c>
      <c r="C305" s="3" t="s">
        <v>114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30"/>
        <v>24</v>
      </c>
      <c r="R305" s="53" t="str">
        <f t="shared" si="31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73">
        <f t="shared" si="26"/>
        <v>40</v>
      </c>
      <c r="Z305" s="18">
        <v>46147</v>
      </c>
      <c r="AA305" s="15"/>
      <c r="AB305" s="15"/>
      <c r="AF305" t="str">
        <f t="shared" si="27"/>
        <v>Closed in May</v>
      </c>
    </row>
    <row r="306" spans="1:32" hidden="1">
      <c r="A306" s="6">
        <v>46107</v>
      </c>
      <c r="B306" s="3">
        <v>2026</v>
      </c>
      <c r="C306" s="3" t="s">
        <v>114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30"/>
        <v>24</v>
      </c>
      <c r="R306" s="53" t="str">
        <f t="shared" si="31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73">
        <f t="shared" si="26"/>
        <v>40</v>
      </c>
      <c r="Z306" s="18">
        <v>46147</v>
      </c>
      <c r="AA306" s="15"/>
      <c r="AB306" s="15"/>
      <c r="AF306" t="str">
        <f t="shared" si="27"/>
        <v>Closed in May</v>
      </c>
    </row>
    <row r="307" spans="1:32" hidden="1">
      <c r="A307" s="6">
        <v>46107</v>
      </c>
      <c r="B307" s="3">
        <v>2026</v>
      </c>
      <c r="C307" s="3" t="s">
        <v>114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30"/>
        <v>24</v>
      </c>
      <c r="R307" s="53" t="str">
        <f t="shared" si="31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73">
        <f t="shared" si="26"/>
        <v>40</v>
      </c>
      <c r="Z307" s="18">
        <v>46147</v>
      </c>
      <c r="AA307" s="15"/>
      <c r="AB307" s="15"/>
      <c r="AF307" t="str">
        <f t="shared" si="27"/>
        <v>Closed in May</v>
      </c>
    </row>
    <row r="308" spans="1:32" hidden="1">
      <c r="A308" s="6">
        <v>46107</v>
      </c>
      <c r="B308" s="3">
        <v>2026</v>
      </c>
      <c r="C308" s="3" t="s">
        <v>114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30"/>
        <v>24</v>
      </c>
      <c r="R308" s="53" t="str">
        <f t="shared" si="31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73">
        <f t="shared" si="26"/>
        <v>40</v>
      </c>
      <c r="Z308" s="18">
        <v>46147</v>
      </c>
      <c r="AA308" s="15"/>
      <c r="AB308" s="15"/>
      <c r="AF308" t="str">
        <f t="shared" si="27"/>
        <v>Closed in May</v>
      </c>
    </row>
    <row r="309" spans="1:32" hidden="1">
      <c r="A309" s="6">
        <v>46107</v>
      </c>
      <c r="B309" s="3">
        <v>2026</v>
      </c>
      <c r="C309" s="3" t="s">
        <v>114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30"/>
        <v>24</v>
      </c>
      <c r="R309" s="53" t="str">
        <f t="shared" si="31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73">
        <f t="shared" si="26"/>
        <v>40</v>
      </c>
      <c r="Z309" s="18">
        <v>46147</v>
      </c>
      <c r="AA309" s="15"/>
      <c r="AB309" s="15"/>
      <c r="AF309" t="str">
        <f t="shared" si="27"/>
        <v>Closed in May</v>
      </c>
    </row>
    <row r="310" spans="1:32" hidden="1">
      <c r="A310" s="6">
        <v>46107</v>
      </c>
      <c r="B310" s="3">
        <v>2026</v>
      </c>
      <c r="C310" s="3" t="s">
        <v>114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30"/>
        <v>24</v>
      </c>
      <c r="R310" s="53" t="str">
        <f t="shared" si="31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73">
        <f t="shared" si="26"/>
        <v>40</v>
      </c>
      <c r="Z310" s="18">
        <v>46147</v>
      </c>
      <c r="AA310" s="15"/>
      <c r="AB310" s="15"/>
      <c r="AF310" t="str">
        <f t="shared" si="27"/>
        <v>Closed in May</v>
      </c>
    </row>
    <row r="311" spans="1:32" hidden="1">
      <c r="A311" s="6">
        <v>46107</v>
      </c>
      <c r="B311" s="3">
        <v>2026</v>
      </c>
      <c r="C311" s="3" t="s">
        <v>114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30"/>
        <v>24</v>
      </c>
      <c r="R311" s="53" t="str">
        <f t="shared" si="31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73">
        <f t="shared" si="26"/>
        <v>40</v>
      </c>
      <c r="Z311" s="18">
        <v>46147</v>
      </c>
      <c r="AA311" s="15"/>
      <c r="AB311" s="15"/>
      <c r="AF311" t="str">
        <f t="shared" si="27"/>
        <v>Closed in May</v>
      </c>
    </row>
    <row r="312" spans="1:32" hidden="1">
      <c r="A312" s="6">
        <v>46107</v>
      </c>
      <c r="B312" s="3">
        <v>2026</v>
      </c>
      <c r="C312" s="3" t="s">
        <v>114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30"/>
        <v>24</v>
      </c>
      <c r="R312" s="53" t="str">
        <f t="shared" si="31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73">
        <f t="shared" si="26"/>
        <v>40</v>
      </c>
      <c r="Z312" s="18">
        <v>46147</v>
      </c>
      <c r="AA312" s="15"/>
      <c r="AB312" s="15"/>
      <c r="AF312" t="str">
        <f t="shared" si="27"/>
        <v>Closed in May</v>
      </c>
    </row>
    <row r="313" spans="1:32" hidden="1">
      <c r="A313" s="6">
        <v>46107</v>
      </c>
      <c r="B313" s="3">
        <v>2026</v>
      </c>
      <c r="C313" s="3" t="s">
        <v>114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30"/>
        <v>24</v>
      </c>
      <c r="R313" s="53" t="str">
        <f t="shared" si="31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73">
        <f t="shared" si="26"/>
        <v>40</v>
      </c>
      <c r="Z313" s="18">
        <v>46147</v>
      </c>
      <c r="AA313" s="15"/>
      <c r="AB313" s="15"/>
      <c r="AF313" t="str">
        <f t="shared" si="27"/>
        <v>Closed in May</v>
      </c>
    </row>
    <row r="314" spans="1:32" hidden="1">
      <c r="A314" s="6">
        <v>46107</v>
      </c>
      <c r="B314" s="3">
        <v>2026</v>
      </c>
      <c r="C314" s="3" t="s">
        <v>114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30"/>
        <v>24</v>
      </c>
      <c r="R314" s="53" t="str">
        <f t="shared" si="31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73">
        <f t="shared" si="26"/>
        <v>40</v>
      </c>
      <c r="Z314" s="18">
        <v>46147</v>
      </c>
      <c r="AA314" s="15"/>
      <c r="AB314" s="15"/>
      <c r="AF314" t="str">
        <f t="shared" si="27"/>
        <v>Closed in May</v>
      </c>
    </row>
    <row r="315" spans="1:32" hidden="1">
      <c r="A315" s="6">
        <v>46107</v>
      </c>
      <c r="B315" s="3">
        <v>2026</v>
      </c>
      <c r="C315" s="3" t="s">
        <v>114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30"/>
        <v>24</v>
      </c>
      <c r="R315" s="53" t="str">
        <f t="shared" si="31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73">
        <f t="shared" si="26"/>
        <v>40</v>
      </c>
      <c r="Z315" s="18">
        <v>46147</v>
      </c>
      <c r="AA315" s="15"/>
      <c r="AB315" s="15"/>
      <c r="AF315" t="str">
        <f t="shared" si="27"/>
        <v>Closed in May</v>
      </c>
    </row>
    <row r="316" spans="1:32" hidden="1">
      <c r="A316" s="6">
        <v>46107</v>
      </c>
      <c r="B316" s="3">
        <v>2026</v>
      </c>
      <c r="C316" s="3" t="s">
        <v>114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30"/>
        <v>24</v>
      </c>
      <c r="R316" s="53" t="str">
        <f t="shared" si="31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73">
        <f t="shared" si="26"/>
        <v>40</v>
      </c>
      <c r="Z316" s="18">
        <v>46147</v>
      </c>
      <c r="AA316" s="15"/>
      <c r="AB316" s="15"/>
      <c r="AF316" t="str">
        <f t="shared" si="27"/>
        <v>Closed in May</v>
      </c>
    </row>
    <row r="317" spans="1:32" hidden="1">
      <c r="A317" s="6">
        <v>46107</v>
      </c>
      <c r="B317" s="3">
        <v>2026</v>
      </c>
      <c r="C317" s="3" t="s">
        <v>114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30"/>
        <v>24</v>
      </c>
      <c r="R317" s="53" t="str">
        <f t="shared" si="31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73">
        <f t="shared" si="26"/>
        <v>40</v>
      </c>
      <c r="Z317" s="18">
        <v>46147</v>
      </c>
      <c r="AA317" s="15"/>
      <c r="AB317" s="15"/>
      <c r="AF317" t="str">
        <f t="shared" si="27"/>
        <v>Closed in May</v>
      </c>
    </row>
    <row r="318" spans="1:32" hidden="1">
      <c r="A318" s="6">
        <v>46107</v>
      </c>
      <c r="B318" s="3">
        <v>2026</v>
      </c>
      <c r="C318" s="3" t="s">
        <v>114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30"/>
        <v>24</v>
      </c>
      <c r="R318" s="53" t="str">
        <f t="shared" si="31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73">
        <f t="shared" si="26"/>
        <v>40</v>
      </c>
      <c r="Z318" s="18">
        <v>46147</v>
      </c>
      <c r="AA318" s="15"/>
      <c r="AB318" s="15"/>
      <c r="AF318" t="str">
        <f t="shared" si="27"/>
        <v>Closed in May</v>
      </c>
    </row>
    <row r="319" spans="1:32" hidden="1">
      <c r="A319" s="6">
        <v>46107</v>
      </c>
      <c r="B319" s="3">
        <v>2026</v>
      </c>
      <c r="C319" s="3" t="s">
        <v>114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30"/>
        <v>24</v>
      </c>
      <c r="R319" s="53" t="str">
        <f t="shared" si="31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73">
        <f t="shared" si="26"/>
        <v>40</v>
      </c>
      <c r="Z319" s="18">
        <v>46147</v>
      </c>
      <c r="AA319" s="15"/>
      <c r="AB319" s="15"/>
      <c r="AF319" t="str">
        <f t="shared" si="27"/>
        <v>Closed in May</v>
      </c>
    </row>
    <row r="320" spans="1:32" hidden="1">
      <c r="A320" s="6">
        <v>46107</v>
      </c>
      <c r="B320" s="3">
        <v>2026</v>
      </c>
      <c r="C320" s="3" t="s">
        <v>114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30"/>
        <v>24</v>
      </c>
      <c r="R320" s="53" t="str">
        <f t="shared" si="31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73">
        <f t="shared" si="26"/>
        <v>40</v>
      </c>
      <c r="Z320" s="18">
        <v>46147</v>
      </c>
      <c r="AA320" s="15"/>
      <c r="AB320" s="15"/>
      <c r="AF320" t="str">
        <f t="shared" si="27"/>
        <v>Closed in May</v>
      </c>
    </row>
    <row r="321" spans="1:32" hidden="1">
      <c r="A321" s="6">
        <v>46107</v>
      </c>
      <c r="B321" s="3">
        <v>2026</v>
      </c>
      <c r="C321" s="3" t="s">
        <v>114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30"/>
        <v>24</v>
      </c>
      <c r="R321" s="53" t="str">
        <f t="shared" si="31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73">
        <f t="shared" si="26"/>
        <v>40</v>
      </c>
      <c r="Z321" s="18">
        <v>46147</v>
      </c>
      <c r="AA321" s="15"/>
      <c r="AB321" s="15"/>
      <c r="AF321" t="str">
        <f t="shared" si="27"/>
        <v>Closed in May</v>
      </c>
    </row>
    <row r="322" spans="1:32" hidden="1">
      <c r="A322" s="6">
        <v>46107</v>
      </c>
      <c r="B322" s="3">
        <v>2026</v>
      </c>
      <c r="C322" s="3" t="s">
        <v>114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30"/>
        <v>24</v>
      </c>
      <c r="R322" s="53" t="str">
        <f t="shared" si="31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73">
        <f t="shared" ref="Y322:Y385" si="32">IF(X322="","",X322-A322)</f>
        <v>40</v>
      </c>
      <c r="Z322" s="18">
        <v>46147</v>
      </c>
      <c r="AA322" s="15"/>
      <c r="AB322" s="15"/>
      <c r="AF322" t="str">
        <f t="shared" ref="AF322:AF385" si="33">IF(AND($F322="Closed",$X322&gt;=DATE(2026,5,1),$X322&lt;=DATE(2026,5,31)),"Closed in May","Other")</f>
        <v>Closed in May</v>
      </c>
    </row>
    <row r="323" spans="1:32" hidden="1">
      <c r="A323" s="6">
        <v>46107</v>
      </c>
      <c r="B323" s="3">
        <v>2026</v>
      </c>
      <c r="C323" s="3" t="s">
        <v>114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30"/>
        <v>24</v>
      </c>
      <c r="R323" s="53" t="str">
        <f t="shared" si="31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73">
        <f t="shared" si="32"/>
        <v>40</v>
      </c>
      <c r="Z323" s="18">
        <v>46147</v>
      </c>
      <c r="AA323" s="15"/>
      <c r="AB323" s="15"/>
      <c r="AF323" t="str">
        <f t="shared" si="33"/>
        <v>Closed in May</v>
      </c>
    </row>
    <row r="324" spans="1:32" hidden="1">
      <c r="A324" s="6">
        <v>46107</v>
      </c>
      <c r="B324" s="3">
        <v>2026</v>
      </c>
      <c r="C324" s="3" t="s">
        <v>114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30"/>
        <v>24</v>
      </c>
      <c r="R324" s="53" t="str">
        <f t="shared" si="31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73">
        <f t="shared" si="32"/>
        <v>40</v>
      </c>
      <c r="Z324" s="18">
        <v>46147</v>
      </c>
      <c r="AA324" s="15"/>
      <c r="AB324" s="15"/>
      <c r="AF324" t="str">
        <f t="shared" si="33"/>
        <v>Closed in May</v>
      </c>
    </row>
    <row r="325" spans="1:32" hidden="1">
      <c r="A325" s="6">
        <v>46107</v>
      </c>
      <c r="B325" s="3">
        <v>2026</v>
      </c>
      <c r="C325" s="3" t="s">
        <v>114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30"/>
        <v>24</v>
      </c>
      <c r="R325" s="53" t="str">
        <f t="shared" si="31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73">
        <f t="shared" si="32"/>
        <v>40</v>
      </c>
      <c r="Z325" s="18">
        <v>46147</v>
      </c>
      <c r="AA325" s="15"/>
      <c r="AB325" s="15"/>
      <c r="AF325" t="str">
        <f t="shared" si="33"/>
        <v>Closed in May</v>
      </c>
    </row>
    <row r="326" spans="1:32" hidden="1">
      <c r="A326" s="6">
        <v>46107</v>
      </c>
      <c r="B326" s="3">
        <v>2026</v>
      </c>
      <c r="C326" s="3" t="s">
        <v>114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30"/>
        <v>24</v>
      </c>
      <c r="R326" s="53" t="str">
        <f t="shared" si="31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73">
        <f t="shared" si="32"/>
        <v>40</v>
      </c>
      <c r="Z326" s="18">
        <v>46147</v>
      </c>
      <c r="AA326" s="15"/>
      <c r="AB326" s="15"/>
      <c r="AF326" t="str">
        <f t="shared" si="33"/>
        <v>Closed in May</v>
      </c>
    </row>
    <row r="327" spans="1:32" hidden="1">
      <c r="A327" s="6">
        <v>46107</v>
      </c>
      <c r="B327" s="3">
        <v>2026</v>
      </c>
      <c r="C327" s="3" t="s">
        <v>114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30"/>
        <v>24</v>
      </c>
      <c r="R327" s="53" t="str">
        <f t="shared" si="31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73">
        <f t="shared" si="32"/>
        <v>40</v>
      </c>
      <c r="Z327" s="18">
        <v>46147</v>
      </c>
      <c r="AA327" s="15"/>
      <c r="AB327" s="15"/>
      <c r="AF327" t="str">
        <f t="shared" si="33"/>
        <v>Closed in May</v>
      </c>
    </row>
    <row r="328" spans="1:32" hidden="1">
      <c r="A328" s="6">
        <v>46107</v>
      </c>
      <c r="B328" s="3">
        <v>2026</v>
      </c>
      <c r="C328" s="3" t="s">
        <v>114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30"/>
        <v>24</v>
      </c>
      <c r="R328" s="53" t="str">
        <f t="shared" si="31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73">
        <f t="shared" si="32"/>
        <v>40</v>
      </c>
      <c r="Z328" s="18">
        <v>46147</v>
      </c>
      <c r="AA328" s="15"/>
      <c r="AB328" s="15"/>
      <c r="AF328" t="str">
        <f t="shared" si="33"/>
        <v>Closed in May</v>
      </c>
    </row>
    <row r="329" spans="1:32" hidden="1">
      <c r="A329" s="6">
        <v>46107</v>
      </c>
      <c r="B329" s="3">
        <v>2026</v>
      </c>
      <c r="C329" s="3" t="s">
        <v>114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30"/>
        <v>24</v>
      </c>
      <c r="R329" s="53" t="str">
        <f t="shared" si="31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73">
        <f t="shared" si="32"/>
        <v>40</v>
      </c>
      <c r="Z329" s="18">
        <v>46147</v>
      </c>
      <c r="AA329" s="15"/>
      <c r="AB329" s="15"/>
      <c r="AF329" t="str">
        <f t="shared" si="33"/>
        <v>Closed in May</v>
      </c>
    </row>
    <row r="330" spans="1:32" hidden="1">
      <c r="A330" s="6">
        <v>46107</v>
      </c>
      <c r="B330" s="3">
        <v>2026</v>
      </c>
      <c r="C330" s="3" t="s">
        <v>114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30"/>
        <v>24</v>
      </c>
      <c r="R330" s="53" t="str">
        <f t="shared" si="31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73">
        <f t="shared" si="32"/>
        <v>40</v>
      </c>
      <c r="Z330" s="18">
        <v>46147</v>
      </c>
      <c r="AA330" s="15"/>
      <c r="AB330" s="15"/>
      <c r="AF330" t="str">
        <f t="shared" si="33"/>
        <v>Closed in May</v>
      </c>
    </row>
    <row r="331" spans="1:32" hidden="1">
      <c r="A331" s="6">
        <v>46107</v>
      </c>
      <c r="B331" s="3">
        <v>2026</v>
      </c>
      <c r="C331" s="3" t="s">
        <v>114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30"/>
        <v>24</v>
      </c>
      <c r="R331" s="53" t="str">
        <f t="shared" si="31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73">
        <f t="shared" si="32"/>
        <v>40</v>
      </c>
      <c r="Z331" s="18">
        <v>46147</v>
      </c>
      <c r="AA331" s="15"/>
      <c r="AB331" s="15"/>
      <c r="AF331" t="str">
        <f t="shared" si="33"/>
        <v>Closed in May</v>
      </c>
    </row>
    <row r="332" spans="1:32" hidden="1">
      <c r="A332" s="6">
        <v>46107</v>
      </c>
      <c r="B332" s="3">
        <v>2026</v>
      </c>
      <c r="C332" s="3" t="s">
        <v>114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30"/>
        <v>24</v>
      </c>
      <c r="R332" s="53" t="str">
        <f t="shared" si="31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73">
        <f t="shared" si="32"/>
        <v>40</v>
      </c>
      <c r="Z332" s="18">
        <v>46147</v>
      </c>
      <c r="AA332" s="15"/>
      <c r="AB332" s="15"/>
      <c r="AF332" t="str">
        <f t="shared" si="33"/>
        <v>Closed in May</v>
      </c>
    </row>
    <row r="333" spans="1:32" hidden="1">
      <c r="A333" s="6">
        <v>46107</v>
      </c>
      <c r="B333" s="3">
        <v>2026</v>
      </c>
      <c r="C333" s="3" t="s">
        <v>114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30"/>
        <v>24</v>
      </c>
      <c r="R333" s="53" t="str">
        <f t="shared" si="31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73">
        <f t="shared" si="32"/>
        <v>40</v>
      </c>
      <c r="Z333" s="18">
        <v>46147</v>
      </c>
      <c r="AA333" s="15"/>
      <c r="AB333" s="15"/>
      <c r="AF333" t="str">
        <f t="shared" si="33"/>
        <v>Closed in May</v>
      </c>
    </row>
    <row r="334" spans="1:32" hidden="1">
      <c r="A334" s="6">
        <v>46107</v>
      </c>
      <c r="B334" s="3">
        <v>2026</v>
      </c>
      <c r="C334" s="3" t="s">
        <v>114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30"/>
        <v>24</v>
      </c>
      <c r="R334" s="53" t="str">
        <f t="shared" si="31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73">
        <f t="shared" si="32"/>
        <v>40</v>
      </c>
      <c r="Z334" s="18">
        <v>46147</v>
      </c>
      <c r="AA334" s="15"/>
      <c r="AB334" s="15"/>
      <c r="AF334" t="str">
        <f t="shared" si="33"/>
        <v>Closed in May</v>
      </c>
    </row>
    <row r="335" spans="1:32" hidden="1">
      <c r="A335" s="6">
        <v>46107</v>
      </c>
      <c r="B335" s="3">
        <v>2026</v>
      </c>
      <c r="C335" s="3" t="s">
        <v>114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30"/>
        <v>24</v>
      </c>
      <c r="R335" s="53" t="str">
        <f t="shared" si="31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73">
        <f t="shared" si="32"/>
        <v>40</v>
      </c>
      <c r="Z335" s="18">
        <v>46147</v>
      </c>
      <c r="AA335" s="15"/>
      <c r="AB335" s="15"/>
      <c r="AF335" t="str">
        <f t="shared" si="33"/>
        <v>Closed in May</v>
      </c>
    </row>
    <row r="336" spans="1:32" hidden="1">
      <c r="A336" s="6">
        <v>46107</v>
      </c>
      <c r="B336" s="3">
        <v>2026</v>
      </c>
      <c r="C336" s="3" t="s">
        <v>114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30"/>
        <v>24</v>
      </c>
      <c r="R336" s="53" t="str">
        <f t="shared" si="31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73">
        <f t="shared" si="32"/>
        <v>40</v>
      </c>
      <c r="Z336" s="18">
        <v>46147</v>
      </c>
      <c r="AA336" s="15"/>
      <c r="AB336" s="15"/>
      <c r="AF336" t="str">
        <f t="shared" si="33"/>
        <v>Closed in May</v>
      </c>
    </row>
    <row r="337" spans="1:32" hidden="1">
      <c r="A337" s="6">
        <v>46107</v>
      </c>
      <c r="B337" s="3">
        <v>2026</v>
      </c>
      <c r="C337" s="3" t="s">
        <v>114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30"/>
        <v>24</v>
      </c>
      <c r="R337" s="53" t="str">
        <f t="shared" si="31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73">
        <f t="shared" si="32"/>
        <v>40</v>
      </c>
      <c r="Z337" s="18">
        <v>46147</v>
      </c>
      <c r="AA337" s="15"/>
      <c r="AB337" s="15"/>
      <c r="AF337" t="str">
        <f t="shared" si="33"/>
        <v>Closed in May</v>
      </c>
    </row>
    <row r="338" spans="1:32" hidden="1">
      <c r="A338" s="6">
        <v>46107</v>
      </c>
      <c r="B338" s="3">
        <v>2026</v>
      </c>
      <c r="C338" s="3" t="s">
        <v>114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30"/>
        <v>24</v>
      </c>
      <c r="R338" s="53" t="str">
        <f t="shared" si="31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73">
        <f t="shared" si="32"/>
        <v>40</v>
      </c>
      <c r="Z338" s="18">
        <v>46147</v>
      </c>
      <c r="AA338" s="15"/>
      <c r="AB338" s="15"/>
      <c r="AF338" t="str">
        <f t="shared" si="33"/>
        <v>Closed in May</v>
      </c>
    </row>
    <row r="339" spans="1:32" hidden="1">
      <c r="A339" s="6">
        <v>46107</v>
      </c>
      <c r="B339" s="3">
        <v>2026</v>
      </c>
      <c r="C339" s="3" t="s">
        <v>114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30"/>
        <v>24</v>
      </c>
      <c r="R339" s="53" t="str">
        <f t="shared" si="31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73">
        <f t="shared" si="32"/>
        <v>40</v>
      </c>
      <c r="Z339" s="18">
        <v>46147</v>
      </c>
      <c r="AA339" s="15"/>
      <c r="AB339" s="15"/>
      <c r="AF339" t="str">
        <f t="shared" si="33"/>
        <v>Closed in May</v>
      </c>
    </row>
    <row r="340" spans="1:32" hidden="1">
      <c r="A340" s="6">
        <v>46107</v>
      </c>
      <c r="B340" s="3">
        <v>2026</v>
      </c>
      <c r="C340" s="3" t="s">
        <v>114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30"/>
        <v>24</v>
      </c>
      <c r="R340" s="53" t="str">
        <f t="shared" si="31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73">
        <f t="shared" si="32"/>
        <v>40</v>
      </c>
      <c r="Z340" s="18">
        <v>46147</v>
      </c>
      <c r="AA340" s="15"/>
      <c r="AB340" s="15"/>
      <c r="AF340" t="str">
        <f t="shared" si="33"/>
        <v>Closed in May</v>
      </c>
    </row>
    <row r="341" spans="1:32" hidden="1">
      <c r="A341" s="6">
        <v>46107</v>
      </c>
      <c r="B341" s="3">
        <v>2026</v>
      </c>
      <c r="C341" s="3" t="s">
        <v>114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30"/>
        <v>24</v>
      </c>
      <c r="R341" s="53" t="str">
        <f t="shared" si="31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73">
        <f t="shared" si="32"/>
        <v>40</v>
      </c>
      <c r="Z341" s="18">
        <v>46147</v>
      </c>
      <c r="AA341" s="15"/>
      <c r="AB341" s="15"/>
      <c r="AF341" t="str">
        <f t="shared" si="33"/>
        <v>Closed in May</v>
      </c>
    </row>
    <row r="342" spans="1:32" hidden="1">
      <c r="A342" s="6">
        <v>46107</v>
      </c>
      <c r="B342" s="3">
        <v>2026</v>
      </c>
      <c r="C342" s="3" t="s">
        <v>114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30"/>
        <v>24</v>
      </c>
      <c r="R342" s="53" t="str">
        <f t="shared" si="31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73">
        <f t="shared" si="32"/>
        <v>40</v>
      </c>
      <c r="Z342" s="18">
        <v>46147</v>
      </c>
      <c r="AA342" s="15"/>
      <c r="AB342" s="15"/>
      <c r="AF342" t="str">
        <f t="shared" si="33"/>
        <v>Closed in May</v>
      </c>
    </row>
    <row r="343" spans="1:32" hidden="1">
      <c r="A343" s="6">
        <v>46107</v>
      </c>
      <c r="B343" s="3">
        <v>2026</v>
      </c>
      <c r="C343" s="3" t="s">
        <v>114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30"/>
        <v>24</v>
      </c>
      <c r="R343" s="53" t="str">
        <f t="shared" si="31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73">
        <f t="shared" si="32"/>
        <v>40</v>
      </c>
      <c r="Z343" s="18">
        <v>46147</v>
      </c>
      <c r="AA343" s="15"/>
      <c r="AB343" s="15"/>
      <c r="AF343" t="str">
        <f t="shared" si="33"/>
        <v>Closed in May</v>
      </c>
    </row>
    <row r="344" spans="1:32" hidden="1">
      <c r="A344" s="6">
        <v>46107</v>
      </c>
      <c r="B344" s="3">
        <v>2026</v>
      </c>
      <c r="C344" s="3" t="s">
        <v>114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30"/>
        <v>24</v>
      </c>
      <c r="R344" s="53" t="str">
        <f t="shared" si="31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73">
        <f t="shared" si="32"/>
        <v>40</v>
      </c>
      <c r="Z344" s="18">
        <v>46147</v>
      </c>
      <c r="AA344" s="15"/>
      <c r="AB344" s="15"/>
      <c r="AF344" t="str">
        <f t="shared" si="33"/>
        <v>Closed in May</v>
      </c>
    </row>
    <row r="345" spans="1:32" hidden="1">
      <c r="A345" s="6">
        <v>46107</v>
      </c>
      <c r="B345" s="3">
        <v>2026</v>
      </c>
      <c r="C345" s="3" t="s">
        <v>114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30"/>
        <v>24</v>
      </c>
      <c r="R345" s="53" t="str">
        <f t="shared" si="31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73">
        <f t="shared" si="32"/>
        <v>40</v>
      </c>
      <c r="Z345" s="18">
        <v>46147</v>
      </c>
      <c r="AA345" s="15"/>
      <c r="AB345" s="15"/>
      <c r="AF345" t="str">
        <f t="shared" si="33"/>
        <v>Closed in May</v>
      </c>
    </row>
    <row r="346" spans="1:32" hidden="1">
      <c r="A346" s="6">
        <v>46107</v>
      </c>
      <c r="B346" s="3">
        <v>2026</v>
      </c>
      <c r="C346" s="3" t="s">
        <v>114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30"/>
        <v>24</v>
      </c>
      <c r="R346" s="53" t="str">
        <f t="shared" si="31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73">
        <f t="shared" si="32"/>
        <v>40</v>
      </c>
      <c r="Z346" s="18">
        <v>46147</v>
      </c>
      <c r="AA346" s="15"/>
      <c r="AB346" s="15"/>
      <c r="AF346" t="str">
        <f t="shared" si="33"/>
        <v>Closed in May</v>
      </c>
    </row>
    <row r="347" spans="1:32" hidden="1">
      <c r="A347" s="6">
        <v>46107</v>
      </c>
      <c r="B347" s="3">
        <v>2026</v>
      </c>
      <c r="C347" s="3" t="s">
        <v>114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30"/>
        <v>24</v>
      </c>
      <c r="R347" s="53" t="str">
        <f t="shared" si="31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73">
        <f t="shared" si="32"/>
        <v>40</v>
      </c>
      <c r="Z347" s="18">
        <v>46147</v>
      </c>
      <c r="AA347" s="15"/>
      <c r="AB347" s="15"/>
      <c r="AF347" t="str">
        <f t="shared" si="33"/>
        <v>Closed in May</v>
      </c>
    </row>
    <row r="348" spans="1:32" hidden="1">
      <c r="A348" s="6">
        <v>46107</v>
      </c>
      <c r="B348" s="3">
        <v>2026</v>
      </c>
      <c r="C348" s="3" t="s">
        <v>114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30"/>
        <v>24</v>
      </c>
      <c r="R348" s="53" t="str">
        <f t="shared" si="31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73">
        <f t="shared" si="32"/>
        <v>40</v>
      </c>
      <c r="Z348" s="18">
        <v>46147</v>
      </c>
      <c r="AA348" s="15"/>
      <c r="AB348" s="15"/>
      <c r="AF348" t="str">
        <f t="shared" si="33"/>
        <v>Closed in May</v>
      </c>
    </row>
    <row r="349" spans="1:32" hidden="1">
      <c r="A349" s="6">
        <v>46107</v>
      </c>
      <c r="B349" s="3">
        <v>2026</v>
      </c>
      <c r="C349" s="3" t="s">
        <v>114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30"/>
        <v>24</v>
      </c>
      <c r="R349" s="53" t="str">
        <f t="shared" si="31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73">
        <f t="shared" si="32"/>
        <v>40</v>
      </c>
      <c r="Z349" s="18">
        <v>46147</v>
      </c>
      <c r="AA349" s="15"/>
      <c r="AB349" s="15"/>
      <c r="AF349" t="str">
        <f t="shared" si="33"/>
        <v>Closed in May</v>
      </c>
    </row>
    <row r="350" spans="1:32" hidden="1">
      <c r="A350" s="6">
        <v>46107</v>
      </c>
      <c r="B350" s="3">
        <v>2026</v>
      </c>
      <c r="C350" s="3" t="s">
        <v>114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30"/>
        <v>24</v>
      </c>
      <c r="R350" s="53" t="str">
        <f t="shared" si="31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73">
        <f t="shared" si="32"/>
        <v>40</v>
      </c>
      <c r="Z350" s="18">
        <v>46147</v>
      </c>
      <c r="AA350" s="15"/>
      <c r="AB350" s="15"/>
      <c r="AF350" t="str">
        <f t="shared" si="33"/>
        <v>Closed in May</v>
      </c>
    </row>
    <row r="351" spans="1:32" hidden="1">
      <c r="A351" s="6">
        <v>46107</v>
      </c>
      <c r="B351" s="3">
        <v>2026</v>
      </c>
      <c r="C351" s="3" t="s">
        <v>114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30"/>
        <v>24</v>
      </c>
      <c r="R351" s="53" t="str">
        <f t="shared" si="31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73">
        <f t="shared" si="32"/>
        <v>40</v>
      </c>
      <c r="Z351" s="18">
        <v>46147</v>
      </c>
      <c r="AA351" s="15"/>
      <c r="AB351" s="15"/>
      <c r="AF351" t="str">
        <f t="shared" si="33"/>
        <v>Closed in May</v>
      </c>
    </row>
    <row r="352" spans="1:32" hidden="1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105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30"/>
        <v>24</v>
      </c>
      <c r="R352" s="53" t="str">
        <f t="shared" si="31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73">
        <f t="shared" si="32"/>
        <v>9</v>
      </c>
      <c r="Z352" s="18" t="s">
        <v>349</v>
      </c>
      <c r="AA352" s="15"/>
      <c r="AB352" s="15"/>
      <c r="AF352" t="str">
        <f t="shared" si="33"/>
        <v>Closed in May</v>
      </c>
    </row>
    <row r="353" spans="1:32" hidden="1">
      <c r="A353" s="40">
        <v>46071</v>
      </c>
      <c r="B353" s="3">
        <v>2026</v>
      </c>
      <c r="C353" s="26" t="s">
        <v>343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30"/>
        <v>23</v>
      </c>
      <c r="R353" s="53" t="str">
        <f t="shared" si="31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73">
        <f t="shared" si="32"/>
        <v>76</v>
      </c>
      <c r="Z353" s="18" t="s">
        <v>349</v>
      </c>
      <c r="AA353" s="15"/>
      <c r="AB353" s="15"/>
      <c r="AF353" t="str">
        <f t="shared" si="33"/>
        <v>Closed in May</v>
      </c>
    </row>
    <row r="354" spans="1:32" hidden="1">
      <c r="A354" s="40">
        <v>46073</v>
      </c>
      <c r="B354" s="3">
        <v>2026</v>
      </c>
      <c r="C354" s="26" t="s">
        <v>343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30"/>
        <v>23</v>
      </c>
      <c r="R354" s="53" t="str">
        <f t="shared" si="31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73">
        <f t="shared" si="32"/>
        <v>74</v>
      </c>
      <c r="Z354" s="18" t="s">
        <v>349</v>
      </c>
      <c r="AA354" s="15"/>
      <c r="AB354" s="15"/>
      <c r="AF354" t="str">
        <f t="shared" si="33"/>
        <v>Closed in May</v>
      </c>
    </row>
    <row r="355" spans="1:32" hidden="1">
      <c r="A355" s="37">
        <v>46136</v>
      </c>
      <c r="B355" s="3">
        <v>2026</v>
      </c>
      <c r="C355" s="26" t="s">
        <v>343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30"/>
        <v>26</v>
      </c>
      <c r="R355" s="53" t="str">
        <f t="shared" si="31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73">
        <f t="shared" si="32"/>
        <v>11</v>
      </c>
      <c r="Z355" s="18" t="s">
        <v>349</v>
      </c>
      <c r="AA355" s="15"/>
      <c r="AB355" s="15"/>
      <c r="AF355" t="str">
        <f t="shared" si="33"/>
        <v>Closed in May</v>
      </c>
    </row>
    <row r="356" spans="1:32" hidden="1">
      <c r="A356" s="37">
        <v>46136</v>
      </c>
      <c r="B356" s="3">
        <v>2026</v>
      </c>
      <c r="C356" s="26" t="s">
        <v>343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511</v>
      </c>
      <c r="O356" s="39">
        <v>540</v>
      </c>
      <c r="P356" s="8" t="s">
        <v>512</v>
      </c>
      <c r="Q356" s="53" t="str">
        <f t="shared" si="30"/>
        <v>26</v>
      </c>
      <c r="R356" s="53" t="str">
        <f t="shared" si="31"/>
        <v>02</v>
      </c>
      <c r="S356" s="3" t="s">
        <v>199</v>
      </c>
      <c r="T356" s="26" t="s">
        <v>513</v>
      </c>
      <c r="U356" s="19" t="s">
        <v>514</v>
      </c>
      <c r="V356" s="3" t="s">
        <v>352</v>
      </c>
      <c r="W356" s="3" t="s">
        <v>353</v>
      </c>
      <c r="X356" s="18">
        <v>46147</v>
      </c>
      <c r="Y356" s="73">
        <f t="shared" si="32"/>
        <v>11</v>
      </c>
      <c r="Z356" s="18" t="s">
        <v>349</v>
      </c>
      <c r="AA356" s="15"/>
      <c r="AB356" s="15"/>
      <c r="AF356" t="str">
        <f t="shared" si="33"/>
        <v>Closed in May</v>
      </c>
    </row>
    <row r="357" spans="1:32" hidden="1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30"/>
        <v>25</v>
      </c>
      <c r="R357" s="53" t="str">
        <f t="shared" si="31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73">
        <f t="shared" si="32"/>
        <v>69</v>
      </c>
      <c r="Z357" s="18">
        <v>46148</v>
      </c>
      <c r="AA357" s="15"/>
      <c r="AB357" s="15"/>
      <c r="AF357" t="str">
        <f t="shared" si="33"/>
        <v>Closed in May</v>
      </c>
    </row>
    <row r="358" spans="1:32" hidden="1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30"/>
        <v>25</v>
      </c>
      <c r="R358" s="53" t="str">
        <f t="shared" si="31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73">
        <f t="shared" si="32"/>
        <v>69</v>
      </c>
      <c r="Z358" s="18">
        <v>46148</v>
      </c>
      <c r="AA358" s="15"/>
      <c r="AB358" s="15"/>
      <c r="AF358" t="str">
        <f t="shared" si="33"/>
        <v>Closed in May</v>
      </c>
    </row>
    <row r="359" spans="1:32" hidden="1">
      <c r="A359" s="6">
        <v>46107</v>
      </c>
      <c r="B359" s="3">
        <v>2026</v>
      </c>
      <c r="C359" s="3" t="s">
        <v>114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34">MID(P359,5,2)</f>
        <v>24</v>
      </c>
      <c r="R359" s="53" t="str">
        <f t="shared" ref="R359:R422" si="35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73">
        <f t="shared" si="32"/>
        <v>41</v>
      </c>
      <c r="Z359" s="18">
        <v>46148</v>
      </c>
      <c r="AA359" s="15"/>
      <c r="AB359" s="15"/>
      <c r="AF359" t="str">
        <f t="shared" si="33"/>
        <v>Closed in May</v>
      </c>
    </row>
    <row r="360" spans="1:32" hidden="1">
      <c r="A360" s="6">
        <v>46107</v>
      </c>
      <c r="B360" s="3">
        <v>2026</v>
      </c>
      <c r="C360" s="3" t="s">
        <v>114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34"/>
        <v>24</v>
      </c>
      <c r="R360" s="53" t="str">
        <f t="shared" si="35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73">
        <f t="shared" si="32"/>
        <v>41</v>
      </c>
      <c r="Z360" s="18">
        <v>46148</v>
      </c>
      <c r="AA360" s="15"/>
      <c r="AB360" s="15"/>
      <c r="AF360" t="str">
        <f t="shared" si="33"/>
        <v>Closed in May</v>
      </c>
    </row>
    <row r="361" spans="1:32" hidden="1">
      <c r="A361" s="6">
        <v>46107</v>
      </c>
      <c r="B361" s="3">
        <v>2026</v>
      </c>
      <c r="C361" s="3" t="s">
        <v>114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34"/>
        <v>24</v>
      </c>
      <c r="R361" s="53" t="str">
        <f t="shared" si="35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73">
        <f t="shared" si="32"/>
        <v>41</v>
      </c>
      <c r="Z361" s="18">
        <v>46148</v>
      </c>
      <c r="AA361" s="15"/>
      <c r="AB361" s="15"/>
      <c r="AF361" t="str">
        <f t="shared" si="33"/>
        <v>Closed in May</v>
      </c>
    </row>
    <row r="362" spans="1:32" hidden="1">
      <c r="A362" s="6">
        <v>46107</v>
      </c>
      <c r="B362" s="3">
        <v>2026</v>
      </c>
      <c r="C362" s="3" t="s">
        <v>114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34"/>
        <v>24</v>
      </c>
      <c r="R362" s="53" t="str">
        <f t="shared" si="35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73">
        <f t="shared" si="32"/>
        <v>41</v>
      </c>
      <c r="Z362" s="18">
        <v>46148</v>
      </c>
      <c r="AA362" s="15"/>
      <c r="AB362" s="15"/>
      <c r="AF362" t="str">
        <f t="shared" si="33"/>
        <v>Closed in May</v>
      </c>
    </row>
    <row r="363" spans="1:32" hidden="1">
      <c r="A363" s="6">
        <v>46107</v>
      </c>
      <c r="B363" s="3">
        <v>2026</v>
      </c>
      <c r="C363" s="3" t="s">
        <v>114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34"/>
        <v>24</v>
      </c>
      <c r="R363" s="53" t="str">
        <f t="shared" si="35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73">
        <f t="shared" si="32"/>
        <v>41</v>
      </c>
      <c r="Z363" s="18">
        <v>46148</v>
      </c>
      <c r="AA363" s="15"/>
      <c r="AB363" s="15"/>
      <c r="AF363" t="str">
        <f t="shared" si="33"/>
        <v>Closed in May</v>
      </c>
    </row>
    <row r="364" spans="1:32" hidden="1">
      <c r="A364" s="6">
        <v>46107</v>
      </c>
      <c r="B364" s="3">
        <v>2026</v>
      </c>
      <c r="C364" s="3" t="s">
        <v>114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34"/>
        <v>24</v>
      </c>
      <c r="R364" s="53" t="str">
        <f t="shared" si="35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73">
        <f t="shared" si="32"/>
        <v>41</v>
      </c>
      <c r="Z364" s="18">
        <v>46148</v>
      </c>
      <c r="AA364" s="15"/>
      <c r="AB364" s="15"/>
      <c r="AF364" t="str">
        <f t="shared" si="33"/>
        <v>Closed in May</v>
      </c>
    </row>
    <row r="365" spans="1:32" hidden="1">
      <c r="A365" s="6">
        <v>46107</v>
      </c>
      <c r="B365" s="3">
        <v>2026</v>
      </c>
      <c r="C365" s="3" t="s">
        <v>114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34"/>
        <v>24</v>
      </c>
      <c r="R365" s="53" t="str">
        <f t="shared" si="35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73">
        <f t="shared" si="32"/>
        <v>41</v>
      </c>
      <c r="Z365" s="18">
        <v>46148</v>
      </c>
      <c r="AA365" s="15"/>
      <c r="AB365" s="15"/>
      <c r="AF365" t="str">
        <f t="shared" si="33"/>
        <v>Closed in May</v>
      </c>
    </row>
    <row r="366" spans="1:32" hidden="1">
      <c r="A366" s="6">
        <v>46107</v>
      </c>
      <c r="B366" s="3">
        <v>2026</v>
      </c>
      <c r="C366" s="3" t="s">
        <v>114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34"/>
        <v>24</v>
      </c>
      <c r="R366" s="53" t="str">
        <f t="shared" si="35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73">
        <f t="shared" si="32"/>
        <v>41</v>
      </c>
      <c r="Z366" s="18">
        <v>46148</v>
      </c>
      <c r="AA366" s="15"/>
      <c r="AB366" s="15"/>
      <c r="AF366" t="str">
        <f t="shared" si="33"/>
        <v>Closed in May</v>
      </c>
    </row>
    <row r="367" spans="1:32" hidden="1">
      <c r="A367" s="6">
        <v>46107</v>
      </c>
      <c r="B367" s="3">
        <v>2026</v>
      </c>
      <c r="C367" s="3" t="s">
        <v>114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34"/>
        <v>24</v>
      </c>
      <c r="R367" s="53" t="str">
        <f t="shared" si="35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73">
        <f t="shared" si="32"/>
        <v>41</v>
      </c>
      <c r="Z367" s="18">
        <v>46148</v>
      </c>
      <c r="AA367" s="15"/>
      <c r="AB367" s="15"/>
      <c r="AF367" t="str">
        <f t="shared" si="33"/>
        <v>Closed in May</v>
      </c>
    </row>
    <row r="368" spans="1:32" hidden="1">
      <c r="A368" s="6">
        <v>46107</v>
      </c>
      <c r="B368" s="3">
        <v>2026</v>
      </c>
      <c r="C368" s="3" t="s">
        <v>114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34"/>
        <v>24</v>
      </c>
      <c r="R368" s="53" t="str">
        <f t="shared" si="35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73">
        <f t="shared" si="32"/>
        <v>41</v>
      </c>
      <c r="Z368" s="18">
        <v>46148</v>
      </c>
      <c r="AA368" s="15"/>
      <c r="AB368" s="15"/>
      <c r="AF368" t="str">
        <f t="shared" si="33"/>
        <v>Closed in May</v>
      </c>
    </row>
    <row r="369" spans="1:32" hidden="1">
      <c r="A369" s="6">
        <v>46107</v>
      </c>
      <c r="B369" s="3">
        <v>2026</v>
      </c>
      <c r="C369" s="3" t="s">
        <v>114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34"/>
        <v>24</v>
      </c>
      <c r="R369" s="53" t="str">
        <f t="shared" si="35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73">
        <f t="shared" si="32"/>
        <v>41</v>
      </c>
      <c r="Z369" s="18">
        <v>46148</v>
      </c>
      <c r="AA369" s="15"/>
      <c r="AB369" s="15"/>
      <c r="AF369" t="str">
        <f t="shared" si="33"/>
        <v>Closed in May</v>
      </c>
    </row>
    <row r="370" spans="1:32" hidden="1">
      <c r="A370" s="6">
        <v>46107</v>
      </c>
      <c r="B370" s="3">
        <v>2026</v>
      </c>
      <c r="C370" s="3" t="s">
        <v>114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34"/>
        <v>24</v>
      </c>
      <c r="R370" s="53" t="str">
        <f t="shared" si="35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73">
        <f t="shared" si="32"/>
        <v>41</v>
      </c>
      <c r="Z370" s="18">
        <v>46148</v>
      </c>
      <c r="AA370" s="15"/>
      <c r="AB370" s="15"/>
      <c r="AF370" t="str">
        <f t="shared" si="33"/>
        <v>Closed in May</v>
      </c>
    </row>
    <row r="371" spans="1:32" hidden="1">
      <c r="A371" s="6">
        <v>46107</v>
      </c>
      <c r="B371" s="3">
        <v>2026</v>
      </c>
      <c r="C371" s="3" t="s">
        <v>114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34"/>
        <v>24</v>
      </c>
      <c r="R371" s="53" t="str">
        <f t="shared" si="35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73">
        <f t="shared" si="32"/>
        <v>41</v>
      </c>
      <c r="Z371" s="18">
        <v>46148</v>
      </c>
      <c r="AA371" s="15"/>
      <c r="AB371" s="15"/>
      <c r="AF371" t="str">
        <f t="shared" si="33"/>
        <v>Closed in May</v>
      </c>
    </row>
    <row r="372" spans="1:32" hidden="1">
      <c r="A372" s="6">
        <v>46107</v>
      </c>
      <c r="B372" s="3">
        <v>2026</v>
      </c>
      <c r="C372" s="3" t="s">
        <v>114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34"/>
        <v>24</v>
      </c>
      <c r="R372" s="53" t="str">
        <f t="shared" si="35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73">
        <f t="shared" si="32"/>
        <v>41</v>
      </c>
      <c r="Z372" s="18">
        <v>46148</v>
      </c>
      <c r="AA372" s="15"/>
      <c r="AB372" s="15"/>
      <c r="AF372" t="str">
        <f t="shared" si="33"/>
        <v>Closed in May</v>
      </c>
    </row>
    <row r="373" spans="1:32" hidden="1">
      <c r="A373" s="6">
        <v>46107</v>
      </c>
      <c r="B373" s="3">
        <v>2026</v>
      </c>
      <c r="C373" s="3" t="s">
        <v>114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34"/>
        <v>24</v>
      </c>
      <c r="R373" s="53" t="str">
        <f t="shared" si="35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73">
        <f t="shared" si="32"/>
        <v>41</v>
      </c>
      <c r="Z373" s="18">
        <v>46148</v>
      </c>
      <c r="AA373" s="15"/>
      <c r="AB373" s="15"/>
      <c r="AF373" t="str">
        <f t="shared" si="33"/>
        <v>Closed in May</v>
      </c>
    </row>
    <row r="374" spans="1:32" hidden="1">
      <c r="A374" s="6">
        <v>46107</v>
      </c>
      <c r="B374" s="3">
        <v>2026</v>
      </c>
      <c r="C374" s="3" t="s">
        <v>114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34"/>
        <v>24</v>
      </c>
      <c r="R374" s="53" t="str">
        <f t="shared" si="35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73">
        <f t="shared" si="32"/>
        <v>41</v>
      </c>
      <c r="Z374" s="18">
        <v>46148</v>
      </c>
      <c r="AA374" s="15"/>
      <c r="AB374" s="15"/>
      <c r="AF374" t="str">
        <f t="shared" si="33"/>
        <v>Closed in May</v>
      </c>
    </row>
    <row r="375" spans="1:32" hidden="1">
      <c r="A375" s="6">
        <v>46107</v>
      </c>
      <c r="B375" s="3">
        <v>2026</v>
      </c>
      <c r="C375" s="3" t="s">
        <v>114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34"/>
        <v>24</v>
      </c>
      <c r="R375" s="53" t="str">
        <f t="shared" si="35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73">
        <f t="shared" si="32"/>
        <v>41</v>
      </c>
      <c r="Z375" s="18">
        <v>46148</v>
      </c>
      <c r="AA375" s="15"/>
      <c r="AB375" s="15"/>
      <c r="AF375" t="str">
        <f t="shared" si="33"/>
        <v>Closed in May</v>
      </c>
    </row>
    <row r="376" spans="1:32" hidden="1">
      <c r="A376" s="6">
        <v>46107</v>
      </c>
      <c r="B376" s="3">
        <v>2026</v>
      </c>
      <c r="C376" s="3" t="s">
        <v>114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34"/>
        <v>24</v>
      </c>
      <c r="R376" s="53" t="str">
        <f t="shared" si="35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73">
        <f t="shared" si="32"/>
        <v>41</v>
      </c>
      <c r="Z376" s="18">
        <v>46148</v>
      </c>
      <c r="AA376" s="15"/>
      <c r="AB376" s="15"/>
      <c r="AF376" t="str">
        <f t="shared" si="33"/>
        <v>Closed in May</v>
      </c>
    </row>
    <row r="377" spans="1:32" hidden="1">
      <c r="A377" s="6">
        <v>46107</v>
      </c>
      <c r="B377" s="3">
        <v>2026</v>
      </c>
      <c r="C377" s="3" t="s">
        <v>114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34"/>
        <v>24</v>
      </c>
      <c r="R377" s="53" t="str">
        <f t="shared" si="35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73">
        <f t="shared" si="32"/>
        <v>41</v>
      </c>
      <c r="Z377" s="18">
        <v>46148</v>
      </c>
      <c r="AA377" s="15"/>
      <c r="AB377" s="15"/>
      <c r="AF377" t="str">
        <f t="shared" si="33"/>
        <v>Closed in May</v>
      </c>
    </row>
    <row r="378" spans="1:32" hidden="1">
      <c r="A378" s="6">
        <v>46107</v>
      </c>
      <c r="B378" s="3">
        <v>2026</v>
      </c>
      <c r="C378" s="3" t="s">
        <v>114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34"/>
        <v>24</v>
      </c>
      <c r="R378" s="53" t="str">
        <f t="shared" si="35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73">
        <f t="shared" si="32"/>
        <v>41</v>
      </c>
      <c r="Z378" s="18">
        <v>46148</v>
      </c>
      <c r="AA378" s="15"/>
      <c r="AB378" s="15"/>
      <c r="AF378" t="str">
        <f t="shared" si="33"/>
        <v>Closed in May</v>
      </c>
    </row>
    <row r="379" spans="1:32" hidden="1">
      <c r="A379" s="6">
        <v>46107</v>
      </c>
      <c r="B379" s="3">
        <v>2026</v>
      </c>
      <c r="C379" s="3" t="s">
        <v>114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34"/>
        <v>24</v>
      </c>
      <c r="R379" s="53" t="str">
        <f t="shared" si="35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73">
        <f t="shared" si="32"/>
        <v>41</v>
      </c>
      <c r="Z379" s="18">
        <v>46148</v>
      </c>
      <c r="AA379" s="15"/>
      <c r="AB379" s="15"/>
      <c r="AF379" t="str">
        <f t="shared" si="33"/>
        <v>Closed in May</v>
      </c>
    </row>
    <row r="380" spans="1:32" hidden="1">
      <c r="A380" s="6">
        <v>46107</v>
      </c>
      <c r="B380" s="3">
        <v>2026</v>
      </c>
      <c r="C380" s="3" t="s">
        <v>114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34"/>
        <v>24</v>
      </c>
      <c r="R380" s="53" t="str">
        <f t="shared" si="35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73">
        <f t="shared" si="32"/>
        <v>41</v>
      </c>
      <c r="Z380" s="18">
        <v>46148</v>
      </c>
      <c r="AA380" s="15"/>
      <c r="AB380" s="15"/>
      <c r="AF380" t="str">
        <f t="shared" si="33"/>
        <v>Closed in May</v>
      </c>
    </row>
    <row r="381" spans="1:32" hidden="1">
      <c r="A381" s="6">
        <v>46107</v>
      </c>
      <c r="B381" s="3">
        <v>2026</v>
      </c>
      <c r="C381" s="3" t="s">
        <v>114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34"/>
        <v>24</v>
      </c>
      <c r="R381" s="53" t="str">
        <f t="shared" si="35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73">
        <f t="shared" si="32"/>
        <v>41</v>
      </c>
      <c r="Z381" s="18">
        <v>46148</v>
      </c>
      <c r="AA381" s="15"/>
      <c r="AB381" s="15"/>
      <c r="AF381" t="str">
        <f t="shared" si="33"/>
        <v>Closed in May</v>
      </c>
    </row>
    <row r="382" spans="1:32" hidden="1">
      <c r="A382" s="6">
        <v>46107</v>
      </c>
      <c r="B382" s="3">
        <v>2026</v>
      </c>
      <c r="C382" s="3" t="s">
        <v>114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34"/>
        <v>24</v>
      </c>
      <c r="R382" s="53" t="str">
        <f t="shared" si="35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73">
        <f t="shared" si="32"/>
        <v>41</v>
      </c>
      <c r="Z382" s="18">
        <v>46148</v>
      </c>
      <c r="AA382" s="15"/>
      <c r="AB382" s="15"/>
      <c r="AF382" t="str">
        <f t="shared" si="33"/>
        <v>Closed in May</v>
      </c>
    </row>
    <row r="383" spans="1:32" hidden="1">
      <c r="A383" s="6">
        <v>46107</v>
      </c>
      <c r="B383" s="3">
        <v>2026</v>
      </c>
      <c r="C383" s="3" t="s">
        <v>114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34"/>
        <v>24</v>
      </c>
      <c r="R383" s="53" t="str">
        <f t="shared" si="35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73">
        <f t="shared" si="32"/>
        <v>41</v>
      </c>
      <c r="Z383" s="18">
        <v>46148</v>
      </c>
      <c r="AA383" s="15"/>
      <c r="AB383" s="15"/>
      <c r="AF383" t="str">
        <f t="shared" si="33"/>
        <v>Closed in May</v>
      </c>
    </row>
    <row r="384" spans="1:32" hidden="1">
      <c r="A384" s="6">
        <v>46107</v>
      </c>
      <c r="B384" s="3">
        <v>2026</v>
      </c>
      <c r="C384" s="3" t="s">
        <v>114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34"/>
        <v>24</v>
      </c>
      <c r="R384" s="53" t="str">
        <f t="shared" si="35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73">
        <f t="shared" si="32"/>
        <v>41</v>
      </c>
      <c r="Z384" s="18">
        <v>46148</v>
      </c>
      <c r="AA384" s="15"/>
      <c r="AB384" s="15"/>
      <c r="AF384" t="str">
        <f t="shared" si="33"/>
        <v>Closed in May</v>
      </c>
    </row>
    <row r="385" spans="1:32" hidden="1">
      <c r="A385" s="6">
        <v>46107</v>
      </c>
      <c r="B385" s="3">
        <v>2026</v>
      </c>
      <c r="C385" s="3" t="s">
        <v>114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34"/>
        <v>24</v>
      </c>
      <c r="R385" s="53" t="str">
        <f t="shared" si="35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73">
        <f t="shared" si="32"/>
        <v>41</v>
      </c>
      <c r="Z385" s="18">
        <v>46148</v>
      </c>
      <c r="AA385" s="15"/>
      <c r="AB385" s="15"/>
      <c r="AF385" t="str">
        <f t="shared" si="33"/>
        <v>Closed in May</v>
      </c>
    </row>
    <row r="386" spans="1:32" hidden="1">
      <c r="A386" s="6">
        <v>46107</v>
      </c>
      <c r="B386" s="3">
        <v>2026</v>
      </c>
      <c r="C386" s="3" t="s">
        <v>114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34"/>
        <v>24</v>
      </c>
      <c r="R386" s="53" t="str">
        <f t="shared" si="35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73">
        <f t="shared" ref="Y386:Y449" si="36">IF(X386="","",X386-A386)</f>
        <v>41</v>
      </c>
      <c r="Z386" s="18">
        <v>46148</v>
      </c>
      <c r="AA386" s="15"/>
      <c r="AB386" s="15"/>
      <c r="AF386" t="str">
        <f t="shared" ref="AF386:AF449" si="37">IF(AND($F386="Closed",$X386&gt;=DATE(2026,5,1),$X386&lt;=DATE(2026,5,31)),"Closed in May","Other")</f>
        <v>Closed in May</v>
      </c>
    </row>
    <row r="387" spans="1:32" hidden="1">
      <c r="A387" s="6">
        <v>46107</v>
      </c>
      <c r="B387" s="3">
        <v>2026</v>
      </c>
      <c r="C387" s="3" t="s">
        <v>114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34"/>
        <v>24</v>
      </c>
      <c r="R387" s="53" t="str">
        <f t="shared" si="35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73">
        <f t="shared" si="36"/>
        <v>41</v>
      </c>
      <c r="Z387" s="18">
        <v>46148</v>
      </c>
      <c r="AA387" s="15"/>
      <c r="AB387" s="15"/>
      <c r="AF387" t="str">
        <f t="shared" si="37"/>
        <v>Closed in May</v>
      </c>
    </row>
    <row r="388" spans="1:32" hidden="1">
      <c r="A388" s="6">
        <v>46107</v>
      </c>
      <c r="B388" s="3">
        <v>2026</v>
      </c>
      <c r="C388" s="3" t="s">
        <v>114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34"/>
        <v>24</v>
      </c>
      <c r="R388" s="53" t="str">
        <f t="shared" si="35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73">
        <f t="shared" si="36"/>
        <v>41</v>
      </c>
      <c r="Z388" s="18">
        <v>46148</v>
      </c>
      <c r="AA388" s="15"/>
      <c r="AB388" s="15"/>
      <c r="AF388" t="str">
        <f t="shared" si="37"/>
        <v>Closed in May</v>
      </c>
    </row>
    <row r="389" spans="1:32" hidden="1">
      <c r="A389" s="6">
        <v>46107</v>
      </c>
      <c r="B389" s="3">
        <v>2026</v>
      </c>
      <c r="C389" s="3" t="s">
        <v>114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34"/>
        <v>24</v>
      </c>
      <c r="R389" s="53" t="str">
        <f t="shared" si="35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73">
        <f t="shared" si="36"/>
        <v>41</v>
      </c>
      <c r="Z389" s="18">
        <v>46148</v>
      </c>
      <c r="AA389" s="15"/>
      <c r="AB389" s="15"/>
      <c r="AF389" t="str">
        <f t="shared" si="37"/>
        <v>Closed in May</v>
      </c>
    </row>
    <row r="390" spans="1:32" hidden="1">
      <c r="A390" s="6">
        <v>46107</v>
      </c>
      <c r="B390" s="3">
        <v>2026</v>
      </c>
      <c r="C390" s="3" t="s">
        <v>114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34"/>
        <v>24</v>
      </c>
      <c r="R390" s="53" t="str">
        <f t="shared" si="35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73">
        <f t="shared" si="36"/>
        <v>41</v>
      </c>
      <c r="Z390" s="18">
        <v>46148</v>
      </c>
      <c r="AA390" s="15"/>
      <c r="AB390" s="15"/>
      <c r="AF390" t="str">
        <f t="shared" si="37"/>
        <v>Closed in May</v>
      </c>
    </row>
    <row r="391" spans="1:32" hidden="1">
      <c r="A391" s="6">
        <v>46107</v>
      </c>
      <c r="B391" s="3">
        <v>2026</v>
      </c>
      <c r="C391" s="3" t="s">
        <v>114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34"/>
        <v>24</v>
      </c>
      <c r="R391" s="53" t="str">
        <f t="shared" si="35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73">
        <f t="shared" si="36"/>
        <v>41</v>
      </c>
      <c r="Z391" s="18">
        <v>46148</v>
      </c>
      <c r="AA391" s="15"/>
      <c r="AB391" s="15"/>
      <c r="AF391" t="str">
        <f t="shared" si="37"/>
        <v>Closed in May</v>
      </c>
    </row>
    <row r="392" spans="1:32" hidden="1">
      <c r="A392" s="6">
        <v>46107</v>
      </c>
      <c r="B392" s="3">
        <v>2026</v>
      </c>
      <c r="C392" s="3" t="s">
        <v>114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34"/>
        <v>24</v>
      </c>
      <c r="R392" s="53" t="str">
        <f t="shared" si="35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73">
        <f t="shared" si="36"/>
        <v>41</v>
      </c>
      <c r="Z392" s="18">
        <v>46148</v>
      </c>
      <c r="AA392" s="15"/>
      <c r="AB392" s="15"/>
      <c r="AF392" t="str">
        <f t="shared" si="37"/>
        <v>Closed in May</v>
      </c>
    </row>
    <row r="393" spans="1:32" hidden="1">
      <c r="A393" s="6">
        <v>46107</v>
      </c>
      <c r="B393" s="3">
        <v>2026</v>
      </c>
      <c r="C393" s="3" t="s">
        <v>114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34"/>
        <v>24</v>
      </c>
      <c r="R393" s="53" t="str">
        <f t="shared" si="35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73">
        <f t="shared" si="36"/>
        <v>41</v>
      </c>
      <c r="Z393" s="18">
        <v>46148</v>
      </c>
      <c r="AA393" s="15"/>
      <c r="AB393" s="15"/>
      <c r="AF393" t="str">
        <f t="shared" si="37"/>
        <v>Closed in May</v>
      </c>
    </row>
    <row r="394" spans="1:32" hidden="1">
      <c r="A394" s="6">
        <v>46107</v>
      </c>
      <c r="B394" s="3">
        <v>2026</v>
      </c>
      <c r="C394" s="3" t="s">
        <v>114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34"/>
        <v>24</v>
      </c>
      <c r="R394" s="53" t="str">
        <f t="shared" si="35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73">
        <f t="shared" si="36"/>
        <v>41</v>
      </c>
      <c r="Z394" s="18">
        <v>46148</v>
      </c>
      <c r="AA394" s="15"/>
      <c r="AB394" s="15"/>
      <c r="AF394" t="str">
        <f t="shared" si="37"/>
        <v>Closed in May</v>
      </c>
    </row>
    <row r="395" spans="1:32" hidden="1">
      <c r="A395" s="6">
        <v>46107</v>
      </c>
      <c r="B395" s="3">
        <v>2026</v>
      </c>
      <c r="C395" s="3" t="s">
        <v>114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34"/>
        <v>24</v>
      </c>
      <c r="R395" s="53" t="str">
        <f t="shared" si="35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73">
        <f t="shared" si="36"/>
        <v>41</v>
      </c>
      <c r="Z395" s="18">
        <v>46148</v>
      </c>
      <c r="AA395" s="15"/>
      <c r="AB395" s="15"/>
      <c r="AF395" t="str">
        <f t="shared" si="37"/>
        <v>Closed in May</v>
      </c>
    </row>
    <row r="396" spans="1:32" hidden="1">
      <c r="A396" s="6">
        <v>46107</v>
      </c>
      <c r="B396" s="3">
        <v>2026</v>
      </c>
      <c r="C396" s="3" t="s">
        <v>114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34"/>
        <v>24</v>
      </c>
      <c r="R396" s="53" t="str">
        <f t="shared" si="35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73">
        <f t="shared" si="36"/>
        <v>41</v>
      </c>
      <c r="Z396" s="18">
        <v>46148</v>
      </c>
      <c r="AA396" s="15"/>
      <c r="AB396" s="15"/>
      <c r="AF396" t="str">
        <f t="shared" si="37"/>
        <v>Closed in May</v>
      </c>
    </row>
    <row r="397" spans="1:32" hidden="1">
      <c r="A397" s="6">
        <v>46107</v>
      </c>
      <c r="B397" s="3">
        <v>2026</v>
      </c>
      <c r="C397" s="3" t="s">
        <v>114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34"/>
        <v>24</v>
      </c>
      <c r="R397" s="53" t="str">
        <f t="shared" si="35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73">
        <f t="shared" si="36"/>
        <v>41</v>
      </c>
      <c r="Z397" s="18">
        <v>46148</v>
      </c>
      <c r="AA397" s="15"/>
      <c r="AB397" s="15"/>
      <c r="AF397" t="str">
        <f t="shared" si="37"/>
        <v>Closed in May</v>
      </c>
    </row>
    <row r="398" spans="1:32" hidden="1">
      <c r="A398" s="6">
        <v>46107</v>
      </c>
      <c r="B398" s="3">
        <v>2026</v>
      </c>
      <c r="C398" s="3" t="s">
        <v>114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34"/>
        <v>24</v>
      </c>
      <c r="R398" s="53" t="str">
        <f t="shared" si="35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73">
        <f t="shared" si="36"/>
        <v>41</v>
      </c>
      <c r="Z398" s="18">
        <v>46148</v>
      </c>
      <c r="AA398" s="15"/>
      <c r="AB398" s="15"/>
      <c r="AF398" t="str">
        <f t="shared" si="37"/>
        <v>Closed in May</v>
      </c>
    </row>
    <row r="399" spans="1:32" hidden="1">
      <c r="A399" s="6">
        <v>46107</v>
      </c>
      <c r="B399" s="3">
        <v>2026</v>
      </c>
      <c r="C399" s="3" t="s">
        <v>114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34"/>
        <v>24</v>
      </c>
      <c r="R399" s="53" t="str">
        <f t="shared" si="35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73">
        <f t="shared" si="36"/>
        <v>41</v>
      </c>
      <c r="Z399" s="18">
        <v>46148</v>
      </c>
      <c r="AA399" s="15"/>
      <c r="AB399" s="15"/>
      <c r="AF399" t="str">
        <f t="shared" si="37"/>
        <v>Closed in May</v>
      </c>
    </row>
    <row r="400" spans="1:32" hidden="1">
      <c r="A400" s="6">
        <v>46107</v>
      </c>
      <c r="B400" s="3">
        <v>2026</v>
      </c>
      <c r="C400" s="3" t="s">
        <v>114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34"/>
        <v>24</v>
      </c>
      <c r="R400" s="53" t="str">
        <f t="shared" si="35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73">
        <f t="shared" si="36"/>
        <v>41</v>
      </c>
      <c r="Z400" s="18">
        <v>46148</v>
      </c>
      <c r="AA400" s="15"/>
      <c r="AB400" s="15"/>
      <c r="AF400" t="str">
        <f t="shared" si="37"/>
        <v>Closed in May</v>
      </c>
    </row>
    <row r="401" spans="1:32" hidden="1">
      <c r="A401" s="6">
        <v>46107</v>
      </c>
      <c r="B401" s="3">
        <v>2026</v>
      </c>
      <c r="C401" s="3" t="s">
        <v>114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34"/>
        <v>24</v>
      </c>
      <c r="R401" s="53" t="str">
        <f t="shared" si="35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73">
        <f t="shared" si="36"/>
        <v>41</v>
      </c>
      <c r="Z401" s="18">
        <v>46148</v>
      </c>
      <c r="AA401" s="15"/>
      <c r="AB401" s="15"/>
      <c r="AF401" t="str">
        <f t="shared" si="37"/>
        <v>Closed in May</v>
      </c>
    </row>
    <row r="402" spans="1:32" hidden="1">
      <c r="A402" s="6">
        <v>46107</v>
      </c>
      <c r="B402" s="3">
        <v>2026</v>
      </c>
      <c r="C402" s="3" t="s">
        <v>114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34"/>
        <v>24</v>
      </c>
      <c r="R402" s="53" t="str">
        <f t="shared" si="35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73">
        <f t="shared" si="36"/>
        <v>41</v>
      </c>
      <c r="Z402" s="18">
        <v>46148</v>
      </c>
      <c r="AA402" s="15"/>
      <c r="AB402" s="15"/>
      <c r="AF402" t="str">
        <f t="shared" si="37"/>
        <v>Closed in May</v>
      </c>
    </row>
    <row r="403" spans="1:32" hidden="1">
      <c r="A403" s="6">
        <v>46107</v>
      </c>
      <c r="B403" s="3">
        <v>2026</v>
      </c>
      <c r="C403" s="3" t="s">
        <v>114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34"/>
        <v>24</v>
      </c>
      <c r="R403" s="53" t="str">
        <f t="shared" si="35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73">
        <f t="shared" si="36"/>
        <v>41</v>
      </c>
      <c r="Z403" s="18">
        <v>46148</v>
      </c>
      <c r="AA403" s="15"/>
      <c r="AB403" s="15"/>
      <c r="AF403" t="str">
        <f t="shared" si="37"/>
        <v>Closed in May</v>
      </c>
    </row>
    <row r="404" spans="1:32" hidden="1">
      <c r="A404" s="6">
        <v>46107</v>
      </c>
      <c r="B404" s="3">
        <v>2026</v>
      </c>
      <c r="C404" s="3" t="s">
        <v>114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34"/>
        <v>24</v>
      </c>
      <c r="R404" s="53" t="str">
        <f t="shared" si="35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73">
        <f t="shared" si="36"/>
        <v>41</v>
      </c>
      <c r="Z404" s="18">
        <v>46148</v>
      </c>
      <c r="AA404" s="15"/>
      <c r="AB404" s="15"/>
      <c r="AF404" t="str">
        <f t="shared" si="37"/>
        <v>Closed in May</v>
      </c>
    </row>
    <row r="405" spans="1:32" hidden="1">
      <c r="A405" s="6">
        <v>46107</v>
      </c>
      <c r="B405" s="3">
        <v>2026</v>
      </c>
      <c r="C405" s="3" t="s">
        <v>114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34"/>
        <v>24</v>
      </c>
      <c r="R405" s="53" t="str">
        <f t="shared" si="35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73">
        <f t="shared" si="36"/>
        <v>41</v>
      </c>
      <c r="Z405" s="18">
        <v>46148</v>
      </c>
      <c r="AA405" s="15"/>
      <c r="AB405" s="15"/>
      <c r="AF405" t="str">
        <f t="shared" si="37"/>
        <v>Closed in May</v>
      </c>
    </row>
    <row r="406" spans="1:32" hidden="1">
      <c r="A406" s="6">
        <v>46107</v>
      </c>
      <c r="B406" s="3">
        <v>2026</v>
      </c>
      <c r="C406" s="3" t="s">
        <v>114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34"/>
        <v>24</v>
      </c>
      <c r="R406" s="53" t="str">
        <f t="shared" si="35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73">
        <f t="shared" si="36"/>
        <v>41</v>
      </c>
      <c r="Z406" s="18">
        <v>46148</v>
      </c>
      <c r="AA406" s="15"/>
      <c r="AB406" s="15"/>
      <c r="AF406" t="str">
        <f t="shared" si="37"/>
        <v>Closed in May</v>
      </c>
    </row>
    <row r="407" spans="1:32" hidden="1">
      <c r="A407" s="6">
        <v>46107</v>
      </c>
      <c r="B407" s="3">
        <v>2026</v>
      </c>
      <c r="C407" s="3" t="s">
        <v>114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34"/>
        <v>24</v>
      </c>
      <c r="R407" s="53" t="str">
        <f t="shared" si="35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73">
        <f t="shared" si="36"/>
        <v>41</v>
      </c>
      <c r="Z407" s="18">
        <v>46148</v>
      </c>
      <c r="AA407" s="15"/>
      <c r="AB407" s="15"/>
      <c r="AF407" t="str">
        <f t="shared" si="37"/>
        <v>Closed in May</v>
      </c>
    </row>
    <row r="408" spans="1:32" hidden="1">
      <c r="A408" s="6">
        <v>46107</v>
      </c>
      <c r="B408" s="3">
        <v>2026</v>
      </c>
      <c r="C408" s="3" t="s">
        <v>114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34"/>
        <v>24</v>
      </c>
      <c r="R408" s="53" t="str">
        <f t="shared" si="35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73">
        <f t="shared" si="36"/>
        <v>41</v>
      </c>
      <c r="Z408" s="18">
        <v>46148</v>
      </c>
      <c r="AA408" s="15"/>
      <c r="AB408" s="15"/>
      <c r="AF408" t="str">
        <f t="shared" si="37"/>
        <v>Closed in May</v>
      </c>
    </row>
    <row r="409" spans="1:32" hidden="1">
      <c r="A409" s="6">
        <v>46107</v>
      </c>
      <c r="B409" s="3">
        <v>2026</v>
      </c>
      <c r="C409" s="3" t="s">
        <v>114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34"/>
        <v>24</v>
      </c>
      <c r="R409" s="53" t="str">
        <f t="shared" si="35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73">
        <f t="shared" si="36"/>
        <v>41</v>
      </c>
      <c r="Z409" s="18">
        <v>46148</v>
      </c>
      <c r="AA409" s="15"/>
      <c r="AB409" s="15"/>
      <c r="AF409" t="str">
        <f t="shared" si="37"/>
        <v>Closed in May</v>
      </c>
    </row>
    <row r="410" spans="1:32" hidden="1">
      <c r="A410" s="6">
        <v>46107</v>
      </c>
      <c r="B410" s="3">
        <v>2026</v>
      </c>
      <c r="C410" s="3" t="s">
        <v>114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34"/>
        <v>24</v>
      </c>
      <c r="R410" s="53" t="str">
        <f t="shared" si="35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73">
        <f t="shared" si="36"/>
        <v>41</v>
      </c>
      <c r="Z410" s="18">
        <v>46148</v>
      </c>
      <c r="AA410" s="15"/>
      <c r="AB410" s="15"/>
      <c r="AF410" t="str">
        <f t="shared" si="37"/>
        <v>Closed in May</v>
      </c>
    </row>
    <row r="411" spans="1:32" hidden="1">
      <c r="A411" s="6">
        <v>46107</v>
      </c>
      <c r="B411" s="3">
        <v>2026</v>
      </c>
      <c r="C411" s="3" t="s">
        <v>114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34"/>
        <v>24</v>
      </c>
      <c r="R411" s="53" t="str">
        <f t="shared" si="35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73">
        <f t="shared" si="36"/>
        <v>41</v>
      </c>
      <c r="Z411" s="18">
        <v>46148</v>
      </c>
      <c r="AA411" s="15"/>
      <c r="AB411" s="15"/>
      <c r="AF411" t="str">
        <f t="shared" si="37"/>
        <v>Closed in May</v>
      </c>
    </row>
    <row r="412" spans="1:32" hidden="1">
      <c r="A412" s="6">
        <v>46107</v>
      </c>
      <c r="B412" s="3">
        <v>2026</v>
      </c>
      <c r="C412" s="3" t="s">
        <v>114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34"/>
        <v>24</v>
      </c>
      <c r="R412" s="53" t="str">
        <f t="shared" si="35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73">
        <f t="shared" si="36"/>
        <v>41</v>
      </c>
      <c r="Z412" s="18">
        <v>46148</v>
      </c>
      <c r="AA412" s="15"/>
      <c r="AB412" s="15"/>
      <c r="AF412" t="str">
        <f t="shared" si="37"/>
        <v>Closed in May</v>
      </c>
    </row>
    <row r="413" spans="1:32" hidden="1">
      <c r="A413" s="6">
        <v>46107</v>
      </c>
      <c r="B413" s="3">
        <v>2026</v>
      </c>
      <c r="C413" s="3" t="s">
        <v>114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34"/>
        <v>24</v>
      </c>
      <c r="R413" s="53" t="str">
        <f t="shared" si="35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73">
        <f t="shared" si="36"/>
        <v>41</v>
      </c>
      <c r="Z413" s="18">
        <v>46148</v>
      </c>
      <c r="AA413" s="15"/>
      <c r="AB413" s="15"/>
      <c r="AF413" t="str">
        <f t="shared" si="37"/>
        <v>Closed in May</v>
      </c>
    </row>
    <row r="414" spans="1:32" hidden="1">
      <c r="A414" s="6">
        <v>46107</v>
      </c>
      <c r="B414" s="3">
        <v>2026</v>
      </c>
      <c r="C414" s="3" t="s">
        <v>114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34"/>
        <v>24</v>
      </c>
      <c r="R414" s="53" t="str">
        <f t="shared" si="35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73">
        <f t="shared" si="36"/>
        <v>41</v>
      </c>
      <c r="Z414" s="18">
        <v>46148</v>
      </c>
      <c r="AA414" s="15"/>
      <c r="AB414" s="15"/>
      <c r="AF414" t="str">
        <f t="shared" si="37"/>
        <v>Closed in May</v>
      </c>
    </row>
    <row r="415" spans="1:32" hidden="1">
      <c r="A415" s="6">
        <v>46107</v>
      </c>
      <c r="B415" s="3">
        <v>2026</v>
      </c>
      <c r="C415" s="3" t="s">
        <v>114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34"/>
        <v>24</v>
      </c>
      <c r="R415" s="53" t="str">
        <f t="shared" si="35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73">
        <f t="shared" si="36"/>
        <v>41</v>
      </c>
      <c r="Z415" s="18">
        <v>46148</v>
      </c>
      <c r="AA415" s="15"/>
      <c r="AB415" s="15"/>
      <c r="AF415" t="str">
        <f t="shared" si="37"/>
        <v>Closed in May</v>
      </c>
    </row>
    <row r="416" spans="1:32" hidden="1">
      <c r="A416" s="6">
        <v>46107</v>
      </c>
      <c r="B416" s="3">
        <v>2026</v>
      </c>
      <c r="C416" s="3" t="s">
        <v>114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34"/>
        <v>24</v>
      </c>
      <c r="R416" s="53" t="str">
        <f t="shared" si="35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73">
        <f t="shared" si="36"/>
        <v>41</v>
      </c>
      <c r="Z416" s="18">
        <v>46148</v>
      </c>
      <c r="AA416" s="15"/>
      <c r="AB416" s="15"/>
      <c r="AF416" t="str">
        <f t="shared" si="37"/>
        <v>Closed in May</v>
      </c>
    </row>
    <row r="417" spans="1:32" hidden="1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31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34"/>
        <v>22</v>
      </c>
      <c r="R417" s="53" t="str">
        <f t="shared" si="35"/>
        <v>12</v>
      </c>
      <c r="S417" s="3" t="s">
        <v>39</v>
      </c>
      <c r="T417" s="3" t="s">
        <v>40</v>
      </c>
      <c r="U417" s="9" t="s">
        <v>272</v>
      </c>
      <c r="V417" s="3" t="s">
        <v>64</v>
      </c>
      <c r="W417" s="3" t="s">
        <v>65</v>
      </c>
      <c r="X417" s="2">
        <f t="shared" ref="X417:X455" si="38">Z417</f>
        <v>46148</v>
      </c>
      <c r="Y417" s="73">
        <f t="shared" si="36"/>
        <v>42</v>
      </c>
      <c r="Z417" s="18">
        <v>46148</v>
      </c>
      <c r="AA417" s="15"/>
      <c r="AB417" s="15"/>
      <c r="AF417" t="str">
        <f t="shared" si="37"/>
        <v>Closed in May</v>
      </c>
    </row>
    <row r="418" spans="1:32" hidden="1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31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34"/>
        <v>23</v>
      </c>
      <c r="R418" s="53" t="str">
        <f t="shared" si="35"/>
        <v>01</v>
      </c>
      <c r="S418" s="3" t="s">
        <v>39</v>
      </c>
      <c r="T418" s="3" t="s">
        <v>40</v>
      </c>
      <c r="U418" s="9" t="s">
        <v>272</v>
      </c>
      <c r="V418" s="3" t="s">
        <v>64</v>
      </c>
      <c r="W418" s="3" t="s">
        <v>65</v>
      </c>
      <c r="X418" s="2">
        <f t="shared" si="38"/>
        <v>46148</v>
      </c>
      <c r="Y418" s="73">
        <f t="shared" si="36"/>
        <v>42</v>
      </c>
      <c r="Z418" s="18">
        <v>46148</v>
      </c>
      <c r="AA418" s="15"/>
      <c r="AB418" s="15"/>
      <c r="AF418" t="str">
        <f t="shared" si="37"/>
        <v>Closed in May</v>
      </c>
    </row>
    <row r="419" spans="1:32" hidden="1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31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34"/>
        <v>23</v>
      </c>
      <c r="R419" s="53" t="str">
        <f t="shared" si="35"/>
        <v>01</v>
      </c>
      <c r="S419" s="3" t="s">
        <v>39</v>
      </c>
      <c r="T419" s="3" t="s">
        <v>40</v>
      </c>
      <c r="U419" s="9" t="s">
        <v>113</v>
      </c>
      <c r="V419" s="3" t="s">
        <v>64</v>
      </c>
      <c r="W419" s="3" t="s">
        <v>65</v>
      </c>
      <c r="X419" s="2">
        <f t="shared" si="38"/>
        <v>46148</v>
      </c>
      <c r="Y419" s="73">
        <f t="shared" si="36"/>
        <v>42</v>
      </c>
      <c r="Z419" s="18">
        <v>46148</v>
      </c>
      <c r="AA419" s="15"/>
      <c r="AB419" s="15"/>
      <c r="AF419" t="str">
        <f t="shared" si="37"/>
        <v>Closed in May</v>
      </c>
    </row>
    <row r="420" spans="1:32" hidden="1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31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34"/>
        <v>22</v>
      </c>
      <c r="R420" s="53" t="str">
        <f t="shared" si="35"/>
        <v>12</v>
      </c>
      <c r="S420" s="3" t="s">
        <v>39</v>
      </c>
      <c r="T420" s="3" t="s">
        <v>40</v>
      </c>
      <c r="U420" s="9" t="s">
        <v>272</v>
      </c>
      <c r="V420" s="3" t="s">
        <v>64</v>
      </c>
      <c r="W420" s="3" t="s">
        <v>65</v>
      </c>
      <c r="X420" s="2">
        <f t="shared" si="38"/>
        <v>46148</v>
      </c>
      <c r="Y420" s="73">
        <f t="shared" si="36"/>
        <v>42</v>
      </c>
      <c r="Z420" s="18">
        <v>46148</v>
      </c>
      <c r="AA420" s="15"/>
      <c r="AB420" s="15"/>
      <c r="AF420" t="str">
        <f t="shared" si="37"/>
        <v>Closed in May</v>
      </c>
    </row>
    <row r="421" spans="1:32" hidden="1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31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34"/>
        <v>23</v>
      </c>
      <c r="R421" s="53" t="str">
        <f t="shared" si="35"/>
        <v>01</v>
      </c>
      <c r="S421" s="3" t="s">
        <v>39</v>
      </c>
      <c r="T421" s="3" t="s">
        <v>40</v>
      </c>
      <c r="U421" s="9" t="s">
        <v>272</v>
      </c>
      <c r="V421" s="3" t="s">
        <v>64</v>
      </c>
      <c r="W421" s="3" t="s">
        <v>65</v>
      </c>
      <c r="X421" s="2">
        <f t="shared" si="38"/>
        <v>46148</v>
      </c>
      <c r="Y421" s="73">
        <f t="shared" si="36"/>
        <v>42</v>
      </c>
      <c r="Z421" s="18">
        <v>46148</v>
      </c>
      <c r="AA421" s="15"/>
      <c r="AB421" s="15"/>
      <c r="AF421" t="str">
        <f t="shared" si="37"/>
        <v>Closed in May</v>
      </c>
    </row>
    <row r="422" spans="1:32" hidden="1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31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34"/>
        <v>22</v>
      </c>
      <c r="R422" s="53" t="str">
        <f t="shared" si="35"/>
        <v>12</v>
      </c>
      <c r="S422" s="3" t="s">
        <v>39</v>
      </c>
      <c r="T422" s="3" t="s">
        <v>40</v>
      </c>
      <c r="U422" s="9" t="s">
        <v>113</v>
      </c>
      <c r="V422" s="3" t="s">
        <v>64</v>
      </c>
      <c r="W422" s="3" t="s">
        <v>65</v>
      </c>
      <c r="X422" s="2">
        <f t="shared" si="38"/>
        <v>46148</v>
      </c>
      <c r="Y422" s="73">
        <f t="shared" si="36"/>
        <v>42</v>
      </c>
      <c r="Z422" s="18">
        <v>46148</v>
      </c>
      <c r="AA422" s="15"/>
      <c r="AB422" s="15"/>
      <c r="AF422" t="str">
        <f t="shared" si="37"/>
        <v>Closed in May</v>
      </c>
    </row>
    <row r="423" spans="1:32" hidden="1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31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39">MID(P423,5,2)</f>
        <v>23</v>
      </c>
      <c r="R423" s="53" t="str">
        <f t="shared" ref="R423:R486" si="40">MID(P423,7,2)</f>
        <v>01</v>
      </c>
      <c r="S423" s="3" t="s">
        <v>39</v>
      </c>
      <c r="T423" s="3" t="s">
        <v>40</v>
      </c>
      <c r="U423" s="9" t="s">
        <v>272</v>
      </c>
      <c r="V423" s="3" t="s">
        <v>64</v>
      </c>
      <c r="W423" s="3" t="s">
        <v>65</v>
      </c>
      <c r="X423" s="2">
        <f t="shared" si="38"/>
        <v>46148</v>
      </c>
      <c r="Y423" s="73">
        <f t="shared" si="36"/>
        <v>42</v>
      </c>
      <c r="Z423" s="18">
        <v>46148</v>
      </c>
      <c r="AA423" s="15"/>
      <c r="AB423" s="15"/>
      <c r="AF423" t="str">
        <f t="shared" si="37"/>
        <v>Closed in May</v>
      </c>
    </row>
    <row r="424" spans="1:32" hidden="1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31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39"/>
        <v>23</v>
      </c>
      <c r="R424" s="53" t="str">
        <f t="shared" si="40"/>
        <v>01</v>
      </c>
      <c r="S424" s="3" t="s">
        <v>39</v>
      </c>
      <c r="T424" s="3" t="s">
        <v>40</v>
      </c>
      <c r="U424" s="9" t="s">
        <v>272</v>
      </c>
      <c r="V424" s="3" t="s">
        <v>64</v>
      </c>
      <c r="W424" s="3" t="s">
        <v>65</v>
      </c>
      <c r="X424" s="2">
        <f t="shared" si="38"/>
        <v>46148</v>
      </c>
      <c r="Y424" s="73">
        <f t="shared" si="36"/>
        <v>42</v>
      </c>
      <c r="Z424" s="18">
        <v>46148</v>
      </c>
      <c r="AA424" s="15"/>
      <c r="AB424" s="15"/>
      <c r="AF424" t="str">
        <f t="shared" si="37"/>
        <v>Closed in May</v>
      </c>
    </row>
    <row r="425" spans="1:32" hidden="1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31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39"/>
        <v>23</v>
      </c>
      <c r="R425" s="53" t="str">
        <f t="shared" si="40"/>
        <v>01</v>
      </c>
      <c r="S425" s="3" t="s">
        <v>39</v>
      </c>
      <c r="T425" s="3" t="s">
        <v>40</v>
      </c>
      <c r="U425" s="9" t="s">
        <v>272</v>
      </c>
      <c r="V425" s="3" t="s">
        <v>64</v>
      </c>
      <c r="W425" s="3" t="s">
        <v>65</v>
      </c>
      <c r="X425" s="2">
        <f t="shared" si="38"/>
        <v>46148</v>
      </c>
      <c r="Y425" s="73">
        <f t="shared" si="36"/>
        <v>42</v>
      </c>
      <c r="Z425" s="18">
        <v>46148</v>
      </c>
      <c r="AA425" s="15"/>
      <c r="AB425" s="15"/>
      <c r="AF425" t="str">
        <f t="shared" si="37"/>
        <v>Closed in May</v>
      </c>
    </row>
    <row r="426" spans="1:32" hidden="1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31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39"/>
        <v>23</v>
      </c>
      <c r="R426" s="53" t="str">
        <f t="shared" si="40"/>
        <v>01</v>
      </c>
      <c r="S426" s="3" t="s">
        <v>39</v>
      </c>
      <c r="T426" s="3" t="s">
        <v>40</v>
      </c>
      <c r="U426" s="9" t="s">
        <v>272</v>
      </c>
      <c r="V426" s="3" t="s">
        <v>64</v>
      </c>
      <c r="W426" s="3" t="s">
        <v>65</v>
      </c>
      <c r="X426" s="2">
        <f t="shared" si="38"/>
        <v>46148</v>
      </c>
      <c r="Y426" s="73">
        <f t="shared" si="36"/>
        <v>42</v>
      </c>
      <c r="Z426" s="18">
        <v>46148</v>
      </c>
      <c r="AA426" s="15"/>
      <c r="AB426" s="15"/>
      <c r="AF426" t="str">
        <f t="shared" si="37"/>
        <v>Closed in May</v>
      </c>
    </row>
    <row r="427" spans="1:32" hidden="1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31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39"/>
        <v>22</v>
      </c>
      <c r="R427" s="53" t="str">
        <f t="shared" si="40"/>
        <v>12</v>
      </c>
      <c r="S427" s="3" t="s">
        <v>39</v>
      </c>
      <c r="T427" s="3" t="s">
        <v>40</v>
      </c>
      <c r="U427" s="9" t="s">
        <v>113</v>
      </c>
      <c r="V427" s="3" t="s">
        <v>64</v>
      </c>
      <c r="W427" s="3" t="s">
        <v>65</v>
      </c>
      <c r="X427" s="2">
        <f t="shared" si="38"/>
        <v>46148</v>
      </c>
      <c r="Y427" s="73">
        <f t="shared" si="36"/>
        <v>42</v>
      </c>
      <c r="Z427" s="18">
        <v>46148</v>
      </c>
      <c r="AA427" s="15"/>
      <c r="AB427" s="15"/>
      <c r="AF427" t="str">
        <f t="shared" si="37"/>
        <v>Closed in May</v>
      </c>
    </row>
    <row r="428" spans="1:32" hidden="1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31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39"/>
        <v>23</v>
      </c>
      <c r="R428" s="53" t="str">
        <f t="shared" si="40"/>
        <v>01</v>
      </c>
      <c r="S428" s="3" t="s">
        <v>39</v>
      </c>
      <c r="T428" s="3" t="s">
        <v>40</v>
      </c>
      <c r="U428" s="9" t="s">
        <v>113</v>
      </c>
      <c r="V428" s="3" t="s">
        <v>64</v>
      </c>
      <c r="W428" s="3" t="s">
        <v>65</v>
      </c>
      <c r="X428" s="2">
        <f t="shared" si="38"/>
        <v>46148</v>
      </c>
      <c r="Y428" s="73">
        <f t="shared" si="36"/>
        <v>42</v>
      </c>
      <c r="Z428" s="18">
        <v>46148</v>
      </c>
      <c r="AA428" s="15"/>
      <c r="AB428" s="15"/>
      <c r="AF428" t="str">
        <f t="shared" si="37"/>
        <v>Closed in May</v>
      </c>
    </row>
    <row r="429" spans="1:32" hidden="1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31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39"/>
        <v>22</v>
      </c>
      <c r="R429" s="53" t="str">
        <f t="shared" si="40"/>
        <v>12</v>
      </c>
      <c r="S429" s="3" t="s">
        <v>39</v>
      </c>
      <c r="T429" s="3" t="s">
        <v>40</v>
      </c>
      <c r="U429" s="9" t="s">
        <v>113</v>
      </c>
      <c r="V429" s="3" t="s">
        <v>64</v>
      </c>
      <c r="W429" s="3" t="s">
        <v>65</v>
      </c>
      <c r="X429" s="2">
        <f t="shared" si="38"/>
        <v>46148</v>
      </c>
      <c r="Y429" s="73">
        <f t="shared" si="36"/>
        <v>42</v>
      </c>
      <c r="Z429" s="18">
        <v>46148</v>
      </c>
      <c r="AA429" s="15"/>
      <c r="AB429" s="15"/>
      <c r="AF429" t="str">
        <f t="shared" si="37"/>
        <v>Closed in May</v>
      </c>
    </row>
    <row r="430" spans="1:32" hidden="1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31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39"/>
        <v>23</v>
      </c>
      <c r="R430" s="53" t="str">
        <f t="shared" si="40"/>
        <v>01</v>
      </c>
      <c r="S430" s="3" t="s">
        <v>39</v>
      </c>
      <c r="T430" s="3" t="s">
        <v>40</v>
      </c>
      <c r="U430" s="9" t="s">
        <v>272</v>
      </c>
      <c r="V430" s="3" t="s">
        <v>64</v>
      </c>
      <c r="W430" s="3" t="s">
        <v>65</v>
      </c>
      <c r="X430" s="2">
        <f t="shared" si="38"/>
        <v>46148</v>
      </c>
      <c r="Y430" s="73">
        <f t="shared" si="36"/>
        <v>42</v>
      </c>
      <c r="Z430" s="18">
        <v>46148</v>
      </c>
      <c r="AA430" s="15"/>
      <c r="AB430" s="15"/>
      <c r="AF430" t="str">
        <f t="shared" si="37"/>
        <v>Closed in May</v>
      </c>
    </row>
    <row r="431" spans="1:32" hidden="1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31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39"/>
        <v>23</v>
      </c>
      <c r="R431" s="53" t="str">
        <f t="shared" si="40"/>
        <v>01</v>
      </c>
      <c r="S431" s="3" t="s">
        <v>39</v>
      </c>
      <c r="T431" s="3" t="s">
        <v>40</v>
      </c>
      <c r="U431" s="9" t="s">
        <v>272</v>
      </c>
      <c r="V431" s="3" t="s">
        <v>64</v>
      </c>
      <c r="W431" s="3" t="s">
        <v>65</v>
      </c>
      <c r="X431" s="2">
        <f t="shared" si="38"/>
        <v>46148</v>
      </c>
      <c r="Y431" s="73">
        <f t="shared" si="36"/>
        <v>42</v>
      </c>
      <c r="Z431" s="18">
        <v>46148</v>
      </c>
      <c r="AA431" s="15"/>
      <c r="AB431" s="15"/>
      <c r="AF431" t="str">
        <f t="shared" si="37"/>
        <v>Closed in May</v>
      </c>
    </row>
    <row r="432" spans="1:32" hidden="1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31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39"/>
        <v>23</v>
      </c>
      <c r="R432" s="53" t="str">
        <f t="shared" si="40"/>
        <v>01</v>
      </c>
      <c r="S432" s="3" t="s">
        <v>39</v>
      </c>
      <c r="T432" s="3" t="s">
        <v>40</v>
      </c>
      <c r="U432" s="9" t="s">
        <v>272</v>
      </c>
      <c r="V432" s="3" t="s">
        <v>64</v>
      </c>
      <c r="W432" s="3" t="s">
        <v>65</v>
      </c>
      <c r="X432" s="2">
        <f t="shared" si="38"/>
        <v>46148</v>
      </c>
      <c r="Y432" s="73">
        <f t="shared" si="36"/>
        <v>42</v>
      </c>
      <c r="Z432" s="18">
        <v>46148</v>
      </c>
      <c r="AA432" s="15"/>
      <c r="AB432" s="15"/>
      <c r="AF432" t="str">
        <f t="shared" si="37"/>
        <v>Closed in May</v>
      </c>
    </row>
    <row r="433" spans="1:32" hidden="1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31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39"/>
        <v>23</v>
      </c>
      <c r="R433" s="53" t="str">
        <f t="shared" si="40"/>
        <v>01</v>
      </c>
      <c r="S433" s="3" t="s">
        <v>39</v>
      </c>
      <c r="T433" s="3" t="s">
        <v>40</v>
      </c>
      <c r="U433" s="9" t="s">
        <v>113</v>
      </c>
      <c r="V433" s="3" t="s">
        <v>64</v>
      </c>
      <c r="W433" s="3" t="s">
        <v>65</v>
      </c>
      <c r="X433" s="2">
        <f t="shared" si="38"/>
        <v>46148</v>
      </c>
      <c r="Y433" s="73">
        <f t="shared" si="36"/>
        <v>42</v>
      </c>
      <c r="Z433" s="18">
        <v>46148</v>
      </c>
      <c r="AA433" s="15"/>
      <c r="AB433" s="15"/>
      <c r="AF433" t="str">
        <f t="shared" si="37"/>
        <v>Closed in May</v>
      </c>
    </row>
    <row r="434" spans="1:32" hidden="1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31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39"/>
        <v>23</v>
      </c>
      <c r="R434" s="53" t="str">
        <f t="shared" si="40"/>
        <v>01</v>
      </c>
      <c r="S434" s="3" t="s">
        <v>39</v>
      </c>
      <c r="T434" s="3" t="s">
        <v>40</v>
      </c>
      <c r="U434" s="9" t="s">
        <v>113</v>
      </c>
      <c r="V434" s="3" t="s">
        <v>64</v>
      </c>
      <c r="W434" s="3" t="s">
        <v>65</v>
      </c>
      <c r="X434" s="2">
        <f t="shared" si="38"/>
        <v>46148</v>
      </c>
      <c r="Y434" s="73">
        <f t="shared" si="36"/>
        <v>42</v>
      </c>
      <c r="Z434" s="18">
        <v>46148</v>
      </c>
      <c r="AA434" s="15"/>
      <c r="AB434" s="15"/>
      <c r="AF434" t="str">
        <f t="shared" si="37"/>
        <v>Closed in May</v>
      </c>
    </row>
    <row r="435" spans="1:32" hidden="1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31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39"/>
        <v>24</v>
      </c>
      <c r="R435" s="53" t="str">
        <f t="shared" si="40"/>
        <v>09</v>
      </c>
      <c r="S435" s="3" t="s">
        <v>39</v>
      </c>
      <c r="T435" s="3" t="s">
        <v>40</v>
      </c>
      <c r="U435" s="9" t="s">
        <v>113</v>
      </c>
      <c r="V435" s="3" t="s">
        <v>64</v>
      </c>
      <c r="W435" s="3" t="s">
        <v>65</v>
      </c>
      <c r="X435" s="2">
        <f t="shared" si="38"/>
        <v>46148</v>
      </c>
      <c r="Y435" s="73">
        <f t="shared" si="36"/>
        <v>42</v>
      </c>
      <c r="Z435" s="18">
        <v>46148</v>
      </c>
      <c r="AA435" s="15"/>
      <c r="AB435" s="15"/>
      <c r="AF435" t="str">
        <f t="shared" si="37"/>
        <v>Closed in May</v>
      </c>
    </row>
    <row r="436" spans="1:32" hidden="1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31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39"/>
        <v>24</v>
      </c>
      <c r="R436" s="53" t="str">
        <f t="shared" si="40"/>
        <v>09</v>
      </c>
      <c r="S436" s="3" t="s">
        <v>39</v>
      </c>
      <c r="T436" s="3" t="s">
        <v>40</v>
      </c>
      <c r="U436" s="9" t="s">
        <v>113</v>
      </c>
      <c r="V436" s="3" t="s">
        <v>64</v>
      </c>
      <c r="W436" s="3" t="s">
        <v>65</v>
      </c>
      <c r="X436" s="2">
        <f t="shared" si="38"/>
        <v>46148</v>
      </c>
      <c r="Y436" s="73">
        <f t="shared" si="36"/>
        <v>42</v>
      </c>
      <c r="Z436" s="18">
        <v>46148</v>
      </c>
      <c r="AA436" s="15"/>
      <c r="AB436" s="15"/>
      <c r="AF436" t="str">
        <f t="shared" si="37"/>
        <v>Closed in May</v>
      </c>
    </row>
    <row r="437" spans="1:32" hidden="1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31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39"/>
        <v>24</v>
      </c>
      <c r="R437" s="53" t="str">
        <f t="shared" si="40"/>
        <v>09</v>
      </c>
      <c r="S437" s="3" t="s">
        <v>39</v>
      </c>
      <c r="T437" s="3" t="s">
        <v>40</v>
      </c>
      <c r="U437" s="9" t="s">
        <v>113</v>
      </c>
      <c r="V437" s="3" t="s">
        <v>64</v>
      </c>
      <c r="W437" s="3" t="s">
        <v>65</v>
      </c>
      <c r="X437" s="2">
        <f t="shared" si="38"/>
        <v>46148</v>
      </c>
      <c r="Y437" s="73">
        <f t="shared" si="36"/>
        <v>42</v>
      </c>
      <c r="Z437" s="18">
        <v>46148</v>
      </c>
      <c r="AA437" s="15"/>
      <c r="AB437" s="15"/>
      <c r="AF437" t="str">
        <f t="shared" si="37"/>
        <v>Closed in May</v>
      </c>
    </row>
    <row r="438" spans="1:32" hidden="1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31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39"/>
        <v>24</v>
      </c>
      <c r="R438" s="53" t="str">
        <f t="shared" si="40"/>
        <v>09</v>
      </c>
      <c r="S438" s="3" t="s">
        <v>39</v>
      </c>
      <c r="T438" s="3" t="s">
        <v>40</v>
      </c>
      <c r="U438" s="9" t="s">
        <v>63</v>
      </c>
      <c r="V438" s="3" t="s">
        <v>64</v>
      </c>
      <c r="W438" s="3" t="s">
        <v>65</v>
      </c>
      <c r="X438" s="2">
        <f t="shared" si="38"/>
        <v>46148</v>
      </c>
      <c r="Y438" s="73">
        <f t="shared" si="36"/>
        <v>42</v>
      </c>
      <c r="Z438" s="18">
        <v>46148</v>
      </c>
      <c r="AA438" s="15"/>
      <c r="AB438" s="15"/>
      <c r="AF438" t="str">
        <f t="shared" si="37"/>
        <v>Closed in May</v>
      </c>
    </row>
    <row r="439" spans="1:32" hidden="1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31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39"/>
        <v>24</v>
      </c>
      <c r="R439" s="53" t="str">
        <f t="shared" si="40"/>
        <v>09</v>
      </c>
      <c r="S439" s="3" t="s">
        <v>39</v>
      </c>
      <c r="T439" s="3" t="s">
        <v>40</v>
      </c>
      <c r="U439" s="9" t="s">
        <v>272</v>
      </c>
      <c r="V439" s="3" t="s">
        <v>64</v>
      </c>
      <c r="W439" s="3" t="s">
        <v>65</v>
      </c>
      <c r="X439" s="2">
        <f t="shared" si="38"/>
        <v>46148</v>
      </c>
      <c r="Y439" s="73">
        <f t="shared" si="36"/>
        <v>42</v>
      </c>
      <c r="Z439" s="18">
        <v>46148</v>
      </c>
      <c r="AA439" s="15"/>
      <c r="AB439" s="15"/>
      <c r="AF439" t="str">
        <f t="shared" si="37"/>
        <v>Closed in May</v>
      </c>
    </row>
    <row r="440" spans="1:32" hidden="1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31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39"/>
        <v>24</v>
      </c>
      <c r="R440" s="53" t="str">
        <f t="shared" si="40"/>
        <v>09</v>
      </c>
      <c r="S440" s="3" t="s">
        <v>39</v>
      </c>
      <c r="T440" s="3" t="s">
        <v>40</v>
      </c>
      <c r="U440" s="9" t="s">
        <v>113</v>
      </c>
      <c r="V440" s="3" t="s">
        <v>64</v>
      </c>
      <c r="W440" s="3" t="s">
        <v>65</v>
      </c>
      <c r="X440" s="2">
        <f t="shared" si="38"/>
        <v>46148</v>
      </c>
      <c r="Y440" s="73">
        <f t="shared" si="36"/>
        <v>42</v>
      </c>
      <c r="Z440" s="18">
        <v>46148</v>
      </c>
      <c r="AA440" s="15"/>
      <c r="AB440" s="15"/>
      <c r="AF440" t="str">
        <f t="shared" si="37"/>
        <v>Closed in May</v>
      </c>
    </row>
    <row r="441" spans="1:32" hidden="1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31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39"/>
        <v>24</v>
      </c>
      <c r="R441" s="53" t="str">
        <f t="shared" si="40"/>
        <v>09</v>
      </c>
      <c r="S441" s="3" t="s">
        <v>39</v>
      </c>
      <c r="T441" s="3" t="s">
        <v>40</v>
      </c>
      <c r="U441" s="9" t="s">
        <v>272</v>
      </c>
      <c r="V441" s="3" t="s">
        <v>64</v>
      </c>
      <c r="W441" s="3" t="s">
        <v>65</v>
      </c>
      <c r="X441" s="2">
        <f t="shared" si="38"/>
        <v>46148</v>
      </c>
      <c r="Y441" s="73">
        <f t="shared" si="36"/>
        <v>42</v>
      </c>
      <c r="Z441" s="18">
        <v>46148</v>
      </c>
      <c r="AA441" s="15"/>
      <c r="AB441" s="15"/>
      <c r="AF441" t="str">
        <f t="shared" si="37"/>
        <v>Closed in May</v>
      </c>
    </row>
    <row r="442" spans="1:32" hidden="1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31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39"/>
        <v>24</v>
      </c>
      <c r="R442" s="53" t="str">
        <f t="shared" si="40"/>
        <v>09</v>
      </c>
      <c r="S442" s="3" t="s">
        <v>39</v>
      </c>
      <c r="T442" s="3" t="s">
        <v>40</v>
      </c>
      <c r="U442" s="9" t="s">
        <v>272</v>
      </c>
      <c r="V442" s="3" t="s">
        <v>64</v>
      </c>
      <c r="W442" s="3" t="s">
        <v>65</v>
      </c>
      <c r="X442" s="2">
        <f t="shared" si="38"/>
        <v>46148</v>
      </c>
      <c r="Y442" s="73">
        <f t="shared" si="36"/>
        <v>42</v>
      </c>
      <c r="Z442" s="18">
        <v>46148</v>
      </c>
      <c r="AA442" s="15"/>
      <c r="AB442" s="15"/>
      <c r="AF442" t="str">
        <f t="shared" si="37"/>
        <v>Closed in May</v>
      </c>
    </row>
    <row r="443" spans="1:32" hidden="1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31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39"/>
        <v>24</v>
      </c>
      <c r="R443" s="53" t="str">
        <f t="shared" si="40"/>
        <v>09</v>
      </c>
      <c r="S443" s="3" t="s">
        <v>39</v>
      </c>
      <c r="T443" s="3" t="s">
        <v>40</v>
      </c>
      <c r="U443" s="9" t="s">
        <v>63</v>
      </c>
      <c r="V443" s="3" t="s">
        <v>64</v>
      </c>
      <c r="W443" s="3" t="s">
        <v>65</v>
      </c>
      <c r="X443" s="2">
        <f t="shared" si="38"/>
        <v>46148</v>
      </c>
      <c r="Y443" s="73">
        <f t="shared" si="36"/>
        <v>42</v>
      </c>
      <c r="Z443" s="18">
        <v>46148</v>
      </c>
      <c r="AA443" s="15"/>
      <c r="AB443" s="15"/>
      <c r="AF443" t="str">
        <f t="shared" si="37"/>
        <v>Closed in May</v>
      </c>
    </row>
    <row r="444" spans="1:32" hidden="1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31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39"/>
        <v>24</v>
      </c>
      <c r="R444" s="53" t="str">
        <f t="shared" si="40"/>
        <v>09</v>
      </c>
      <c r="S444" s="3" t="s">
        <v>39</v>
      </c>
      <c r="T444" s="3" t="s">
        <v>40</v>
      </c>
      <c r="U444" s="9" t="s">
        <v>113</v>
      </c>
      <c r="V444" s="3" t="s">
        <v>64</v>
      </c>
      <c r="W444" s="3" t="s">
        <v>65</v>
      </c>
      <c r="X444" s="2">
        <f t="shared" si="38"/>
        <v>46148</v>
      </c>
      <c r="Y444" s="73">
        <f t="shared" si="36"/>
        <v>42</v>
      </c>
      <c r="Z444" s="18">
        <v>46148</v>
      </c>
      <c r="AA444" s="15"/>
      <c r="AB444" s="15"/>
      <c r="AF444" t="str">
        <f t="shared" si="37"/>
        <v>Closed in May</v>
      </c>
    </row>
    <row r="445" spans="1:32" hidden="1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31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39"/>
        <v>24</v>
      </c>
      <c r="R445" s="53" t="str">
        <f t="shared" si="40"/>
        <v>09</v>
      </c>
      <c r="S445" s="3" t="s">
        <v>39</v>
      </c>
      <c r="T445" s="3" t="s">
        <v>40</v>
      </c>
      <c r="U445" s="9" t="s">
        <v>113</v>
      </c>
      <c r="V445" s="3" t="s">
        <v>64</v>
      </c>
      <c r="W445" s="3" t="s">
        <v>65</v>
      </c>
      <c r="X445" s="2">
        <f t="shared" si="38"/>
        <v>46148</v>
      </c>
      <c r="Y445" s="73">
        <f t="shared" si="36"/>
        <v>42</v>
      </c>
      <c r="Z445" s="18">
        <v>46148</v>
      </c>
      <c r="AA445" s="15"/>
      <c r="AB445" s="15"/>
      <c r="AF445" t="str">
        <f t="shared" si="37"/>
        <v>Closed in May</v>
      </c>
    </row>
    <row r="446" spans="1:32" hidden="1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31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39"/>
        <v>24</v>
      </c>
      <c r="R446" s="53" t="str">
        <f t="shared" si="40"/>
        <v>09</v>
      </c>
      <c r="S446" s="3" t="s">
        <v>39</v>
      </c>
      <c r="T446" s="3" t="s">
        <v>40</v>
      </c>
      <c r="U446" s="9" t="s">
        <v>63</v>
      </c>
      <c r="V446" s="3" t="s">
        <v>64</v>
      </c>
      <c r="W446" s="3" t="s">
        <v>65</v>
      </c>
      <c r="X446" s="2">
        <f t="shared" si="38"/>
        <v>46148</v>
      </c>
      <c r="Y446" s="73">
        <f t="shared" si="36"/>
        <v>42</v>
      </c>
      <c r="Z446" s="18">
        <v>46148</v>
      </c>
      <c r="AA446" s="15"/>
      <c r="AB446" s="15"/>
      <c r="AF446" t="str">
        <f t="shared" si="37"/>
        <v>Closed in May</v>
      </c>
    </row>
    <row r="447" spans="1:32" hidden="1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31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39"/>
        <v>23</v>
      </c>
      <c r="R447" s="53" t="str">
        <f t="shared" si="40"/>
        <v>01</v>
      </c>
      <c r="S447" s="3" t="s">
        <v>39</v>
      </c>
      <c r="T447" s="3" t="s">
        <v>40</v>
      </c>
      <c r="U447" s="9" t="s">
        <v>272</v>
      </c>
      <c r="V447" s="3" t="s">
        <v>64</v>
      </c>
      <c r="W447" s="3" t="s">
        <v>65</v>
      </c>
      <c r="X447" s="2">
        <f t="shared" si="38"/>
        <v>46148</v>
      </c>
      <c r="Y447" s="73">
        <f t="shared" si="36"/>
        <v>42</v>
      </c>
      <c r="Z447" s="18">
        <v>46148</v>
      </c>
      <c r="AA447" s="15"/>
      <c r="AB447" s="15"/>
      <c r="AF447" t="str">
        <f t="shared" si="37"/>
        <v>Closed in May</v>
      </c>
    </row>
    <row r="448" spans="1:32" hidden="1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31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39"/>
        <v>22</v>
      </c>
      <c r="R448" s="53" t="str">
        <f t="shared" si="40"/>
        <v>12</v>
      </c>
      <c r="S448" s="3" t="s">
        <v>39</v>
      </c>
      <c r="T448" s="3" t="s">
        <v>40</v>
      </c>
      <c r="U448" s="9" t="s">
        <v>272</v>
      </c>
      <c r="V448" s="3" t="s">
        <v>64</v>
      </c>
      <c r="W448" s="3" t="s">
        <v>65</v>
      </c>
      <c r="X448" s="2">
        <f t="shared" si="38"/>
        <v>46148</v>
      </c>
      <c r="Y448" s="73">
        <f t="shared" si="36"/>
        <v>42</v>
      </c>
      <c r="Z448" s="18">
        <v>46148</v>
      </c>
      <c r="AA448" s="15"/>
      <c r="AB448" s="15"/>
      <c r="AF448" t="str">
        <f t="shared" si="37"/>
        <v>Closed in May</v>
      </c>
    </row>
    <row r="449" spans="1:32" hidden="1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31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39"/>
        <v>24</v>
      </c>
      <c r="R449" s="53" t="str">
        <f t="shared" si="40"/>
        <v>09</v>
      </c>
      <c r="S449" s="3" t="s">
        <v>39</v>
      </c>
      <c r="T449" s="3" t="s">
        <v>40</v>
      </c>
      <c r="U449" s="9" t="s">
        <v>272</v>
      </c>
      <c r="V449" s="3" t="s">
        <v>64</v>
      </c>
      <c r="W449" s="3" t="s">
        <v>65</v>
      </c>
      <c r="X449" s="2">
        <f t="shared" si="38"/>
        <v>46148</v>
      </c>
      <c r="Y449" s="73">
        <f t="shared" si="36"/>
        <v>42</v>
      </c>
      <c r="Z449" s="18">
        <v>46148</v>
      </c>
      <c r="AA449" s="15"/>
      <c r="AB449" s="15"/>
      <c r="AF449" t="str">
        <f t="shared" si="37"/>
        <v>Closed in May</v>
      </c>
    </row>
    <row r="450" spans="1:32" hidden="1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31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39"/>
        <v>22</v>
      </c>
      <c r="R450" s="53" t="str">
        <f t="shared" si="40"/>
        <v>12</v>
      </c>
      <c r="S450" s="3" t="s">
        <v>39</v>
      </c>
      <c r="T450" s="3" t="s">
        <v>40</v>
      </c>
      <c r="U450" s="9" t="s">
        <v>113</v>
      </c>
      <c r="V450" s="3" t="s">
        <v>64</v>
      </c>
      <c r="W450" s="3" t="s">
        <v>65</v>
      </c>
      <c r="X450" s="2">
        <f t="shared" si="38"/>
        <v>46148</v>
      </c>
      <c r="Y450" s="73">
        <f t="shared" ref="Y450:Y513" si="41">IF(X450="","",X450-A450)</f>
        <v>42</v>
      </c>
      <c r="Z450" s="18">
        <v>46148</v>
      </c>
      <c r="AA450" s="15"/>
      <c r="AB450" s="15"/>
      <c r="AF450" t="str">
        <f t="shared" ref="AF450:AF513" si="42">IF(AND($F450="Closed",$X450&gt;=DATE(2026,5,1),$X450&lt;=DATE(2026,5,31)),"Closed in May","Other")</f>
        <v>Closed in May</v>
      </c>
    </row>
    <row r="451" spans="1:32" hidden="1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31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39"/>
        <v>22</v>
      </c>
      <c r="R451" s="53" t="str">
        <f t="shared" si="40"/>
        <v>12</v>
      </c>
      <c r="S451" s="3" t="s">
        <v>39</v>
      </c>
      <c r="T451" s="3" t="s">
        <v>40</v>
      </c>
      <c r="U451" s="9" t="s">
        <v>113</v>
      </c>
      <c r="V451" s="3" t="s">
        <v>64</v>
      </c>
      <c r="W451" s="3" t="s">
        <v>65</v>
      </c>
      <c r="X451" s="2">
        <f t="shared" si="38"/>
        <v>46149</v>
      </c>
      <c r="Y451" s="73">
        <f t="shared" si="41"/>
        <v>43</v>
      </c>
      <c r="Z451" s="18">
        <v>46149</v>
      </c>
      <c r="AA451" s="15"/>
      <c r="AB451" s="15"/>
      <c r="AF451" t="str">
        <f t="shared" si="42"/>
        <v>Closed in May</v>
      </c>
    </row>
    <row r="452" spans="1:32" hidden="1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31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39"/>
        <v>23</v>
      </c>
      <c r="R452" s="53" t="str">
        <f t="shared" si="40"/>
        <v>01</v>
      </c>
      <c r="S452" s="3" t="s">
        <v>39</v>
      </c>
      <c r="T452" s="3" t="s">
        <v>40</v>
      </c>
      <c r="U452" s="9" t="s">
        <v>113</v>
      </c>
      <c r="V452" s="3" t="s">
        <v>64</v>
      </c>
      <c r="W452" s="3" t="s">
        <v>65</v>
      </c>
      <c r="X452" s="2">
        <f t="shared" si="38"/>
        <v>46149</v>
      </c>
      <c r="Y452" s="73">
        <f t="shared" si="41"/>
        <v>43</v>
      </c>
      <c r="Z452" s="18">
        <v>46149</v>
      </c>
      <c r="AA452" s="15"/>
      <c r="AB452" s="15"/>
      <c r="AF452" t="str">
        <f t="shared" si="42"/>
        <v>Closed in May</v>
      </c>
    </row>
    <row r="453" spans="1:32" hidden="1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31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39"/>
        <v>24</v>
      </c>
      <c r="R453" s="53" t="str">
        <f t="shared" si="40"/>
        <v>09</v>
      </c>
      <c r="S453" s="3" t="s">
        <v>39</v>
      </c>
      <c r="T453" s="3" t="s">
        <v>40</v>
      </c>
      <c r="U453" s="9" t="s">
        <v>113</v>
      </c>
      <c r="V453" s="3" t="s">
        <v>64</v>
      </c>
      <c r="W453" s="3" t="s">
        <v>65</v>
      </c>
      <c r="X453" s="2">
        <f t="shared" si="38"/>
        <v>46149</v>
      </c>
      <c r="Y453" s="73">
        <f t="shared" si="41"/>
        <v>43</v>
      </c>
      <c r="Z453" s="18">
        <v>46149</v>
      </c>
      <c r="AA453" s="15"/>
      <c r="AB453" s="15"/>
      <c r="AF453" t="str">
        <f t="shared" si="42"/>
        <v>Closed in May</v>
      </c>
    </row>
    <row r="454" spans="1:32" hidden="1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31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39"/>
        <v>22</v>
      </c>
      <c r="R454" s="53" t="str">
        <f t="shared" si="40"/>
        <v>12</v>
      </c>
      <c r="S454" s="3" t="s">
        <v>39</v>
      </c>
      <c r="T454" s="3" t="s">
        <v>40</v>
      </c>
      <c r="U454" s="9" t="s">
        <v>113</v>
      </c>
      <c r="V454" s="3" t="s">
        <v>64</v>
      </c>
      <c r="W454" s="3" t="s">
        <v>65</v>
      </c>
      <c r="X454" s="2">
        <f t="shared" si="38"/>
        <v>46149</v>
      </c>
      <c r="Y454" s="73">
        <f t="shared" si="41"/>
        <v>43</v>
      </c>
      <c r="Z454" s="18">
        <v>46149</v>
      </c>
      <c r="AA454" s="15"/>
      <c r="AB454" s="15"/>
      <c r="AF454" t="str">
        <f t="shared" si="42"/>
        <v>Closed in May</v>
      </c>
    </row>
    <row r="455" spans="1:32" hidden="1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31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39"/>
        <v>23</v>
      </c>
      <c r="R455" s="53" t="str">
        <f t="shared" si="40"/>
        <v>01</v>
      </c>
      <c r="S455" s="3" t="s">
        <v>39</v>
      </c>
      <c r="T455" s="3" t="s">
        <v>40</v>
      </c>
      <c r="U455" s="9" t="s">
        <v>113</v>
      </c>
      <c r="V455" s="3" t="s">
        <v>64</v>
      </c>
      <c r="W455" s="3" t="s">
        <v>65</v>
      </c>
      <c r="X455" s="2">
        <f t="shared" si="38"/>
        <v>46149</v>
      </c>
      <c r="Y455" s="73">
        <f t="shared" si="41"/>
        <v>43</v>
      </c>
      <c r="Z455" s="18">
        <v>46149</v>
      </c>
      <c r="AA455" s="15"/>
      <c r="AB455" s="15"/>
      <c r="AF455" t="str">
        <f t="shared" si="42"/>
        <v>Closed in May</v>
      </c>
    </row>
    <row r="456" spans="1:32" hidden="1">
      <c r="A456" s="6">
        <v>46107</v>
      </c>
      <c r="B456" s="3">
        <v>2026</v>
      </c>
      <c r="C456" s="3" t="s">
        <v>114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39"/>
        <v>24</v>
      </c>
      <c r="R456" s="53" t="str">
        <f t="shared" si="40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73">
        <f t="shared" si="41"/>
        <v>42</v>
      </c>
      <c r="Z456" s="18">
        <v>46149</v>
      </c>
      <c r="AA456" s="15"/>
      <c r="AB456" s="15"/>
      <c r="AF456" t="str">
        <f t="shared" si="42"/>
        <v>Closed in May</v>
      </c>
    </row>
    <row r="457" spans="1:32" hidden="1">
      <c r="A457" s="6">
        <v>46107</v>
      </c>
      <c r="B457" s="3">
        <v>2026</v>
      </c>
      <c r="C457" s="3" t="s">
        <v>114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39"/>
        <v>24</v>
      </c>
      <c r="R457" s="53" t="str">
        <f t="shared" si="40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73">
        <f t="shared" si="41"/>
        <v>42</v>
      </c>
      <c r="Z457" s="18">
        <v>46149</v>
      </c>
      <c r="AA457" s="15"/>
      <c r="AB457" s="15"/>
      <c r="AF457" t="str">
        <f t="shared" si="42"/>
        <v>Closed in May</v>
      </c>
    </row>
    <row r="458" spans="1:32" hidden="1">
      <c r="A458" s="6">
        <v>46107</v>
      </c>
      <c r="B458" s="3">
        <v>2026</v>
      </c>
      <c r="C458" s="3" t="s">
        <v>114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39"/>
        <v>24</v>
      </c>
      <c r="R458" s="53" t="str">
        <f t="shared" si="40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73">
        <f t="shared" si="41"/>
        <v>42</v>
      </c>
      <c r="Z458" s="18">
        <v>46149</v>
      </c>
      <c r="AA458" s="15"/>
      <c r="AB458" s="15"/>
      <c r="AF458" t="str">
        <f t="shared" si="42"/>
        <v>Closed in May</v>
      </c>
    </row>
    <row r="459" spans="1:32" hidden="1">
      <c r="A459" s="6">
        <v>46107</v>
      </c>
      <c r="B459" s="3">
        <v>2026</v>
      </c>
      <c r="C459" s="3" t="s">
        <v>114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39"/>
        <v>24</v>
      </c>
      <c r="R459" s="53" t="str">
        <f t="shared" si="40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73">
        <f t="shared" si="41"/>
        <v>42</v>
      </c>
      <c r="Z459" s="18">
        <v>46149</v>
      </c>
      <c r="AA459" s="15"/>
      <c r="AB459" s="15"/>
      <c r="AF459" t="str">
        <f t="shared" si="42"/>
        <v>Closed in May</v>
      </c>
    </row>
    <row r="460" spans="1:32" hidden="1">
      <c r="A460" s="6">
        <v>46107</v>
      </c>
      <c r="B460" s="3">
        <v>2026</v>
      </c>
      <c r="C460" s="3" t="s">
        <v>114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39"/>
        <v>24</v>
      </c>
      <c r="R460" s="53" t="str">
        <f t="shared" si="40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73">
        <f t="shared" si="41"/>
        <v>42</v>
      </c>
      <c r="Z460" s="18">
        <v>46149</v>
      </c>
      <c r="AA460" s="15"/>
      <c r="AB460" s="15"/>
      <c r="AF460" t="str">
        <f t="shared" si="42"/>
        <v>Closed in May</v>
      </c>
    </row>
    <row r="461" spans="1:32" hidden="1">
      <c r="A461" s="6">
        <v>46107</v>
      </c>
      <c r="B461" s="3">
        <v>2026</v>
      </c>
      <c r="C461" s="3" t="s">
        <v>114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39"/>
        <v>24</v>
      </c>
      <c r="R461" s="53" t="str">
        <f t="shared" si="40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73">
        <f t="shared" si="41"/>
        <v>42</v>
      </c>
      <c r="Z461" s="18">
        <v>46149</v>
      </c>
      <c r="AA461" s="15"/>
      <c r="AB461" s="15"/>
      <c r="AF461" t="str">
        <f t="shared" si="42"/>
        <v>Closed in May</v>
      </c>
    </row>
    <row r="462" spans="1:32" hidden="1">
      <c r="A462" s="6">
        <v>46107</v>
      </c>
      <c r="B462" s="3">
        <v>2026</v>
      </c>
      <c r="C462" s="3" t="s">
        <v>114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39"/>
        <v>24</v>
      </c>
      <c r="R462" s="53" t="str">
        <f t="shared" si="40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73">
        <f t="shared" si="41"/>
        <v>42</v>
      </c>
      <c r="Z462" s="18">
        <v>46149</v>
      </c>
      <c r="AA462" s="15"/>
      <c r="AB462" s="15"/>
      <c r="AF462" t="str">
        <f t="shared" si="42"/>
        <v>Closed in May</v>
      </c>
    </row>
    <row r="463" spans="1:32" hidden="1">
      <c r="A463" s="6">
        <v>46107</v>
      </c>
      <c r="B463" s="3">
        <v>2026</v>
      </c>
      <c r="C463" s="3" t="s">
        <v>114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39"/>
        <v>24</v>
      </c>
      <c r="R463" s="53" t="str">
        <f t="shared" si="40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73">
        <f t="shared" si="41"/>
        <v>42</v>
      </c>
      <c r="Z463" s="18">
        <v>46149</v>
      </c>
      <c r="AA463" s="15"/>
      <c r="AB463" s="15"/>
      <c r="AF463" t="str">
        <f t="shared" si="42"/>
        <v>Closed in May</v>
      </c>
    </row>
    <row r="464" spans="1:32" hidden="1">
      <c r="A464" s="6">
        <v>46107</v>
      </c>
      <c r="B464" s="3">
        <v>2026</v>
      </c>
      <c r="C464" s="3" t="s">
        <v>114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39"/>
        <v>24</v>
      </c>
      <c r="R464" s="53" t="str">
        <f t="shared" si="40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73">
        <f t="shared" si="41"/>
        <v>42</v>
      </c>
      <c r="Z464" s="18">
        <v>46149</v>
      </c>
      <c r="AA464" s="15"/>
      <c r="AB464" s="15"/>
      <c r="AF464" t="str">
        <f t="shared" si="42"/>
        <v>Closed in May</v>
      </c>
    </row>
    <row r="465" spans="1:32" hidden="1">
      <c r="A465" s="6">
        <v>46107</v>
      </c>
      <c r="B465" s="3">
        <v>2026</v>
      </c>
      <c r="C465" s="3" t="s">
        <v>114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39"/>
        <v>24</v>
      </c>
      <c r="R465" s="53" t="str">
        <f t="shared" si="40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73">
        <f t="shared" si="41"/>
        <v>42</v>
      </c>
      <c r="Z465" s="18">
        <v>46149</v>
      </c>
      <c r="AA465" s="15"/>
      <c r="AB465" s="15"/>
      <c r="AF465" t="str">
        <f t="shared" si="42"/>
        <v>Closed in May</v>
      </c>
    </row>
    <row r="466" spans="1:32" hidden="1">
      <c r="A466" s="6">
        <v>46107</v>
      </c>
      <c r="B466" s="3">
        <v>2026</v>
      </c>
      <c r="C466" s="3" t="s">
        <v>114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39"/>
        <v>24</v>
      </c>
      <c r="R466" s="53" t="str">
        <f t="shared" si="40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73">
        <f t="shared" si="41"/>
        <v>42</v>
      </c>
      <c r="Z466" s="18">
        <v>46149</v>
      </c>
      <c r="AA466" s="15"/>
      <c r="AB466" s="15"/>
      <c r="AF466" t="str">
        <f t="shared" si="42"/>
        <v>Closed in May</v>
      </c>
    </row>
    <row r="467" spans="1:32" hidden="1">
      <c r="A467" s="6">
        <v>46107</v>
      </c>
      <c r="B467" s="3">
        <v>2026</v>
      </c>
      <c r="C467" s="3" t="s">
        <v>114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39"/>
        <v>24</v>
      </c>
      <c r="R467" s="53" t="str">
        <f t="shared" si="40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73">
        <f t="shared" si="41"/>
        <v>42</v>
      </c>
      <c r="Z467" s="18">
        <v>46149</v>
      </c>
      <c r="AA467" s="15"/>
      <c r="AB467" s="15"/>
      <c r="AF467" t="str">
        <f t="shared" si="42"/>
        <v>Closed in May</v>
      </c>
    </row>
    <row r="468" spans="1:32" hidden="1">
      <c r="A468" s="6">
        <v>46107</v>
      </c>
      <c r="B468" s="3">
        <v>2026</v>
      </c>
      <c r="C468" s="3" t="s">
        <v>114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39"/>
        <v>24</v>
      </c>
      <c r="R468" s="53" t="str">
        <f t="shared" si="40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73">
        <f t="shared" si="41"/>
        <v>42</v>
      </c>
      <c r="Z468" s="18">
        <v>46149</v>
      </c>
      <c r="AA468" s="15"/>
      <c r="AB468" s="15"/>
      <c r="AF468" t="str">
        <f t="shared" si="42"/>
        <v>Closed in May</v>
      </c>
    </row>
    <row r="469" spans="1:32" hidden="1">
      <c r="A469" s="6">
        <v>46107</v>
      </c>
      <c r="B469" s="3">
        <v>2026</v>
      </c>
      <c r="C469" s="3" t="s">
        <v>114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39"/>
        <v>24</v>
      </c>
      <c r="R469" s="53" t="str">
        <f t="shared" si="40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73">
        <f t="shared" si="41"/>
        <v>42</v>
      </c>
      <c r="Z469" s="18">
        <v>46149</v>
      </c>
      <c r="AA469" s="15"/>
      <c r="AB469" s="15"/>
      <c r="AF469" t="str">
        <f t="shared" si="42"/>
        <v>Closed in May</v>
      </c>
    </row>
    <row r="470" spans="1:32" hidden="1">
      <c r="A470" s="6">
        <v>46107</v>
      </c>
      <c r="B470" s="3">
        <v>2026</v>
      </c>
      <c r="C470" s="3" t="s">
        <v>114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39"/>
        <v>24</v>
      </c>
      <c r="R470" s="53" t="str">
        <f t="shared" si="40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73">
        <f t="shared" si="41"/>
        <v>42</v>
      </c>
      <c r="Z470" s="18">
        <v>46149</v>
      </c>
      <c r="AA470" s="15"/>
      <c r="AB470" s="15"/>
      <c r="AF470" t="str">
        <f t="shared" si="42"/>
        <v>Closed in May</v>
      </c>
    </row>
    <row r="471" spans="1:32" hidden="1">
      <c r="A471" s="6">
        <v>46107</v>
      </c>
      <c r="B471" s="3">
        <v>2026</v>
      </c>
      <c r="C471" s="3" t="s">
        <v>114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39"/>
        <v>24</v>
      </c>
      <c r="R471" s="53" t="str">
        <f t="shared" si="40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73">
        <f t="shared" si="41"/>
        <v>42</v>
      </c>
      <c r="Z471" s="18">
        <v>46149</v>
      </c>
      <c r="AA471" s="15"/>
      <c r="AB471" s="15"/>
      <c r="AF471" t="str">
        <f t="shared" si="42"/>
        <v>Closed in May</v>
      </c>
    </row>
    <row r="472" spans="1:32" hidden="1">
      <c r="A472" s="6">
        <v>46107</v>
      </c>
      <c r="B472" s="3">
        <v>2026</v>
      </c>
      <c r="C472" s="3" t="s">
        <v>114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39"/>
        <v>24</v>
      </c>
      <c r="R472" s="53" t="str">
        <f t="shared" si="40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73">
        <f t="shared" si="41"/>
        <v>42</v>
      </c>
      <c r="Z472" s="18">
        <v>46149</v>
      </c>
      <c r="AA472" s="15"/>
      <c r="AB472" s="15"/>
      <c r="AF472" t="str">
        <f t="shared" si="42"/>
        <v>Closed in May</v>
      </c>
    </row>
    <row r="473" spans="1:32" hidden="1">
      <c r="A473" s="6">
        <v>46107</v>
      </c>
      <c r="B473" s="3">
        <v>2026</v>
      </c>
      <c r="C473" s="3" t="s">
        <v>114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39"/>
        <v>24</v>
      </c>
      <c r="R473" s="53" t="str">
        <f t="shared" si="40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73">
        <f t="shared" si="41"/>
        <v>42</v>
      </c>
      <c r="Z473" s="18">
        <v>46149</v>
      </c>
      <c r="AA473" s="15"/>
      <c r="AB473" s="15"/>
      <c r="AF473" t="str">
        <f t="shared" si="42"/>
        <v>Closed in May</v>
      </c>
    </row>
    <row r="474" spans="1:32" hidden="1">
      <c r="A474" s="6">
        <v>46107</v>
      </c>
      <c r="B474" s="3">
        <v>2026</v>
      </c>
      <c r="C474" s="3" t="s">
        <v>114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39"/>
        <v>24</v>
      </c>
      <c r="R474" s="53" t="str">
        <f t="shared" si="40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73">
        <f t="shared" si="41"/>
        <v>42</v>
      </c>
      <c r="Z474" s="18">
        <v>46149</v>
      </c>
      <c r="AA474" s="15"/>
      <c r="AB474" s="15"/>
      <c r="AF474" t="str">
        <f t="shared" si="42"/>
        <v>Closed in May</v>
      </c>
    </row>
    <row r="475" spans="1:32" hidden="1">
      <c r="A475" s="6">
        <v>46107</v>
      </c>
      <c r="B475" s="3">
        <v>2026</v>
      </c>
      <c r="C475" s="3" t="s">
        <v>114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39"/>
        <v>24</v>
      </c>
      <c r="R475" s="53" t="str">
        <f t="shared" si="40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73">
        <f t="shared" si="41"/>
        <v>42</v>
      </c>
      <c r="Z475" s="18">
        <v>46149</v>
      </c>
      <c r="AA475" s="15"/>
      <c r="AB475" s="15"/>
      <c r="AF475" t="str">
        <f t="shared" si="42"/>
        <v>Closed in May</v>
      </c>
    </row>
    <row r="476" spans="1:32" hidden="1">
      <c r="A476" s="6">
        <v>46107</v>
      </c>
      <c r="B476" s="3">
        <v>2026</v>
      </c>
      <c r="C476" s="3" t="s">
        <v>114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39"/>
        <v>24</v>
      </c>
      <c r="R476" s="53" t="str">
        <f t="shared" si="40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73">
        <f t="shared" si="41"/>
        <v>42</v>
      </c>
      <c r="Z476" s="18">
        <v>46149</v>
      </c>
      <c r="AA476" s="15"/>
      <c r="AB476" s="15"/>
      <c r="AF476" t="str">
        <f t="shared" si="42"/>
        <v>Closed in May</v>
      </c>
    </row>
    <row r="477" spans="1:32" hidden="1">
      <c r="A477" s="6">
        <v>46107</v>
      </c>
      <c r="B477" s="3">
        <v>2026</v>
      </c>
      <c r="C477" s="3" t="s">
        <v>114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39"/>
        <v>24</v>
      </c>
      <c r="R477" s="53" t="str">
        <f t="shared" si="40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73">
        <f t="shared" si="41"/>
        <v>42</v>
      </c>
      <c r="Z477" s="18">
        <v>46149</v>
      </c>
      <c r="AA477" s="15"/>
      <c r="AB477" s="15"/>
      <c r="AF477" t="str">
        <f t="shared" si="42"/>
        <v>Closed in May</v>
      </c>
    </row>
    <row r="478" spans="1:32" hidden="1">
      <c r="A478" s="6">
        <v>46107</v>
      </c>
      <c r="B478" s="3">
        <v>2026</v>
      </c>
      <c r="C478" s="3" t="s">
        <v>114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39"/>
        <v>24</v>
      </c>
      <c r="R478" s="53" t="str">
        <f t="shared" si="40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73">
        <f t="shared" si="41"/>
        <v>42</v>
      </c>
      <c r="Z478" s="18">
        <v>46149</v>
      </c>
      <c r="AA478" s="15"/>
      <c r="AB478" s="15"/>
      <c r="AF478" t="str">
        <f t="shared" si="42"/>
        <v>Closed in May</v>
      </c>
    </row>
    <row r="479" spans="1:32" hidden="1">
      <c r="A479" s="6">
        <v>46107</v>
      </c>
      <c r="B479" s="3">
        <v>2026</v>
      </c>
      <c r="C479" s="3" t="s">
        <v>114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39"/>
        <v>24</v>
      </c>
      <c r="R479" s="53" t="str">
        <f t="shared" si="40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73">
        <f t="shared" si="41"/>
        <v>42</v>
      </c>
      <c r="Z479" s="18">
        <v>46149</v>
      </c>
      <c r="AA479" s="15"/>
      <c r="AB479" s="15"/>
      <c r="AF479" t="str">
        <f t="shared" si="42"/>
        <v>Closed in May</v>
      </c>
    </row>
    <row r="480" spans="1:32" hidden="1">
      <c r="A480" s="6">
        <v>46107</v>
      </c>
      <c r="B480" s="3">
        <v>2026</v>
      </c>
      <c r="C480" s="3" t="s">
        <v>114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39"/>
        <v>24</v>
      </c>
      <c r="R480" s="53" t="str">
        <f t="shared" si="40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73">
        <f t="shared" si="41"/>
        <v>42</v>
      </c>
      <c r="Z480" s="18">
        <v>46149</v>
      </c>
      <c r="AA480" s="15"/>
      <c r="AB480" s="15"/>
      <c r="AF480" t="str">
        <f t="shared" si="42"/>
        <v>Closed in May</v>
      </c>
    </row>
    <row r="481" spans="1:32" hidden="1">
      <c r="A481" s="6">
        <v>46107</v>
      </c>
      <c r="B481" s="3">
        <v>2026</v>
      </c>
      <c r="C481" s="3" t="s">
        <v>114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39"/>
        <v>24</v>
      </c>
      <c r="R481" s="53" t="str">
        <f t="shared" si="40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73">
        <f t="shared" si="41"/>
        <v>42</v>
      </c>
      <c r="Z481" s="18">
        <v>46149</v>
      </c>
      <c r="AA481" s="15"/>
      <c r="AB481" s="15"/>
      <c r="AF481" t="str">
        <f t="shared" si="42"/>
        <v>Closed in May</v>
      </c>
    </row>
    <row r="482" spans="1:32" hidden="1">
      <c r="A482" s="6">
        <v>46107</v>
      </c>
      <c r="B482" s="3">
        <v>2026</v>
      </c>
      <c r="C482" s="3" t="s">
        <v>114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39"/>
        <v>24</v>
      </c>
      <c r="R482" s="53" t="str">
        <f t="shared" si="40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73">
        <f t="shared" si="41"/>
        <v>42</v>
      </c>
      <c r="Z482" s="18">
        <v>46149</v>
      </c>
      <c r="AA482" s="15"/>
      <c r="AB482" s="15"/>
      <c r="AF482" t="str">
        <f t="shared" si="42"/>
        <v>Closed in May</v>
      </c>
    </row>
    <row r="483" spans="1:32" hidden="1">
      <c r="A483" s="6">
        <v>46107</v>
      </c>
      <c r="B483" s="3">
        <v>2026</v>
      </c>
      <c r="C483" s="3" t="s">
        <v>114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39"/>
        <v>24</v>
      </c>
      <c r="R483" s="53" t="str">
        <f t="shared" si="40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73">
        <f t="shared" si="41"/>
        <v>42</v>
      </c>
      <c r="Z483" s="18">
        <v>46149</v>
      </c>
      <c r="AA483" s="15"/>
      <c r="AB483" s="15"/>
      <c r="AF483" t="str">
        <f t="shared" si="42"/>
        <v>Closed in May</v>
      </c>
    </row>
    <row r="484" spans="1:32" hidden="1">
      <c r="A484" s="6">
        <v>46107</v>
      </c>
      <c r="B484" s="3">
        <v>2026</v>
      </c>
      <c r="C484" s="3" t="s">
        <v>114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39"/>
        <v>24</v>
      </c>
      <c r="R484" s="53" t="str">
        <f t="shared" si="40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73">
        <f t="shared" si="41"/>
        <v>42</v>
      </c>
      <c r="Z484" s="18">
        <v>46149</v>
      </c>
      <c r="AA484" s="15"/>
      <c r="AB484" s="15"/>
      <c r="AF484" t="str">
        <f t="shared" si="42"/>
        <v>Closed in May</v>
      </c>
    </row>
    <row r="485" spans="1:32" hidden="1">
      <c r="A485" s="6">
        <v>46107</v>
      </c>
      <c r="B485" s="3">
        <v>2026</v>
      </c>
      <c r="C485" s="3" t="s">
        <v>114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39"/>
        <v>24</v>
      </c>
      <c r="R485" s="53" t="str">
        <f t="shared" si="40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73">
        <f t="shared" si="41"/>
        <v>42</v>
      </c>
      <c r="Z485" s="18">
        <v>46149</v>
      </c>
      <c r="AA485" s="15"/>
      <c r="AB485" s="15"/>
      <c r="AF485" t="str">
        <f t="shared" si="42"/>
        <v>Closed in May</v>
      </c>
    </row>
    <row r="486" spans="1:32" hidden="1">
      <c r="A486" s="6">
        <v>46107</v>
      </c>
      <c r="B486" s="3">
        <v>2026</v>
      </c>
      <c r="C486" s="3" t="s">
        <v>114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39"/>
        <v>24</v>
      </c>
      <c r="R486" s="53" t="str">
        <f t="shared" si="40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73">
        <f t="shared" si="41"/>
        <v>42</v>
      </c>
      <c r="Z486" s="18">
        <v>46149</v>
      </c>
      <c r="AA486" s="15"/>
      <c r="AB486" s="15"/>
      <c r="AF486" t="str">
        <f t="shared" si="42"/>
        <v>Closed in May</v>
      </c>
    </row>
    <row r="487" spans="1:32" hidden="1">
      <c r="A487" s="6">
        <v>46107</v>
      </c>
      <c r="B487" s="3">
        <v>2026</v>
      </c>
      <c r="C487" s="3" t="s">
        <v>114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43">MID(P487,5,2)</f>
        <v>24</v>
      </c>
      <c r="R487" s="53" t="str">
        <f t="shared" ref="R487:R550" si="44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73">
        <f t="shared" si="41"/>
        <v>42</v>
      </c>
      <c r="Z487" s="18">
        <v>46149</v>
      </c>
      <c r="AA487" s="15"/>
      <c r="AB487" s="15"/>
      <c r="AF487" t="str">
        <f t="shared" si="42"/>
        <v>Closed in May</v>
      </c>
    </row>
    <row r="488" spans="1:32" hidden="1">
      <c r="A488" s="6">
        <v>46107</v>
      </c>
      <c r="B488" s="3">
        <v>2026</v>
      </c>
      <c r="C488" s="3" t="s">
        <v>114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43"/>
        <v>24</v>
      </c>
      <c r="R488" s="53" t="str">
        <f t="shared" si="44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73">
        <f t="shared" si="41"/>
        <v>42</v>
      </c>
      <c r="Z488" s="18">
        <v>46149</v>
      </c>
      <c r="AA488" s="15"/>
      <c r="AB488" s="15"/>
      <c r="AF488" t="str">
        <f t="shared" si="42"/>
        <v>Closed in May</v>
      </c>
    </row>
    <row r="489" spans="1:32" hidden="1">
      <c r="A489" s="6">
        <v>46107</v>
      </c>
      <c r="B489" s="3">
        <v>2026</v>
      </c>
      <c r="C489" s="3" t="s">
        <v>114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43"/>
        <v>24</v>
      </c>
      <c r="R489" s="53" t="str">
        <f t="shared" si="44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73">
        <f t="shared" si="41"/>
        <v>42</v>
      </c>
      <c r="Z489" s="18">
        <v>46149</v>
      </c>
      <c r="AA489" s="15"/>
      <c r="AB489" s="15"/>
      <c r="AF489" t="str">
        <f t="shared" si="42"/>
        <v>Closed in May</v>
      </c>
    </row>
    <row r="490" spans="1:32" hidden="1">
      <c r="A490" s="6">
        <v>46107</v>
      </c>
      <c r="B490" s="3">
        <v>2026</v>
      </c>
      <c r="C490" s="3" t="s">
        <v>114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43"/>
        <v>24</v>
      </c>
      <c r="R490" s="53" t="str">
        <f t="shared" si="44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73">
        <f t="shared" si="41"/>
        <v>42</v>
      </c>
      <c r="Z490" s="18">
        <v>46149</v>
      </c>
      <c r="AA490" s="15"/>
      <c r="AB490" s="15"/>
      <c r="AF490" t="str">
        <f t="shared" si="42"/>
        <v>Closed in May</v>
      </c>
    </row>
    <row r="491" spans="1:32" hidden="1">
      <c r="A491" s="6">
        <v>46107</v>
      </c>
      <c r="B491" s="3">
        <v>2026</v>
      </c>
      <c r="C491" s="3" t="s">
        <v>114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43"/>
        <v>24</v>
      </c>
      <c r="R491" s="53" t="str">
        <f t="shared" si="44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73">
        <f t="shared" si="41"/>
        <v>42</v>
      </c>
      <c r="Z491" s="18">
        <v>46149</v>
      </c>
      <c r="AA491" s="15"/>
      <c r="AB491" s="15"/>
      <c r="AF491" t="str">
        <f t="shared" si="42"/>
        <v>Closed in May</v>
      </c>
    </row>
    <row r="492" spans="1:32" hidden="1">
      <c r="A492" s="6">
        <v>46107</v>
      </c>
      <c r="B492" s="3">
        <v>2026</v>
      </c>
      <c r="C492" s="3" t="s">
        <v>114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43"/>
        <v>24</v>
      </c>
      <c r="R492" s="53" t="str">
        <f t="shared" si="44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73">
        <f t="shared" si="41"/>
        <v>42</v>
      </c>
      <c r="Z492" s="18">
        <v>46149</v>
      </c>
      <c r="AA492" s="15"/>
      <c r="AB492" s="15"/>
      <c r="AF492" t="str">
        <f t="shared" si="42"/>
        <v>Closed in May</v>
      </c>
    </row>
    <row r="493" spans="1:32" hidden="1">
      <c r="A493" s="6">
        <v>46107</v>
      </c>
      <c r="B493" s="3">
        <v>2026</v>
      </c>
      <c r="C493" s="3" t="s">
        <v>114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43"/>
        <v>24</v>
      </c>
      <c r="R493" s="53" t="str">
        <f t="shared" si="44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73">
        <f t="shared" si="41"/>
        <v>42</v>
      </c>
      <c r="Z493" s="18">
        <v>46149</v>
      </c>
      <c r="AA493" s="15"/>
      <c r="AB493" s="15"/>
      <c r="AF493" t="str">
        <f t="shared" si="42"/>
        <v>Closed in May</v>
      </c>
    </row>
    <row r="494" spans="1:32" hidden="1">
      <c r="A494" s="6">
        <v>46107</v>
      </c>
      <c r="B494" s="3">
        <v>2026</v>
      </c>
      <c r="C494" s="3" t="s">
        <v>114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43"/>
        <v>24</v>
      </c>
      <c r="R494" s="53" t="str">
        <f t="shared" si="44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73">
        <f t="shared" si="41"/>
        <v>42</v>
      </c>
      <c r="Z494" s="18">
        <v>46149</v>
      </c>
      <c r="AA494" s="15"/>
      <c r="AB494" s="15"/>
      <c r="AF494" t="str">
        <f t="shared" si="42"/>
        <v>Closed in May</v>
      </c>
    </row>
    <row r="495" spans="1:32" hidden="1">
      <c r="A495" s="6">
        <v>46107</v>
      </c>
      <c r="B495" s="3">
        <v>2026</v>
      </c>
      <c r="C495" s="3" t="s">
        <v>114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43"/>
        <v>24</v>
      </c>
      <c r="R495" s="53" t="str">
        <f t="shared" si="44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73">
        <f t="shared" si="41"/>
        <v>42</v>
      </c>
      <c r="Z495" s="18">
        <v>46149</v>
      </c>
      <c r="AA495" s="15"/>
      <c r="AB495" s="15"/>
      <c r="AF495" t="str">
        <f t="shared" si="42"/>
        <v>Closed in May</v>
      </c>
    </row>
    <row r="496" spans="1:32" hidden="1">
      <c r="A496" s="6">
        <v>46107</v>
      </c>
      <c r="B496" s="3">
        <v>2026</v>
      </c>
      <c r="C496" s="3" t="s">
        <v>114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43"/>
        <v>24</v>
      </c>
      <c r="R496" s="53" t="str">
        <f t="shared" si="44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73">
        <f t="shared" si="41"/>
        <v>42</v>
      </c>
      <c r="Z496" s="18">
        <v>46149</v>
      </c>
      <c r="AA496" s="15"/>
      <c r="AB496" s="15"/>
      <c r="AF496" t="str">
        <f t="shared" si="42"/>
        <v>Closed in May</v>
      </c>
    </row>
    <row r="497" spans="1:32" hidden="1">
      <c r="A497" s="6">
        <v>46107</v>
      </c>
      <c r="B497" s="3">
        <v>2026</v>
      </c>
      <c r="C497" s="3" t="s">
        <v>114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43"/>
        <v>24</v>
      </c>
      <c r="R497" s="53" t="str">
        <f t="shared" si="44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73">
        <f t="shared" si="41"/>
        <v>42</v>
      </c>
      <c r="Z497" s="18">
        <v>46149</v>
      </c>
      <c r="AA497" s="15"/>
      <c r="AB497" s="15"/>
      <c r="AF497" t="str">
        <f t="shared" si="42"/>
        <v>Closed in May</v>
      </c>
    </row>
    <row r="498" spans="1:32" hidden="1">
      <c r="A498" s="6">
        <v>46107</v>
      </c>
      <c r="B498" s="3">
        <v>2026</v>
      </c>
      <c r="C498" s="3" t="s">
        <v>114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43"/>
        <v>24</v>
      </c>
      <c r="R498" s="53" t="str">
        <f t="shared" si="44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73">
        <f t="shared" si="41"/>
        <v>42</v>
      </c>
      <c r="Z498" s="18">
        <v>46149</v>
      </c>
      <c r="AA498" s="15"/>
      <c r="AB498" s="15"/>
      <c r="AF498" t="str">
        <f t="shared" si="42"/>
        <v>Closed in May</v>
      </c>
    </row>
    <row r="499" spans="1:32" hidden="1">
      <c r="A499" s="6">
        <v>46107</v>
      </c>
      <c r="B499" s="3">
        <v>2026</v>
      </c>
      <c r="C499" s="3" t="s">
        <v>114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43"/>
        <v>24</v>
      </c>
      <c r="R499" s="53" t="str">
        <f t="shared" si="44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73">
        <f t="shared" si="41"/>
        <v>42</v>
      </c>
      <c r="Z499" s="18">
        <v>46149</v>
      </c>
      <c r="AA499" s="15"/>
      <c r="AB499" s="15"/>
      <c r="AF499" t="str">
        <f t="shared" si="42"/>
        <v>Closed in May</v>
      </c>
    </row>
    <row r="500" spans="1:32" hidden="1">
      <c r="A500" s="6">
        <v>46107</v>
      </c>
      <c r="B500" s="3">
        <v>2026</v>
      </c>
      <c r="C500" s="3" t="s">
        <v>114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43"/>
        <v>24</v>
      </c>
      <c r="R500" s="53" t="str">
        <f t="shared" si="44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73">
        <f t="shared" si="41"/>
        <v>43</v>
      </c>
      <c r="Z500" s="18">
        <v>46150</v>
      </c>
      <c r="AA500" s="15"/>
      <c r="AB500" s="15"/>
      <c r="AF500" t="str">
        <f t="shared" si="42"/>
        <v>Closed in May</v>
      </c>
    </row>
    <row r="501" spans="1:32" hidden="1">
      <c r="A501" s="6">
        <v>46107</v>
      </c>
      <c r="B501" s="3">
        <v>2026</v>
      </c>
      <c r="C501" s="3" t="s">
        <v>114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43"/>
        <v>24</v>
      </c>
      <c r="R501" s="53" t="str">
        <f t="shared" si="44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73">
        <f t="shared" si="41"/>
        <v>43</v>
      </c>
      <c r="Z501" s="18">
        <v>46150</v>
      </c>
      <c r="AA501" s="15"/>
      <c r="AB501" s="15"/>
      <c r="AF501" t="str">
        <f t="shared" si="42"/>
        <v>Closed in May</v>
      </c>
    </row>
    <row r="502" spans="1:32" hidden="1">
      <c r="A502" s="6">
        <v>46107</v>
      </c>
      <c r="B502" s="3">
        <v>2026</v>
      </c>
      <c r="C502" s="3" t="s">
        <v>114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43"/>
        <v>24</v>
      </c>
      <c r="R502" s="53" t="str">
        <f t="shared" si="44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73">
        <f t="shared" si="41"/>
        <v>43</v>
      </c>
      <c r="Z502" s="18">
        <v>46150</v>
      </c>
      <c r="AA502" s="15"/>
      <c r="AB502" s="15"/>
      <c r="AF502" t="str">
        <f t="shared" si="42"/>
        <v>Closed in May</v>
      </c>
    </row>
    <row r="503" spans="1:32" hidden="1">
      <c r="A503" s="6">
        <v>46107</v>
      </c>
      <c r="B503" s="3">
        <v>2026</v>
      </c>
      <c r="C503" s="3" t="s">
        <v>114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43"/>
        <v>24</v>
      </c>
      <c r="R503" s="53" t="str">
        <f t="shared" si="44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73">
        <f t="shared" si="41"/>
        <v>43</v>
      </c>
      <c r="Z503" s="18">
        <v>46150</v>
      </c>
      <c r="AA503" s="15"/>
      <c r="AB503" s="15"/>
      <c r="AF503" t="str">
        <f t="shared" si="42"/>
        <v>Closed in May</v>
      </c>
    </row>
    <row r="504" spans="1:32" hidden="1">
      <c r="A504" s="6">
        <v>46107</v>
      </c>
      <c r="B504" s="3">
        <v>2026</v>
      </c>
      <c r="C504" s="3" t="s">
        <v>114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43"/>
        <v>24</v>
      </c>
      <c r="R504" s="53" t="str">
        <f t="shared" si="44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73">
        <f t="shared" si="41"/>
        <v>43</v>
      </c>
      <c r="Z504" s="18">
        <v>46150</v>
      </c>
      <c r="AA504" s="15"/>
      <c r="AB504" s="15"/>
      <c r="AF504" t="str">
        <f t="shared" si="42"/>
        <v>Closed in May</v>
      </c>
    </row>
    <row r="505" spans="1:32" hidden="1">
      <c r="A505" s="6">
        <v>46107</v>
      </c>
      <c r="B505" s="3">
        <v>2026</v>
      </c>
      <c r="C505" s="3" t="s">
        <v>114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43"/>
        <v>24</v>
      </c>
      <c r="R505" s="53" t="str">
        <f t="shared" si="44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73">
        <f t="shared" si="41"/>
        <v>43</v>
      </c>
      <c r="Z505" s="18">
        <v>46150</v>
      </c>
      <c r="AA505" s="15"/>
      <c r="AB505" s="15"/>
      <c r="AF505" t="str">
        <f t="shared" si="42"/>
        <v>Closed in May</v>
      </c>
    </row>
    <row r="506" spans="1:32" hidden="1">
      <c r="A506" s="6">
        <v>46107</v>
      </c>
      <c r="B506" s="3">
        <v>2026</v>
      </c>
      <c r="C506" s="3" t="s">
        <v>114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43"/>
        <v>24</v>
      </c>
      <c r="R506" s="53" t="str">
        <f t="shared" si="44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73">
        <f t="shared" si="41"/>
        <v>43</v>
      </c>
      <c r="Z506" s="18">
        <v>46150</v>
      </c>
      <c r="AA506" s="15"/>
      <c r="AB506" s="15"/>
      <c r="AF506" t="str">
        <f t="shared" si="42"/>
        <v>Closed in May</v>
      </c>
    </row>
    <row r="507" spans="1:32" hidden="1">
      <c r="A507" s="6">
        <v>46107</v>
      </c>
      <c r="B507" s="3">
        <v>2026</v>
      </c>
      <c r="C507" s="3" t="s">
        <v>114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43"/>
        <v>24</v>
      </c>
      <c r="R507" s="53" t="str">
        <f t="shared" si="44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73">
        <f t="shared" si="41"/>
        <v>43</v>
      </c>
      <c r="Z507" s="18">
        <v>46150</v>
      </c>
      <c r="AA507" s="15"/>
      <c r="AB507" s="15"/>
      <c r="AF507" t="str">
        <f t="shared" si="42"/>
        <v>Closed in May</v>
      </c>
    </row>
    <row r="508" spans="1:32" hidden="1">
      <c r="A508" s="6">
        <v>46107</v>
      </c>
      <c r="B508" s="3">
        <v>2026</v>
      </c>
      <c r="C508" s="3" t="s">
        <v>114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43"/>
        <v>24</v>
      </c>
      <c r="R508" s="53" t="str">
        <f t="shared" si="44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73">
        <f t="shared" si="41"/>
        <v>43</v>
      </c>
      <c r="Z508" s="18">
        <v>46150</v>
      </c>
      <c r="AA508" s="15"/>
      <c r="AB508" s="15"/>
      <c r="AF508" t="str">
        <f t="shared" si="42"/>
        <v>Closed in May</v>
      </c>
    </row>
    <row r="509" spans="1:32" hidden="1">
      <c r="A509" s="6">
        <v>46107</v>
      </c>
      <c r="B509" s="3">
        <v>2026</v>
      </c>
      <c r="C509" s="3" t="s">
        <v>114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43"/>
        <v>24</v>
      </c>
      <c r="R509" s="53" t="str">
        <f t="shared" si="44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73">
        <f t="shared" si="41"/>
        <v>43</v>
      </c>
      <c r="Z509" s="18">
        <v>46150</v>
      </c>
      <c r="AA509" s="15"/>
      <c r="AB509" s="15"/>
      <c r="AF509" t="str">
        <f t="shared" si="42"/>
        <v>Closed in May</v>
      </c>
    </row>
    <row r="510" spans="1:32" hidden="1">
      <c r="A510" s="6">
        <v>46107</v>
      </c>
      <c r="B510" s="3">
        <v>2026</v>
      </c>
      <c r="C510" s="3" t="s">
        <v>114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43"/>
        <v>24</v>
      </c>
      <c r="R510" s="53" t="str">
        <f t="shared" si="44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73">
        <f t="shared" si="41"/>
        <v>43</v>
      </c>
      <c r="Z510" s="18">
        <v>46150</v>
      </c>
      <c r="AA510" s="15"/>
      <c r="AB510" s="15"/>
      <c r="AF510" t="str">
        <f t="shared" si="42"/>
        <v>Closed in May</v>
      </c>
    </row>
    <row r="511" spans="1:32" hidden="1">
      <c r="A511" s="6">
        <v>46107</v>
      </c>
      <c r="B511" s="3">
        <v>2026</v>
      </c>
      <c r="C511" s="3" t="s">
        <v>114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43"/>
        <v>24</v>
      </c>
      <c r="R511" s="53" t="str">
        <f t="shared" si="44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73">
        <f t="shared" si="41"/>
        <v>43</v>
      </c>
      <c r="Z511" s="18">
        <v>46150</v>
      </c>
      <c r="AA511" s="15"/>
      <c r="AB511" s="15"/>
      <c r="AF511" t="str">
        <f t="shared" si="42"/>
        <v>Closed in May</v>
      </c>
    </row>
    <row r="512" spans="1:32" hidden="1">
      <c r="A512" s="6">
        <v>46107</v>
      </c>
      <c r="B512" s="3">
        <v>2026</v>
      </c>
      <c r="C512" s="3" t="s">
        <v>114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43"/>
        <v>24</v>
      </c>
      <c r="R512" s="53" t="str">
        <f t="shared" si="44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73">
        <f t="shared" si="41"/>
        <v>43</v>
      </c>
      <c r="Z512" s="18">
        <v>46150</v>
      </c>
      <c r="AA512" s="15"/>
      <c r="AB512" s="15"/>
      <c r="AF512" t="str">
        <f t="shared" si="42"/>
        <v>Closed in May</v>
      </c>
    </row>
    <row r="513" spans="1:32" hidden="1">
      <c r="A513" s="6">
        <v>46107</v>
      </c>
      <c r="B513" s="3">
        <v>2026</v>
      </c>
      <c r="C513" s="3" t="s">
        <v>114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43"/>
        <v>24</v>
      </c>
      <c r="R513" s="53" t="str">
        <f t="shared" si="44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73">
        <f t="shared" si="41"/>
        <v>43</v>
      </c>
      <c r="Z513" s="18">
        <v>46150</v>
      </c>
      <c r="AA513" s="15"/>
      <c r="AB513" s="15"/>
      <c r="AF513" t="str">
        <f t="shared" si="42"/>
        <v>Closed in May</v>
      </c>
    </row>
    <row r="514" spans="1:32" hidden="1">
      <c r="A514" s="6">
        <v>46107</v>
      </c>
      <c r="B514" s="3">
        <v>2026</v>
      </c>
      <c r="C514" s="3" t="s">
        <v>114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43"/>
        <v>24</v>
      </c>
      <c r="R514" s="53" t="str">
        <f t="shared" si="44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73">
        <f t="shared" ref="Y514:Y577" si="45">IF(X514="","",X514-A514)</f>
        <v>43</v>
      </c>
      <c r="Z514" s="18">
        <v>46150</v>
      </c>
      <c r="AA514" s="15"/>
      <c r="AB514" s="15"/>
      <c r="AF514" t="str">
        <f t="shared" ref="AF514:AF577" si="46">IF(AND($F514="Closed",$X514&gt;=DATE(2026,5,1),$X514&lt;=DATE(2026,5,31)),"Closed in May","Other")</f>
        <v>Closed in May</v>
      </c>
    </row>
    <row r="515" spans="1:32" hidden="1">
      <c r="A515" s="6">
        <v>46107</v>
      </c>
      <c r="B515" s="3">
        <v>2026</v>
      </c>
      <c r="C515" s="3" t="s">
        <v>114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43"/>
        <v>24</v>
      </c>
      <c r="R515" s="53" t="str">
        <f t="shared" si="44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73">
        <f t="shared" si="45"/>
        <v>43</v>
      </c>
      <c r="Z515" s="18">
        <v>46150</v>
      </c>
      <c r="AA515" s="15"/>
      <c r="AB515" s="15"/>
      <c r="AF515" t="str">
        <f t="shared" si="46"/>
        <v>Closed in May</v>
      </c>
    </row>
    <row r="516" spans="1:32" hidden="1">
      <c r="A516" s="6">
        <v>46107</v>
      </c>
      <c r="B516" s="3">
        <v>2026</v>
      </c>
      <c r="C516" s="3" t="s">
        <v>114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43"/>
        <v>24</v>
      </c>
      <c r="R516" s="53" t="str">
        <f t="shared" si="44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73">
        <f t="shared" si="45"/>
        <v>43</v>
      </c>
      <c r="Z516" s="18">
        <v>46150</v>
      </c>
      <c r="AA516" s="15"/>
      <c r="AB516" s="15"/>
      <c r="AF516" t="str">
        <f t="shared" si="46"/>
        <v>Closed in May</v>
      </c>
    </row>
    <row r="517" spans="1:32" hidden="1">
      <c r="A517" s="6">
        <v>46107</v>
      </c>
      <c r="B517" s="3">
        <v>2026</v>
      </c>
      <c r="C517" s="3" t="s">
        <v>114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43"/>
        <v>24</v>
      </c>
      <c r="R517" s="53" t="str">
        <f t="shared" si="44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73">
        <f t="shared" si="45"/>
        <v>43</v>
      </c>
      <c r="Z517" s="18">
        <v>46150</v>
      </c>
      <c r="AA517" s="15"/>
      <c r="AB517" s="15"/>
      <c r="AF517" t="str">
        <f t="shared" si="46"/>
        <v>Closed in May</v>
      </c>
    </row>
    <row r="518" spans="1:32" hidden="1">
      <c r="A518" s="6">
        <v>46107</v>
      </c>
      <c r="B518" s="3">
        <v>2026</v>
      </c>
      <c r="C518" s="3" t="s">
        <v>114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43"/>
        <v>24</v>
      </c>
      <c r="R518" s="53" t="str">
        <f t="shared" si="44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73">
        <f t="shared" si="45"/>
        <v>43</v>
      </c>
      <c r="Z518" s="18">
        <v>46150</v>
      </c>
      <c r="AA518" s="15"/>
      <c r="AB518" s="15"/>
      <c r="AF518" t="str">
        <f t="shared" si="46"/>
        <v>Closed in May</v>
      </c>
    </row>
    <row r="519" spans="1:32" hidden="1">
      <c r="A519" s="6">
        <v>46107</v>
      </c>
      <c r="B519" s="3">
        <v>2026</v>
      </c>
      <c r="C519" s="3" t="s">
        <v>114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43"/>
        <v>24</v>
      </c>
      <c r="R519" s="53" t="str">
        <f t="shared" si="44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73">
        <f t="shared" si="45"/>
        <v>43</v>
      </c>
      <c r="Z519" s="18">
        <v>46150</v>
      </c>
      <c r="AA519" s="15"/>
      <c r="AB519" s="15"/>
      <c r="AF519" t="str">
        <f t="shared" si="46"/>
        <v>Closed in May</v>
      </c>
    </row>
    <row r="520" spans="1:32" hidden="1">
      <c r="A520" s="6">
        <v>46107</v>
      </c>
      <c r="B520" s="3">
        <v>2026</v>
      </c>
      <c r="C520" s="3" t="s">
        <v>114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43"/>
        <v>24</v>
      </c>
      <c r="R520" s="53" t="str">
        <f t="shared" si="44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73">
        <f t="shared" si="45"/>
        <v>43</v>
      </c>
      <c r="Z520" s="18">
        <v>46150</v>
      </c>
      <c r="AA520" s="15"/>
      <c r="AB520" s="15"/>
      <c r="AF520" t="str">
        <f t="shared" si="46"/>
        <v>Closed in May</v>
      </c>
    </row>
    <row r="521" spans="1:32" hidden="1">
      <c r="A521" s="6">
        <v>46107</v>
      </c>
      <c r="B521" s="3">
        <v>2026</v>
      </c>
      <c r="C521" s="3" t="s">
        <v>114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43"/>
        <v>24</v>
      </c>
      <c r="R521" s="53" t="str">
        <f t="shared" si="44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73">
        <f t="shared" si="45"/>
        <v>43</v>
      </c>
      <c r="Z521" s="18">
        <v>46150</v>
      </c>
      <c r="AA521" s="15"/>
      <c r="AB521" s="15"/>
      <c r="AF521" t="str">
        <f t="shared" si="46"/>
        <v>Closed in May</v>
      </c>
    </row>
    <row r="522" spans="1:32" hidden="1">
      <c r="A522" s="6">
        <v>46107</v>
      </c>
      <c r="B522" s="3">
        <v>2026</v>
      </c>
      <c r="C522" s="3" t="s">
        <v>114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43"/>
        <v>24</v>
      </c>
      <c r="R522" s="53" t="str">
        <f t="shared" si="44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73">
        <f t="shared" si="45"/>
        <v>43</v>
      </c>
      <c r="Z522" s="18">
        <v>46150</v>
      </c>
      <c r="AA522" s="15"/>
      <c r="AB522" s="15"/>
      <c r="AF522" t="str">
        <f t="shared" si="46"/>
        <v>Closed in May</v>
      </c>
    </row>
    <row r="523" spans="1:32" hidden="1">
      <c r="A523" s="6">
        <v>46107</v>
      </c>
      <c r="B523" s="3">
        <v>2026</v>
      </c>
      <c r="C523" s="3" t="s">
        <v>114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43"/>
        <v>24</v>
      </c>
      <c r="R523" s="53" t="str">
        <f t="shared" si="44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73">
        <f t="shared" si="45"/>
        <v>43</v>
      </c>
      <c r="Z523" s="18">
        <v>46150</v>
      </c>
      <c r="AA523" s="15"/>
      <c r="AB523" s="15"/>
      <c r="AF523" t="str">
        <f t="shared" si="46"/>
        <v>Closed in May</v>
      </c>
    </row>
    <row r="524" spans="1:32" hidden="1">
      <c r="A524" s="6">
        <v>46107</v>
      </c>
      <c r="B524" s="3">
        <v>2026</v>
      </c>
      <c r="C524" s="3" t="s">
        <v>114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43"/>
        <v>24</v>
      </c>
      <c r="R524" s="53" t="str">
        <f t="shared" si="44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73">
        <f t="shared" si="45"/>
        <v>43</v>
      </c>
      <c r="Z524" s="18">
        <v>46150</v>
      </c>
      <c r="AA524" s="15"/>
      <c r="AB524" s="15"/>
      <c r="AF524" t="str">
        <f t="shared" si="46"/>
        <v>Closed in May</v>
      </c>
    </row>
    <row r="525" spans="1:32" hidden="1">
      <c r="A525" s="6">
        <v>46107</v>
      </c>
      <c r="B525" s="3">
        <v>2026</v>
      </c>
      <c r="C525" s="3" t="s">
        <v>114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43"/>
        <v>24</v>
      </c>
      <c r="R525" s="53" t="str">
        <f t="shared" si="44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73">
        <f t="shared" si="45"/>
        <v>43</v>
      </c>
      <c r="Z525" s="18">
        <v>46150</v>
      </c>
      <c r="AA525" s="15"/>
      <c r="AB525" s="15"/>
      <c r="AF525" t="str">
        <f t="shared" si="46"/>
        <v>Closed in May</v>
      </c>
    </row>
    <row r="526" spans="1:32" hidden="1">
      <c r="A526" s="6">
        <v>46107</v>
      </c>
      <c r="B526" s="3">
        <v>2026</v>
      </c>
      <c r="C526" s="3" t="s">
        <v>114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43"/>
        <v>24</v>
      </c>
      <c r="R526" s="53" t="str">
        <f t="shared" si="44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73">
        <f t="shared" si="45"/>
        <v>43</v>
      </c>
      <c r="Z526" s="18">
        <v>46150</v>
      </c>
      <c r="AA526" s="15"/>
      <c r="AB526" s="15"/>
      <c r="AF526" t="str">
        <f t="shared" si="46"/>
        <v>Closed in May</v>
      </c>
    </row>
    <row r="527" spans="1:32" hidden="1">
      <c r="A527" s="6">
        <v>46107</v>
      </c>
      <c r="B527" s="3">
        <v>2026</v>
      </c>
      <c r="C527" s="3" t="s">
        <v>114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43"/>
        <v>24</v>
      </c>
      <c r="R527" s="53" t="str">
        <f t="shared" si="44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73">
        <f t="shared" si="45"/>
        <v>43</v>
      </c>
      <c r="Z527" s="18">
        <v>46150</v>
      </c>
      <c r="AA527" s="15"/>
      <c r="AB527" s="15"/>
      <c r="AF527" t="str">
        <f t="shared" si="46"/>
        <v>Closed in May</v>
      </c>
    </row>
    <row r="528" spans="1:32" hidden="1">
      <c r="A528" s="6">
        <v>46107</v>
      </c>
      <c r="B528" s="3">
        <v>2026</v>
      </c>
      <c r="C528" s="3" t="s">
        <v>114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43"/>
        <v>24</v>
      </c>
      <c r="R528" s="53" t="str">
        <f t="shared" si="44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73">
        <f t="shared" si="45"/>
        <v>43</v>
      </c>
      <c r="Z528" s="18">
        <v>46150</v>
      </c>
      <c r="AA528" s="15"/>
      <c r="AB528" s="15"/>
      <c r="AF528" t="str">
        <f t="shared" si="46"/>
        <v>Closed in May</v>
      </c>
    </row>
    <row r="529" spans="1:32" hidden="1">
      <c r="A529" s="6">
        <v>46107</v>
      </c>
      <c r="B529" s="3">
        <v>2026</v>
      </c>
      <c r="C529" s="3" t="s">
        <v>114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43"/>
        <v>24</v>
      </c>
      <c r="R529" s="53" t="str">
        <f t="shared" si="44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73">
        <f t="shared" si="45"/>
        <v>43</v>
      </c>
      <c r="Z529" s="18">
        <v>46150</v>
      </c>
      <c r="AA529" s="15"/>
      <c r="AB529" s="15"/>
      <c r="AF529" t="str">
        <f t="shared" si="46"/>
        <v>Closed in May</v>
      </c>
    </row>
    <row r="530" spans="1:32" hidden="1">
      <c r="A530" s="6">
        <v>46107</v>
      </c>
      <c r="B530" s="3">
        <v>2026</v>
      </c>
      <c r="C530" s="3" t="s">
        <v>114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43"/>
        <v>24</v>
      </c>
      <c r="R530" s="53" t="str">
        <f t="shared" si="44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73">
        <f t="shared" si="45"/>
        <v>43</v>
      </c>
      <c r="Z530" s="18">
        <v>46150</v>
      </c>
      <c r="AA530" s="15"/>
      <c r="AB530" s="15"/>
      <c r="AF530" t="str">
        <f t="shared" si="46"/>
        <v>Closed in May</v>
      </c>
    </row>
    <row r="531" spans="1:32" hidden="1">
      <c r="A531" s="6">
        <v>46107</v>
      </c>
      <c r="B531" s="3">
        <v>2026</v>
      </c>
      <c r="C531" s="3" t="s">
        <v>114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43"/>
        <v>24</v>
      </c>
      <c r="R531" s="53" t="str">
        <f t="shared" si="44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73">
        <f t="shared" si="45"/>
        <v>43</v>
      </c>
      <c r="Z531" s="18">
        <v>46150</v>
      </c>
      <c r="AA531" s="15"/>
      <c r="AB531" s="15"/>
      <c r="AF531" t="str">
        <f t="shared" si="46"/>
        <v>Closed in May</v>
      </c>
    </row>
    <row r="532" spans="1:32" hidden="1">
      <c r="A532" s="6">
        <v>46107</v>
      </c>
      <c r="B532" s="3">
        <v>2026</v>
      </c>
      <c r="C532" s="3" t="s">
        <v>114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43"/>
        <v>24</v>
      </c>
      <c r="R532" s="53" t="str">
        <f t="shared" si="44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73">
        <f t="shared" si="45"/>
        <v>43</v>
      </c>
      <c r="Z532" s="18">
        <v>46150</v>
      </c>
      <c r="AA532" s="15"/>
      <c r="AB532" s="15"/>
      <c r="AF532" t="str">
        <f t="shared" si="46"/>
        <v>Closed in May</v>
      </c>
    </row>
    <row r="533" spans="1:32" hidden="1">
      <c r="A533" s="6">
        <v>46107</v>
      </c>
      <c r="B533" s="3">
        <v>2026</v>
      </c>
      <c r="C533" s="3" t="s">
        <v>114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43"/>
        <v>24</v>
      </c>
      <c r="R533" s="53" t="str">
        <f t="shared" si="44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73">
        <f t="shared" si="45"/>
        <v>43</v>
      </c>
      <c r="Z533" s="18">
        <v>46150</v>
      </c>
      <c r="AA533" s="15"/>
      <c r="AB533" s="15"/>
      <c r="AF533" t="str">
        <f t="shared" si="46"/>
        <v>Closed in May</v>
      </c>
    </row>
    <row r="534" spans="1:32" hidden="1">
      <c r="A534" s="6">
        <v>46107</v>
      </c>
      <c r="B534" s="3">
        <v>2026</v>
      </c>
      <c r="C534" s="3" t="s">
        <v>114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43"/>
        <v>24</v>
      </c>
      <c r="R534" s="53" t="str">
        <f t="shared" si="44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73">
        <f t="shared" si="45"/>
        <v>43</v>
      </c>
      <c r="Z534" s="18">
        <v>46150</v>
      </c>
      <c r="AA534" s="15"/>
      <c r="AB534" s="15"/>
      <c r="AF534" t="str">
        <f t="shared" si="46"/>
        <v>Closed in May</v>
      </c>
    </row>
    <row r="535" spans="1:32" hidden="1">
      <c r="A535" s="6">
        <v>46107</v>
      </c>
      <c r="B535" s="3">
        <v>2026</v>
      </c>
      <c r="C535" s="3" t="s">
        <v>114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43"/>
        <v>24</v>
      </c>
      <c r="R535" s="53" t="str">
        <f t="shared" si="44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73">
        <f t="shared" si="45"/>
        <v>43</v>
      </c>
      <c r="Z535" s="18">
        <v>46150</v>
      </c>
      <c r="AA535" s="15"/>
      <c r="AB535" s="15"/>
      <c r="AF535" t="str">
        <f t="shared" si="46"/>
        <v>Closed in May</v>
      </c>
    </row>
    <row r="536" spans="1:32" hidden="1">
      <c r="A536" s="6">
        <v>46107</v>
      </c>
      <c r="B536" s="3">
        <v>2026</v>
      </c>
      <c r="C536" s="3" t="s">
        <v>114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43"/>
        <v>24</v>
      </c>
      <c r="R536" s="53" t="str">
        <f t="shared" si="44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73">
        <f t="shared" si="45"/>
        <v>43</v>
      </c>
      <c r="Z536" s="18">
        <v>46150</v>
      </c>
      <c r="AA536" s="15"/>
      <c r="AB536" s="15"/>
      <c r="AF536" t="str">
        <f t="shared" si="46"/>
        <v>Closed in May</v>
      </c>
    </row>
    <row r="537" spans="1:32" hidden="1">
      <c r="A537" s="6">
        <v>46107</v>
      </c>
      <c r="B537" s="3">
        <v>2026</v>
      </c>
      <c r="C537" s="3" t="s">
        <v>114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43"/>
        <v>24</v>
      </c>
      <c r="R537" s="53" t="str">
        <f t="shared" si="44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73">
        <f t="shared" si="45"/>
        <v>43</v>
      </c>
      <c r="Z537" s="18">
        <v>46150</v>
      </c>
      <c r="AA537" s="15"/>
      <c r="AB537" s="15"/>
      <c r="AF537" t="str">
        <f t="shared" si="46"/>
        <v>Closed in May</v>
      </c>
    </row>
    <row r="538" spans="1:32" hidden="1">
      <c r="A538" s="6">
        <v>46107</v>
      </c>
      <c r="B538" s="3">
        <v>2026</v>
      </c>
      <c r="C538" s="3" t="s">
        <v>114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43"/>
        <v>24</v>
      </c>
      <c r="R538" s="53" t="str">
        <f t="shared" si="44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73">
        <f t="shared" si="45"/>
        <v>43</v>
      </c>
      <c r="Z538" s="18">
        <v>46150</v>
      </c>
      <c r="AA538" s="15"/>
      <c r="AB538" s="15"/>
      <c r="AF538" t="str">
        <f t="shared" si="46"/>
        <v>Closed in May</v>
      </c>
    </row>
    <row r="539" spans="1:32" hidden="1">
      <c r="A539" s="6">
        <v>46107</v>
      </c>
      <c r="B539" s="3">
        <v>2026</v>
      </c>
      <c r="C539" s="3" t="s">
        <v>114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43"/>
        <v>24</v>
      </c>
      <c r="R539" s="53" t="str">
        <f t="shared" si="44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73">
        <f t="shared" si="45"/>
        <v>43</v>
      </c>
      <c r="Z539" s="18">
        <v>46150</v>
      </c>
      <c r="AA539" s="15"/>
      <c r="AB539" s="15"/>
      <c r="AF539" t="str">
        <f t="shared" si="46"/>
        <v>Closed in May</v>
      </c>
    </row>
    <row r="540" spans="1:32" hidden="1">
      <c r="A540" s="6">
        <v>46107</v>
      </c>
      <c r="B540" s="3">
        <v>2026</v>
      </c>
      <c r="C540" s="3" t="s">
        <v>114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43"/>
        <v>24</v>
      </c>
      <c r="R540" s="53" t="str">
        <f t="shared" si="44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73">
        <f t="shared" si="45"/>
        <v>43</v>
      </c>
      <c r="Z540" s="18">
        <v>46150</v>
      </c>
      <c r="AA540" s="15"/>
      <c r="AB540" s="15"/>
      <c r="AF540" t="str">
        <f t="shared" si="46"/>
        <v>Closed in May</v>
      </c>
    </row>
    <row r="541" spans="1:32" hidden="1">
      <c r="A541" s="6">
        <v>46107</v>
      </c>
      <c r="B541" s="3">
        <v>2026</v>
      </c>
      <c r="C541" s="3" t="s">
        <v>114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43"/>
        <v>24</v>
      </c>
      <c r="R541" s="53" t="str">
        <f t="shared" si="44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73">
        <f t="shared" si="45"/>
        <v>43</v>
      </c>
      <c r="Z541" s="18">
        <v>46150</v>
      </c>
      <c r="AA541" s="15"/>
      <c r="AB541" s="15"/>
      <c r="AF541" t="str">
        <f t="shared" si="46"/>
        <v>Closed in May</v>
      </c>
    </row>
    <row r="542" spans="1:32" hidden="1">
      <c r="A542" s="6">
        <v>46107</v>
      </c>
      <c r="B542" s="3">
        <v>2026</v>
      </c>
      <c r="C542" s="3" t="s">
        <v>114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43"/>
        <v>24</v>
      </c>
      <c r="R542" s="53" t="str">
        <f t="shared" si="44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73">
        <f t="shared" si="45"/>
        <v>43</v>
      </c>
      <c r="Z542" s="18">
        <v>46150</v>
      </c>
      <c r="AA542" s="15"/>
      <c r="AB542" s="15"/>
      <c r="AF542" t="str">
        <f t="shared" si="46"/>
        <v>Closed in May</v>
      </c>
    </row>
    <row r="543" spans="1:32" hidden="1">
      <c r="A543" s="6">
        <v>46107</v>
      </c>
      <c r="B543" s="3">
        <v>2026</v>
      </c>
      <c r="C543" s="3" t="s">
        <v>114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43"/>
        <v>24</v>
      </c>
      <c r="R543" s="53" t="str">
        <f t="shared" si="44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73">
        <f t="shared" si="45"/>
        <v>43</v>
      </c>
      <c r="Z543" s="18">
        <v>46150</v>
      </c>
      <c r="AA543" s="15"/>
      <c r="AB543" s="15"/>
      <c r="AF543" t="str">
        <f t="shared" si="46"/>
        <v>Closed in May</v>
      </c>
    </row>
    <row r="544" spans="1:32" hidden="1">
      <c r="A544" s="6">
        <v>46107</v>
      </c>
      <c r="B544" s="3">
        <v>2026</v>
      </c>
      <c r="C544" s="3" t="s">
        <v>114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43"/>
        <v>24</v>
      </c>
      <c r="R544" s="53" t="str">
        <f t="shared" si="44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73">
        <f t="shared" si="45"/>
        <v>43</v>
      </c>
      <c r="Z544" s="18">
        <v>46150</v>
      </c>
      <c r="AA544" s="15"/>
      <c r="AB544" s="15"/>
      <c r="AF544" t="str">
        <f t="shared" si="46"/>
        <v>Closed in May</v>
      </c>
    </row>
    <row r="545" spans="1:32" hidden="1">
      <c r="A545" s="6">
        <v>46107</v>
      </c>
      <c r="B545" s="3">
        <v>2026</v>
      </c>
      <c r="C545" s="3" t="s">
        <v>114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43"/>
        <v>24</v>
      </c>
      <c r="R545" s="53" t="str">
        <f t="shared" si="44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73">
        <f t="shared" si="45"/>
        <v>43</v>
      </c>
      <c r="Z545" s="18">
        <v>46150</v>
      </c>
      <c r="AA545" s="15"/>
      <c r="AB545" s="15"/>
      <c r="AF545" t="str">
        <f t="shared" si="46"/>
        <v>Closed in May</v>
      </c>
    </row>
    <row r="546" spans="1:32" hidden="1">
      <c r="A546" s="6">
        <v>46107</v>
      </c>
      <c r="B546" s="3">
        <v>2026</v>
      </c>
      <c r="C546" s="3" t="s">
        <v>114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43"/>
        <v>24</v>
      </c>
      <c r="R546" s="53" t="str">
        <f t="shared" si="44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73">
        <f t="shared" si="45"/>
        <v>43</v>
      </c>
      <c r="Z546" s="18">
        <v>46150</v>
      </c>
      <c r="AA546" s="15"/>
      <c r="AB546" s="15"/>
      <c r="AF546" t="str">
        <f t="shared" si="46"/>
        <v>Closed in May</v>
      </c>
    </row>
    <row r="547" spans="1:32" hidden="1">
      <c r="A547" s="6">
        <v>46107</v>
      </c>
      <c r="B547" s="3">
        <v>2026</v>
      </c>
      <c r="C547" s="3" t="s">
        <v>114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43"/>
        <v>24</v>
      </c>
      <c r="R547" s="53" t="str">
        <f t="shared" si="44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73">
        <f t="shared" si="45"/>
        <v>43</v>
      </c>
      <c r="Z547" s="18">
        <v>46150</v>
      </c>
      <c r="AA547" s="15"/>
      <c r="AB547" s="15"/>
      <c r="AF547" t="str">
        <f t="shared" si="46"/>
        <v>Closed in May</v>
      </c>
    </row>
    <row r="548" spans="1:32" hidden="1">
      <c r="A548" s="6">
        <v>46107</v>
      </c>
      <c r="B548" s="3">
        <v>2026</v>
      </c>
      <c r="C548" s="3" t="s">
        <v>114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43"/>
        <v>24</v>
      </c>
      <c r="R548" s="53" t="str">
        <f t="shared" si="44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73">
        <f t="shared" si="45"/>
        <v>43</v>
      </c>
      <c r="Z548" s="18">
        <v>46150</v>
      </c>
      <c r="AA548" s="15"/>
      <c r="AB548" s="15"/>
      <c r="AF548" t="str">
        <f t="shared" si="46"/>
        <v>Closed in May</v>
      </c>
    </row>
    <row r="549" spans="1:32" hidden="1">
      <c r="A549" s="6">
        <v>46107</v>
      </c>
      <c r="B549" s="3">
        <v>2026</v>
      </c>
      <c r="C549" s="3" t="s">
        <v>114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43"/>
        <v>24</v>
      </c>
      <c r="R549" s="53" t="str">
        <f t="shared" si="44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73">
        <f t="shared" si="45"/>
        <v>43</v>
      </c>
      <c r="Z549" s="18">
        <v>46150</v>
      </c>
      <c r="AA549" s="15"/>
      <c r="AB549" s="15"/>
      <c r="AF549" t="str">
        <f t="shared" si="46"/>
        <v>Closed in May</v>
      </c>
    </row>
    <row r="550" spans="1:32" hidden="1">
      <c r="A550" s="6">
        <v>46107</v>
      </c>
      <c r="B550" s="3">
        <v>2026</v>
      </c>
      <c r="C550" s="3" t="s">
        <v>114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43"/>
        <v>24</v>
      </c>
      <c r="R550" s="53" t="str">
        <f t="shared" si="44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73">
        <f t="shared" si="45"/>
        <v>43</v>
      </c>
      <c r="Z550" s="18">
        <v>46150</v>
      </c>
      <c r="AA550" s="15"/>
      <c r="AB550" s="15"/>
      <c r="AF550" t="str">
        <f t="shared" si="46"/>
        <v>Closed in May</v>
      </c>
    </row>
    <row r="551" spans="1:32" hidden="1">
      <c r="A551" s="6">
        <v>46107</v>
      </c>
      <c r="B551" s="3">
        <v>2026</v>
      </c>
      <c r="C551" s="3" t="s">
        <v>114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47">MID(P551,5,2)</f>
        <v>24</v>
      </c>
      <c r="R551" s="53" t="str">
        <f t="shared" ref="R551:R614" si="48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73">
        <f t="shared" si="45"/>
        <v>43</v>
      </c>
      <c r="Z551" s="18">
        <v>46150</v>
      </c>
      <c r="AA551" s="15"/>
      <c r="AB551" s="15"/>
      <c r="AF551" t="str">
        <f t="shared" si="46"/>
        <v>Closed in May</v>
      </c>
    </row>
    <row r="552" spans="1:32" hidden="1">
      <c r="A552" s="6">
        <v>46107</v>
      </c>
      <c r="B552" s="3">
        <v>2026</v>
      </c>
      <c r="C552" s="3" t="s">
        <v>114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47"/>
        <v>24</v>
      </c>
      <c r="R552" s="53" t="str">
        <f t="shared" si="48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73">
        <f t="shared" si="45"/>
        <v>44</v>
      </c>
      <c r="Z552" s="18">
        <v>46151</v>
      </c>
      <c r="AA552" s="15"/>
      <c r="AB552" s="15"/>
      <c r="AF552" t="str">
        <f t="shared" si="46"/>
        <v>Closed in May</v>
      </c>
    </row>
    <row r="553" spans="1:32" hidden="1">
      <c r="A553" s="6">
        <v>46107</v>
      </c>
      <c r="B553" s="3">
        <v>2026</v>
      </c>
      <c r="C553" s="3" t="s">
        <v>114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47"/>
        <v>24</v>
      </c>
      <c r="R553" s="53" t="str">
        <f t="shared" si="48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73">
        <f t="shared" si="45"/>
        <v>44</v>
      </c>
      <c r="Z553" s="18">
        <v>46151</v>
      </c>
      <c r="AA553" s="15"/>
      <c r="AB553" s="15"/>
      <c r="AF553" t="str">
        <f t="shared" si="46"/>
        <v>Closed in May</v>
      </c>
    </row>
    <row r="554" spans="1:32" hidden="1">
      <c r="A554" s="6">
        <v>46107</v>
      </c>
      <c r="B554" s="3">
        <v>2026</v>
      </c>
      <c r="C554" s="3" t="s">
        <v>114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47"/>
        <v>24</v>
      </c>
      <c r="R554" s="53" t="str">
        <f t="shared" si="48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73">
        <f t="shared" si="45"/>
        <v>44</v>
      </c>
      <c r="Z554" s="18">
        <v>46151</v>
      </c>
      <c r="AA554" s="15"/>
      <c r="AB554" s="15"/>
      <c r="AF554" t="str">
        <f t="shared" si="46"/>
        <v>Closed in May</v>
      </c>
    </row>
    <row r="555" spans="1:32" hidden="1">
      <c r="A555" s="6">
        <v>46107</v>
      </c>
      <c r="B555" s="3">
        <v>2026</v>
      </c>
      <c r="C555" s="3" t="s">
        <v>114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47"/>
        <v>24</v>
      </c>
      <c r="R555" s="53" t="str">
        <f t="shared" si="48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73">
        <f t="shared" si="45"/>
        <v>44</v>
      </c>
      <c r="Z555" s="18">
        <v>46151</v>
      </c>
      <c r="AA555" s="15"/>
      <c r="AB555" s="15"/>
      <c r="AF555" t="str">
        <f t="shared" si="46"/>
        <v>Closed in May</v>
      </c>
    </row>
    <row r="556" spans="1:32" hidden="1">
      <c r="A556" s="6">
        <v>46107</v>
      </c>
      <c r="B556" s="3">
        <v>2026</v>
      </c>
      <c r="C556" s="3" t="s">
        <v>114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47"/>
        <v>24</v>
      </c>
      <c r="R556" s="53" t="str">
        <f t="shared" si="48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73">
        <f t="shared" si="45"/>
        <v>44</v>
      </c>
      <c r="Z556" s="18">
        <v>46151</v>
      </c>
      <c r="AA556" s="15"/>
      <c r="AB556" s="15"/>
      <c r="AF556" t="str">
        <f t="shared" si="46"/>
        <v>Closed in May</v>
      </c>
    </row>
    <row r="557" spans="1:32" hidden="1">
      <c r="A557" s="6">
        <v>46107</v>
      </c>
      <c r="B557" s="3">
        <v>2026</v>
      </c>
      <c r="C557" s="3" t="s">
        <v>114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47"/>
        <v>24</v>
      </c>
      <c r="R557" s="53" t="str">
        <f t="shared" si="48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73">
        <f t="shared" si="45"/>
        <v>44</v>
      </c>
      <c r="Z557" s="18">
        <v>46151</v>
      </c>
      <c r="AA557" s="15"/>
      <c r="AB557" s="15"/>
      <c r="AF557" t="str">
        <f t="shared" si="46"/>
        <v>Closed in May</v>
      </c>
    </row>
    <row r="558" spans="1:32" hidden="1">
      <c r="A558" s="6">
        <v>46107</v>
      </c>
      <c r="B558" s="3">
        <v>2026</v>
      </c>
      <c r="C558" s="3" t="s">
        <v>114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47"/>
        <v>24</v>
      </c>
      <c r="R558" s="53" t="str">
        <f t="shared" si="48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73">
        <f t="shared" si="45"/>
        <v>44</v>
      </c>
      <c r="Z558" s="18">
        <v>46151</v>
      </c>
      <c r="AA558" s="15"/>
      <c r="AB558" s="15"/>
      <c r="AF558" t="str">
        <f t="shared" si="46"/>
        <v>Closed in May</v>
      </c>
    </row>
    <row r="559" spans="1:32" hidden="1">
      <c r="A559" s="6">
        <v>46107</v>
      </c>
      <c r="B559" s="3">
        <v>2026</v>
      </c>
      <c r="C559" s="3" t="s">
        <v>114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47"/>
        <v>24</v>
      </c>
      <c r="R559" s="53" t="str">
        <f t="shared" si="48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73">
        <f t="shared" si="45"/>
        <v>44</v>
      </c>
      <c r="Z559" s="18">
        <v>46151</v>
      </c>
      <c r="AA559" s="15"/>
      <c r="AB559" s="15"/>
      <c r="AF559" t="str">
        <f t="shared" si="46"/>
        <v>Closed in May</v>
      </c>
    </row>
    <row r="560" spans="1:32" hidden="1">
      <c r="A560" s="6">
        <v>46107</v>
      </c>
      <c r="B560" s="3">
        <v>2026</v>
      </c>
      <c r="C560" s="3" t="s">
        <v>114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47"/>
        <v>24</v>
      </c>
      <c r="R560" s="53" t="str">
        <f t="shared" si="48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73">
        <f t="shared" si="45"/>
        <v>44</v>
      </c>
      <c r="Z560" s="18">
        <v>46151</v>
      </c>
      <c r="AA560" s="15"/>
      <c r="AB560" s="15"/>
      <c r="AF560" t="str">
        <f t="shared" si="46"/>
        <v>Closed in May</v>
      </c>
    </row>
    <row r="561" spans="1:32" hidden="1">
      <c r="A561" s="6">
        <v>46107</v>
      </c>
      <c r="B561" s="3">
        <v>2026</v>
      </c>
      <c r="C561" s="3" t="s">
        <v>114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47"/>
        <v>24</v>
      </c>
      <c r="R561" s="53" t="str">
        <f t="shared" si="48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73">
        <f t="shared" si="45"/>
        <v>44</v>
      </c>
      <c r="Z561" s="18">
        <v>46151</v>
      </c>
      <c r="AA561" s="15"/>
      <c r="AB561" s="15"/>
      <c r="AF561" t="str">
        <f t="shared" si="46"/>
        <v>Closed in May</v>
      </c>
    </row>
    <row r="562" spans="1:32" hidden="1">
      <c r="A562" s="6">
        <v>46107</v>
      </c>
      <c r="B562" s="3">
        <v>2026</v>
      </c>
      <c r="C562" s="3" t="s">
        <v>114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47"/>
        <v>24</v>
      </c>
      <c r="R562" s="53" t="str">
        <f t="shared" si="48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73">
        <f t="shared" si="45"/>
        <v>44</v>
      </c>
      <c r="Z562" s="18">
        <v>46151</v>
      </c>
      <c r="AA562" s="15"/>
      <c r="AB562" s="15"/>
      <c r="AF562" t="str">
        <f t="shared" si="46"/>
        <v>Closed in May</v>
      </c>
    </row>
    <row r="563" spans="1:32" hidden="1">
      <c r="A563" s="6">
        <v>46107</v>
      </c>
      <c r="B563" s="3">
        <v>2026</v>
      </c>
      <c r="C563" s="3" t="s">
        <v>114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47"/>
        <v>24</v>
      </c>
      <c r="R563" s="53" t="str">
        <f t="shared" si="48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73">
        <f t="shared" si="45"/>
        <v>44</v>
      </c>
      <c r="Z563" s="18">
        <v>46151</v>
      </c>
      <c r="AA563" s="15"/>
      <c r="AB563" s="15"/>
      <c r="AF563" t="str">
        <f t="shared" si="46"/>
        <v>Closed in May</v>
      </c>
    </row>
    <row r="564" spans="1:32" hidden="1">
      <c r="A564" s="6">
        <v>46107</v>
      </c>
      <c r="B564" s="3">
        <v>2026</v>
      </c>
      <c r="C564" s="3" t="s">
        <v>114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47"/>
        <v>24</v>
      </c>
      <c r="R564" s="53" t="str">
        <f t="shared" si="48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73">
        <f t="shared" si="45"/>
        <v>44</v>
      </c>
      <c r="Z564" s="18">
        <v>46151</v>
      </c>
      <c r="AA564" s="15"/>
      <c r="AB564" s="15"/>
      <c r="AF564" t="str">
        <f t="shared" si="46"/>
        <v>Closed in May</v>
      </c>
    </row>
    <row r="565" spans="1:32" hidden="1">
      <c r="A565" s="6">
        <v>46107</v>
      </c>
      <c r="B565" s="3">
        <v>2026</v>
      </c>
      <c r="C565" s="3" t="s">
        <v>114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47"/>
        <v>24</v>
      </c>
      <c r="R565" s="53" t="str">
        <f t="shared" si="48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73">
        <f t="shared" si="45"/>
        <v>44</v>
      </c>
      <c r="Z565" s="18">
        <v>46151</v>
      </c>
      <c r="AA565" s="15"/>
      <c r="AB565" s="15"/>
      <c r="AF565" t="str">
        <f t="shared" si="46"/>
        <v>Closed in May</v>
      </c>
    </row>
    <row r="566" spans="1:32" hidden="1">
      <c r="A566" s="6">
        <v>46107</v>
      </c>
      <c r="B566" s="3">
        <v>2026</v>
      </c>
      <c r="C566" s="3" t="s">
        <v>114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47"/>
        <v>24</v>
      </c>
      <c r="R566" s="53" t="str">
        <f t="shared" si="48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73">
        <f t="shared" si="45"/>
        <v>44</v>
      </c>
      <c r="Z566" s="18">
        <v>46151</v>
      </c>
      <c r="AA566" s="15"/>
      <c r="AB566" s="15"/>
      <c r="AF566" t="str">
        <f t="shared" si="46"/>
        <v>Closed in May</v>
      </c>
    </row>
    <row r="567" spans="1:32" hidden="1">
      <c r="A567" s="6">
        <v>46107</v>
      </c>
      <c r="B567" s="3">
        <v>2026</v>
      </c>
      <c r="C567" s="3" t="s">
        <v>114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47"/>
        <v>24</v>
      </c>
      <c r="R567" s="53" t="str">
        <f t="shared" si="48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73">
        <f t="shared" si="45"/>
        <v>44</v>
      </c>
      <c r="Z567" s="18">
        <v>46151</v>
      </c>
      <c r="AA567" s="15"/>
      <c r="AB567" s="15"/>
      <c r="AF567" t="str">
        <f t="shared" si="46"/>
        <v>Closed in May</v>
      </c>
    </row>
    <row r="568" spans="1:32" hidden="1">
      <c r="A568" s="6">
        <v>46107</v>
      </c>
      <c r="B568" s="3">
        <v>2026</v>
      </c>
      <c r="C568" s="3" t="s">
        <v>114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47"/>
        <v>24</v>
      </c>
      <c r="R568" s="53" t="str">
        <f t="shared" si="48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73">
        <f t="shared" si="45"/>
        <v>44</v>
      </c>
      <c r="Z568" s="18">
        <v>46151</v>
      </c>
      <c r="AA568" s="15"/>
      <c r="AB568" s="15"/>
      <c r="AF568" t="str">
        <f t="shared" si="46"/>
        <v>Closed in May</v>
      </c>
    </row>
    <row r="569" spans="1:32" hidden="1">
      <c r="A569" s="6">
        <v>46107</v>
      </c>
      <c r="B569" s="3">
        <v>2026</v>
      </c>
      <c r="C569" s="3" t="s">
        <v>114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47"/>
        <v>24</v>
      </c>
      <c r="R569" s="53" t="str">
        <f t="shared" si="48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73">
        <f t="shared" si="45"/>
        <v>44</v>
      </c>
      <c r="Z569" s="18">
        <v>46151</v>
      </c>
      <c r="AA569" s="15"/>
      <c r="AB569" s="15"/>
      <c r="AF569" t="str">
        <f t="shared" si="46"/>
        <v>Closed in May</v>
      </c>
    </row>
    <row r="570" spans="1:32" hidden="1">
      <c r="A570" s="6">
        <v>46107</v>
      </c>
      <c r="B570" s="3">
        <v>2026</v>
      </c>
      <c r="C570" s="3" t="s">
        <v>114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47"/>
        <v>24</v>
      </c>
      <c r="R570" s="53" t="str">
        <f t="shared" si="48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73">
        <f t="shared" si="45"/>
        <v>44</v>
      </c>
      <c r="Z570" s="18">
        <v>46151</v>
      </c>
      <c r="AA570" s="15"/>
      <c r="AB570" s="15"/>
      <c r="AF570" t="str">
        <f t="shared" si="46"/>
        <v>Closed in May</v>
      </c>
    </row>
    <row r="571" spans="1:32" hidden="1">
      <c r="A571" s="6">
        <v>46107</v>
      </c>
      <c r="B571" s="3">
        <v>2026</v>
      </c>
      <c r="C571" s="3" t="s">
        <v>114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47"/>
        <v>24</v>
      </c>
      <c r="R571" s="53" t="str">
        <f t="shared" si="48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73">
        <f t="shared" si="45"/>
        <v>44</v>
      </c>
      <c r="Z571" s="18">
        <v>46151</v>
      </c>
      <c r="AA571" s="15"/>
      <c r="AB571" s="15"/>
      <c r="AF571" t="str">
        <f t="shared" si="46"/>
        <v>Closed in May</v>
      </c>
    </row>
    <row r="572" spans="1:32" hidden="1">
      <c r="A572" s="6">
        <v>46107</v>
      </c>
      <c r="B572" s="3">
        <v>2026</v>
      </c>
      <c r="C572" s="3" t="s">
        <v>114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47"/>
        <v>24</v>
      </c>
      <c r="R572" s="53" t="str">
        <f t="shared" si="48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73">
        <f t="shared" si="45"/>
        <v>44</v>
      </c>
      <c r="Z572" s="18">
        <v>46151</v>
      </c>
      <c r="AA572" s="15"/>
      <c r="AB572" s="15"/>
      <c r="AF572" t="str">
        <f t="shared" si="46"/>
        <v>Closed in May</v>
      </c>
    </row>
    <row r="573" spans="1:32" hidden="1">
      <c r="A573" s="6">
        <v>46107</v>
      </c>
      <c r="B573" s="3">
        <v>2026</v>
      </c>
      <c r="C573" s="3" t="s">
        <v>114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47"/>
        <v>24</v>
      </c>
      <c r="R573" s="53" t="str">
        <f t="shared" si="48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73">
        <f t="shared" si="45"/>
        <v>44</v>
      </c>
      <c r="Z573" s="18">
        <v>46151</v>
      </c>
      <c r="AA573" s="15"/>
      <c r="AB573" s="15"/>
      <c r="AF573" t="str">
        <f t="shared" si="46"/>
        <v>Closed in May</v>
      </c>
    </row>
    <row r="574" spans="1:32" hidden="1">
      <c r="A574" s="6">
        <v>46107</v>
      </c>
      <c r="B574" s="3">
        <v>2026</v>
      </c>
      <c r="C574" s="3" t="s">
        <v>114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47"/>
        <v>24</v>
      </c>
      <c r="R574" s="53" t="str">
        <f t="shared" si="48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73">
        <f t="shared" si="45"/>
        <v>44</v>
      </c>
      <c r="Z574" s="18">
        <v>46151</v>
      </c>
      <c r="AA574" s="15"/>
      <c r="AB574" s="15"/>
      <c r="AF574" t="str">
        <f t="shared" si="46"/>
        <v>Closed in May</v>
      </c>
    </row>
    <row r="575" spans="1:32" hidden="1">
      <c r="A575" s="6">
        <v>46107</v>
      </c>
      <c r="B575" s="3">
        <v>2026</v>
      </c>
      <c r="C575" s="3" t="s">
        <v>114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47"/>
        <v>24</v>
      </c>
      <c r="R575" s="53" t="str">
        <f t="shared" si="48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73">
        <f t="shared" si="45"/>
        <v>44</v>
      </c>
      <c r="Z575" s="18">
        <v>46151</v>
      </c>
      <c r="AA575" s="15"/>
      <c r="AB575" s="15"/>
      <c r="AF575" t="str">
        <f t="shared" si="46"/>
        <v>Closed in May</v>
      </c>
    </row>
    <row r="576" spans="1:32" hidden="1">
      <c r="A576" s="6">
        <v>46107</v>
      </c>
      <c r="B576" s="3">
        <v>2026</v>
      </c>
      <c r="C576" s="3" t="s">
        <v>114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47"/>
        <v>24</v>
      </c>
      <c r="R576" s="53" t="str">
        <f t="shared" si="48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73">
        <f t="shared" si="45"/>
        <v>44</v>
      </c>
      <c r="Z576" s="18">
        <v>46151</v>
      </c>
      <c r="AA576" s="15"/>
      <c r="AB576" s="15"/>
      <c r="AF576" t="str">
        <f t="shared" si="46"/>
        <v>Closed in May</v>
      </c>
    </row>
    <row r="577" spans="1:32" hidden="1">
      <c r="A577" s="6">
        <v>46107</v>
      </c>
      <c r="B577" s="3">
        <v>2026</v>
      </c>
      <c r="C577" s="3" t="s">
        <v>114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47"/>
        <v>24</v>
      </c>
      <c r="R577" s="53" t="str">
        <f t="shared" si="48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73">
        <f t="shared" si="45"/>
        <v>44</v>
      </c>
      <c r="Z577" s="18">
        <v>46151</v>
      </c>
      <c r="AA577" s="15"/>
      <c r="AB577" s="15"/>
      <c r="AF577" t="str">
        <f t="shared" si="46"/>
        <v>Closed in May</v>
      </c>
    </row>
    <row r="578" spans="1:32" hidden="1">
      <c r="A578" s="6">
        <v>46107</v>
      </c>
      <c r="B578" s="3">
        <v>2026</v>
      </c>
      <c r="C578" s="3" t="s">
        <v>114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47"/>
        <v>24</v>
      </c>
      <c r="R578" s="53" t="str">
        <f t="shared" si="48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73">
        <f t="shared" ref="Y578:Y641" si="49">IF(X578="","",X578-A578)</f>
        <v>44</v>
      </c>
      <c r="Z578" s="18">
        <v>46151</v>
      </c>
      <c r="AA578" s="15"/>
      <c r="AB578" s="15"/>
      <c r="AF578" t="str">
        <f t="shared" ref="AF578:AF641" si="50">IF(AND($F578="Closed",$X578&gt;=DATE(2026,5,1),$X578&lt;=DATE(2026,5,31)),"Closed in May","Other")</f>
        <v>Closed in May</v>
      </c>
    </row>
    <row r="579" spans="1:32" hidden="1">
      <c r="A579" s="6">
        <v>46107</v>
      </c>
      <c r="B579" s="3">
        <v>2026</v>
      </c>
      <c r="C579" s="3" t="s">
        <v>114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47"/>
        <v>24</v>
      </c>
      <c r="R579" s="53" t="str">
        <f t="shared" si="48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73">
        <f t="shared" si="49"/>
        <v>44</v>
      </c>
      <c r="Z579" s="18">
        <v>46151</v>
      </c>
      <c r="AA579" s="15"/>
      <c r="AB579" s="15"/>
      <c r="AF579" t="str">
        <f t="shared" si="50"/>
        <v>Closed in May</v>
      </c>
    </row>
    <row r="580" spans="1:32" hidden="1">
      <c r="A580" s="6">
        <v>46107</v>
      </c>
      <c r="B580" s="3">
        <v>2026</v>
      </c>
      <c r="C580" s="3" t="s">
        <v>114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47"/>
        <v>24</v>
      </c>
      <c r="R580" s="53" t="str">
        <f t="shared" si="48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73">
        <f t="shared" si="49"/>
        <v>44</v>
      </c>
      <c r="Z580" s="18">
        <v>46151</v>
      </c>
      <c r="AA580" s="15"/>
      <c r="AB580" s="15"/>
      <c r="AF580" t="str">
        <f t="shared" si="50"/>
        <v>Closed in May</v>
      </c>
    </row>
    <row r="581" spans="1:32" hidden="1">
      <c r="A581" s="6">
        <v>46107</v>
      </c>
      <c r="B581" s="3">
        <v>2026</v>
      </c>
      <c r="C581" s="3" t="s">
        <v>114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47"/>
        <v>24</v>
      </c>
      <c r="R581" s="53" t="str">
        <f t="shared" si="48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73">
        <f t="shared" si="49"/>
        <v>44</v>
      </c>
      <c r="Z581" s="18">
        <v>46151</v>
      </c>
      <c r="AA581" s="15"/>
      <c r="AB581" s="15"/>
      <c r="AF581" t="str">
        <f t="shared" si="50"/>
        <v>Closed in May</v>
      </c>
    </row>
    <row r="582" spans="1:32" hidden="1">
      <c r="A582" s="6">
        <v>46107</v>
      </c>
      <c r="B582" s="3">
        <v>2026</v>
      </c>
      <c r="C582" s="3" t="s">
        <v>114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47"/>
        <v>24</v>
      </c>
      <c r="R582" s="53" t="str">
        <f t="shared" si="48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73">
        <f t="shared" si="49"/>
        <v>44</v>
      </c>
      <c r="Z582" s="18">
        <v>46151</v>
      </c>
      <c r="AA582" s="15"/>
      <c r="AB582" s="15"/>
      <c r="AF582" t="str">
        <f t="shared" si="50"/>
        <v>Closed in May</v>
      </c>
    </row>
    <row r="583" spans="1:32" hidden="1">
      <c r="A583" s="6">
        <v>46107</v>
      </c>
      <c r="B583" s="3">
        <v>2026</v>
      </c>
      <c r="C583" s="3" t="s">
        <v>114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47"/>
        <v>24</v>
      </c>
      <c r="R583" s="53" t="str">
        <f t="shared" si="48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73">
        <f t="shared" si="49"/>
        <v>44</v>
      </c>
      <c r="Z583" s="18">
        <v>46151</v>
      </c>
      <c r="AA583" s="15"/>
      <c r="AB583" s="15"/>
      <c r="AF583" t="str">
        <f t="shared" si="50"/>
        <v>Closed in May</v>
      </c>
    </row>
    <row r="584" spans="1:32" hidden="1">
      <c r="A584" s="6">
        <v>46107</v>
      </c>
      <c r="B584" s="3">
        <v>2026</v>
      </c>
      <c r="C584" s="3" t="s">
        <v>114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47"/>
        <v>24</v>
      </c>
      <c r="R584" s="53" t="str">
        <f t="shared" si="48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73">
        <f t="shared" si="49"/>
        <v>44</v>
      </c>
      <c r="Z584" s="18">
        <v>46151</v>
      </c>
      <c r="AA584" s="15"/>
      <c r="AB584" s="15"/>
      <c r="AF584" t="str">
        <f t="shared" si="50"/>
        <v>Closed in May</v>
      </c>
    </row>
    <row r="585" spans="1:32" hidden="1">
      <c r="A585" s="6">
        <v>46107</v>
      </c>
      <c r="B585" s="3">
        <v>2026</v>
      </c>
      <c r="C585" s="3" t="s">
        <v>114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47"/>
        <v>24</v>
      </c>
      <c r="R585" s="53" t="str">
        <f t="shared" si="48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73">
        <f t="shared" si="49"/>
        <v>44</v>
      </c>
      <c r="Z585" s="18">
        <v>46151</v>
      </c>
      <c r="AA585" s="15"/>
      <c r="AB585" s="15"/>
      <c r="AF585" t="str">
        <f t="shared" si="50"/>
        <v>Closed in May</v>
      </c>
    </row>
    <row r="586" spans="1:32" hidden="1">
      <c r="A586" s="6">
        <v>46107</v>
      </c>
      <c r="B586" s="3">
        <v>2026</v>
      </c>
      <c r="C586" s="3" t="s">
        <v>114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47"/>
        <v>24</v>
      </c>
      <c r="R586" s="53" t="str">
        <f t="shared" si="48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73">
        <f t="shared" si="49"/>
        <v>44</v>
      </c>
      <c r="Z586" s="18">
        <v>46151</v>
      </c>
      <c r="AA586" s="15"/>
      <c r="AB586" s="15"/>
      <c r="AF586" t="str">
        <f t="shared" si="50"/>
        <v>Closed in May</v>
      </c>
    </row>
    <row r="587" spans="1:32" hidden="1">
      <c r="A587" s="6">
        <v>46107</v>
      </c>
      <c r="B587" s="3">
        <v>2026</v>
      </c>
      <c r="C587" s="3" t="s">
        <v>114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47"/>
        <v>24</v>
      </c>
      <c r="R587" s="53" t="str">
        <f t="shared" si="48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73">
        <f t="shared" si="49"/>
        <v>44</v>
      </c>
      <c r="Z587" s="18">
        <v>46151</v>
      </c>
      <c r="AA587" s="15"/>
      <c r="AB587" s="15"/>
      <c r="AF587" t="str">
        <f t="shared" si="50"/>
        <v>Closed in May</v>
      </c>
    </row>
    <row r="588" spans="1:32" hidden="1">
      <c r="A588" s="6">
        <v>46107</v>
      </c>
      <c r="B588" s="3">
        <v>2026</v>
      </c>
      <c r="C588" s="3" t="s">
        <v>114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47"/>
        <v>24</v>
      </c>
      <c r="R588" s="53" t="str">
        <f t="shared" si="48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73">
        <f t="shared" si="49"/>
        <v>44</v>
      </c>
      <c r="Z588" s="18">
        <v>46151</v>
      </c>
      <c r="AA588" s="15"/>
      <c r="AB588" s="15"/>
      <c r="AF588" t="str">
        <f t="shared" si="50"/>
        <v>Closed in May</v>
      </c>
    </row>
    <row r="589" spans="1:32" hidden="1">
      <c r="A589" s="6">
        <v>46107</v>
      </c>
      <c r="B589" s="3">
        <v>2026</v>
      </c>
      <c r="C589" s="3" t="s">
        <v>114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47"/>
        <v>24</v>
      </c>
      <c r="R589" s="53" t="str">
        <f t="shared" si="48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73">
        <f t="shared" si="49"/>
        <v>44</v>
      </c>
      <c r="Z589" s="18">
        <v>46151</v>
      </c>
      <c r="AA589" s="15"/>
      <c r="AB589" s="15"/>
      <c r="AF589" t="str">
        <f t="shared" si="50"/>
        <v>Closed in May</v>
      </c>
    </row>
    <row r="590" spans="1:32" hidden="1">
      <c r="A590" s="6">
        <v>46107</v>
      </c>
      <c r="B590" s="3">
        <v>2026</v>
      </c>
      <c r="C590" s="3" t="s">
        <v>114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47"/>
        <v>24</v>
      </c>
      <c r="R590" s="53" t="str">
        <f t="shared" si="48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73">
        <f t="shared" si="49"/>
        <v>44</v>
      </c>
      <c r="Z590" s="18">
        <v>46151</v>
      </c>
      <c r="AA590" s="15"/>
      <c r="AB590" s="15"/>
      <c r="AF590" t="str">
        <f t="shared" si="50"/>
        <v>Closed in May</v>
      </c>
    </row>
    <row r="591" spans="1:32" hidden="1">
      <c r="A591" s="6">
        <v>46107</v>
      </c>
      <c r="B591" s="3">
        <v>2026</v>
      </c>
      <c r="C591" s="3" t="s">
        <v>114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47"/>
        <v>24</v>
      </c>
      <c r="R591" s="53" t="str">
        <f t="shared" si="48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73">
        <f t="shared" si="49"/>
        <v>44</v>
      </c>
      <c r="Z591" s="18">
        <v>46151</v>
      </c>
      <c r="AA591" s="15"/>
      <c r="AB591" s="15"/>
      <c r="AF591" t="str">
        <f t="shared" si="50"/>
        <v>Closed in May</v>
      </c>
    </row>
    <row r="592" spans="1:32" hidden="1">
      <c r="A592" s="6">
        <v>46107</v>
      </c>
      <c r="B592" s="3">
        <v>2026</v>
      </c>
      <c r="C592" s="3" t="s">
        <v>114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47"/>
        <v>24</v>
      </c>
      <c r="R592" s="53" t="str">
        <f t="shared" si="48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73">
        <f t="shared" si="49"/>
        <v>44</v>
      </c>
      <c r="Z592" s="18">
        <v>46151</v>
      </c>
      <c r="AA592" s="15"/>
      <c r="AB592" s="15"/>
      <c r="AF592" t="str">
        <f t="shared" si="50"/>
        <v>Closed in May</v>
      </c>
    </row>
    <row r="593" spans="1:32" hidden="1">
      <c r="A593" s="6">
        <v>46107</v>
      </c>
      <c r="B593" s="3">
        <v>2026</v>
      </c>
      <c r="C593" s="3" t="s">
        <v>114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47"/>
        <v>24</v>
      </c>
      <c r="R593" s="53" t="str">
        <f t="shared" si="48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73">
        <f t="shared" si="49"/>
        <v>44</v>
      </c>
      <c r="Z593" s="18">
        <v>46151</v>
      </c>
      <c r="AA593" s="15"/>
      <c r="AB593" s="15"/>
      <c r="AF593" t="str">
        <f t="shared" si="50"/>
        <v>Closed in May</v>
      </c>
    </row>
    <row r="594" spans="1:32" hidden="1">
      <c r="A594" s="6">
        <v>46107</v>
      </c>
      <c r="B594" s="3">
        <v>2026</v>
      </c>
      <c r="C594" s="3" t="s">
        <v>114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47"/>
        <v>24</v>
      </c>
      <c r="R594" s="53" t="str">
        <f t="shared" si="48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73">
        <f t="shared" si="49"/>
        <v>44</v>
      </c>
      <c r="Z594" s="18">
        <v>46151</v>
      </c>
      <c r="AA594" s="15"/>
      <c r="AB594" s="15"/>
      <c r="AF594" t="str">
        <f t="shared" si="50"/>
        <v>Closed in May</v>
      </c>
    </row>
    <row r="595" spans="1:32" hidden="1">
      <c r="A595" s="6">
        <v>46107</v>
      </c>
      <c r="B595" s="3">
        <v>2026</v>
      </c>
      <c r="C595" s="3" t="s">
        <v>114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47"/>
        <v>24</v>
      </c>
      <c r="R595" s="53" t="str">
        <f t="shared" si="48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73">
        <f t="shared" si="49"/>
        <v>44</v>
      </c>
      <c r="Z595" s="18">
        <v>46151</v>
      </c>
      <c r="AA595" s="15"/>
      <c r="AB595" s="15"/>
      <c r="AF595" t="str">
        <f t="shared" si="50"/>
        <v>Closed in May</v>
      </c>
    </row>
    <row r="596" spans="1:32" hidden="1">
      <c r="A596" s="6">
        <v>46107</v>
      </c>
      <c r="B596" s="3">
        <v>2026</v>
      </c>
      <c r="C596" s="3" t="s">
        <v>114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47"/>
        <v>24</v>
      </c>
      <c r="R596" s="53" t="str">
        <f t="shared" si="48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73">
        <f t="shared" si="49"/>
        <v>44</v>
      </c>
      <c r="Z596" s="18">
        <v>46151</v>
      </c>
      <c r="AA596" s="15"/>
      <c r="AB596" s="15"/>
      <c r="AF596" t="str">
        <f t="shared" si="50"/>
        <v>Closed in May</v>
      </c>
    </row>
    <row r="597" spans="1:32" hidden="1">
      <c r="A597" s="6">
        <v>46107</v>
      </c>
      <c r="B597" s="3">
        <v>2026</v>
      </c>
      <c r="C597" s="3" t="s">
        <v>114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47"/>
        <v>24</v>
      </c>
      <c r="R597" s="53" t="str">
        <f t="shared" si="48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73">
        <f t="shared" si="49"/>
        <v>44</v>
      </c>
      <c r="Z597" s="18">
        <v>46151</v>
      </c>
      <c r="AA597" s="15"/>
      <c r="AB597" s="15"/>
      <c r="AF597" t="str">
        <f t="shared" si="50"/>
        <v>Closed in May</v>
      </c>
    </row>
    <row r="598" spans="1:32" hidden="1">
      <c r="A598" s="6">
        <v>46107</v>
      </c>
      <c r="B598" s="3">
        <v>2026</v>
      </c>
      <c r="C598" s="3" t="s">
        <v>114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47"/>
        <v>24</v>
      </c>
      <c r="R598" s="53" t="str">
        <f t="shared" si="48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73">
        <f t="shared" si="49"/>
        <v>44</v>
      </c>
      <c r="Z598" s="18">
        <v>46151</v>
      </c>
      <c r="AA598" s="15"/>
      <c r="AB598" s="15"/>
      <c r="AF598" t="str">
        <f t="shared" si="50"/>
        <v>Closed in May</v>
      </c>
    </row>
    <row r="599" spans="1:32" hidden="1">
      <c r="A599" s="6">
        <v>46107</v>
      </c>
      <c r="B599" s="3">
        <v>2026</v>
      </c>
      <c r="C599" s="3" t="s">
        <v>114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47"/>
        <v>24</v>
      </c>
      <c r="R599" s="53" t="str">
        <f t="shared" si="48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73">
        <f t="shared" si="49"/>
        <v>44</v>
      </c>
      <c r="Z599" s="18">
        <v>46151</v>
      </c>
      <c r="AA599" s="15"/>
      <c r="AB599" s="15"/>
      <c r="AF599" t="str">
        <f t="shared" si="50"/>
        <v>Closed in May</v>
      </c>
    </row>
    <row r="600" spans="1:32" hidden="1">
      <c r="A600" s="6">
        <v>46107</v>
      </c>
      <c r="B600" s="3">
        <v>2026</v>
      </c>
      <c r="C600" s="3" t="s">
        <v>114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47"/>
        <v>24</v>
      </c>
      <c r="R600" s="53" t="str">
        <f t="shared" si="48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73">
        <f t="shared" si="49"/>
        <v>44</v>
      </c>
      <c r="Z600" s="18">
        <v>46151</v>
      </c>
      <c r="AA600" s="15"/>
      <c r="AB600" s="15"/>
      <c r="AF600" t="str">
        <f t="shared" si="50"/>
        <v>Closed in May</v>
      </c>
    </row>
    <row r="601" spans="1:32" hidden="1">
      <c r="A601" s="6">
        <v>46107</v>
      </c>
      <c r="B601" s="3">
        <v>2026</v>
      </c>
      <c r="C601" s="3" t="s">
        <v>114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47"/>
        <v>24</v>
      </c>
      <c r="R601" s="53" t="str">
        <f t="shared" si="48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73">
        <f t="shared" si="49"/>
        <v>44</v>
      </c>
      <c r="Z601" s="18">
        <v>46151</v>
      </c>
      <c r="AA601" s="15"/>
      <c r="AB601" s="15"/>
      <c r="AF601" t="str">
        <f t="shared" si="50"/>
        <v>Closed in May</v>
      </c>
    </row>
    <row r="602" spans="1:32" hidden="1">
      <c r="A602" s="6">
        <v>46107</v>
      </c>
      <c r="B602" s="3">
        <v>2026</v>
      </c>
      <c r="C602" s="3" t="s">
        <v>114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47"/>
        <v>24</v>
      </c>
      <c r="R602" s="53" t="str">
        <f t="shared" si="48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73">
        <f t="shared" si="49"/>
        <v>44</v>
      </c>
      <c r="Z602" s="18">
        <v>46151</v>
      </c>
      <c r="AA602" s="15"/>
      <c r="AB602" s="15"/>
      <c r="AF602" t="str">
        <f t="shared" si="50"/>
        <v>Closed in May</v>
      </c>
    </row>
    <row r="603" spans="1:32" hidden="1">
      <c r="A603" s="6">
        <v>46107</v>
      </c>
      <c r="B603" s="3">
        <v>2026</v>
      </c>
      <c r="C603" s="3" t="s">
        <v>114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47"/>
        <v>24</v>
      </c>
      <c r="R603" s="53" t="str">
        <f t="shared" si="48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73">
        <f t="shared" si="49"/>
        <v>44</v>
      </c>
      <c r="Z603" s="18">
        <v>46151</v>
      </c>
      <c r="AA603" s="15"/>
      <c r="AB603" s="15"/>
      <c r="AF603" t="str">
        <f t="shared" si="50"/>
        <v>Closed in May</v>
      </c>
    </row>
    <row r="604" spans="1:32" hidden="1">
      <c r="A604" s="6">
        <v>46107</v>
      </c>
      <c r="B604" s="3">
        <v>2026</v>
      </c>
      <c r="C604" s="3" t="s">
        <v>114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47"/>
        <v>24</v>
      </c>
      <c r="R604" s="53" t="str">
        <f t="shared" si="48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73">
        <f t="shared" si="49"/>
        <v>44</v>
      </c>
      <c r="Z604" s="18">
        <v>46151</v>
      </c>
      <c r="AA604" s="15"/>
      <c r="AB604" s="15"/>
      <c r="AF604" t="str">
        <f t="shared" si="50"/>
        <v>Closed in May</v>
      </c>
    </row>
    <row r="605" spans="1:32" hidden="1">
      <c r="A605" s="6">
        <v>46107</v>
      </c>
      <c r="B605" s="3">
        <v>2026</v>
      </c>
      <c r="C605" s="3" t="s">
        <v>114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47"/>
        <v>24</v>
      </c>
      <c r="R605" s="53" t="str">
        <f t="shared" si="48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73">
        <f t="shared" si="49"/>
        <v>44</v>
      </c>
      <c r="Z605" s="18">
        <v>46151</v>
      </c>
      <c r="AA605" s="15"/>
      <c r="AB605" s="15"/>
      <c r="AF605" t="str">
        <f t="shared" si="50"/>
        <v>Closed in May</v>
      </c>
    </row>
    <row r="606" spans="1:32" hidden="1">
      <c r="A606" s="6">
        <v>46107</v>
      </c>
      <c r="B606" s="3">
        <v>2026</v>
      </c>
      <c r="C606" s="3" t="s">
        <v>114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47"/>
        <v>24</v>
      </c>
      <c r="R606" s="53" t="str">
        <f t="shared" si="48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73">
        <f t="shared" si="49"/>
        <v>44</v>
      </c>
      <c r="Z606" s="18">
        <v>46151</v>
      </c>
      <c r="AA606" s="15"/>
      <c r="AB606" s="15"/>
      <c r="AF606" t="str">
        <f t="shared" si="50"/>
        <v>Closed in May</v>
      </c>
    </row>
    <row r="607" spans="1:32" hidden="1">
      <c r="A607" s="6">
        <v>46107</v>
      </c>
      <c r="B607" s="3">
        <v>2026</v>
      </c>
      <c r="C607" s="3" t="s">
        <v>114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47"/>
        <v>24</v>
      </c>
      <c r="R607" s="53" t="str">
        <f t="shared" si="48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73">
        <f t="shared" si="49"/>
        <v>44</v>
      </c>
      <c r="Z607" s="18">
        <v>46151</v>
      </c>
      <c r="AA607" s="15"/>
      <c r="AB607" s="15"/>
      <c r="AF607" t="str">
        <f t="shared" si="50"/>
        <v>Closed in May</v>
      </c>
    </row>
    <row r="608" spans="1:32" hidden="1">
      <c r="A608" s="6">
        <v>46107</v>
      </c>
      <c r="B608" s="3">
        <v>2026</v>
      </c>
      <c r="C608" s="3" t="s">
        <v>114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47"/>
        <v>24</v>
      </c>
      <c r="R608" s="53" t="str">
        <f t="shared" si="48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73">
        <f t="shared" si="49"/>
        <v>44</v>
      </c>
      <c r="Z608" s="18">
        <v>46151</v>
      </c>
      <c r="AA608" s="15"/>
      <c r="AB608" s="15"/>
      <c r="AF608" t="str">
        <f t="shared" si="50"/>
        <v>Closed in May</v>
      </c>
    </row>
    <row r="609" spans="1:32" hidden="1">
      <c r="A609" s="6">
        <v>46107</v>
      </c>
      <c r="B609" s="3">
        <v>2026</v>
      </c>
      <c r="C609" s="3" t="s">
        <v>114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47"/>
        <v>24</v>
      </c>
      <c r="R609" s="53" t="str">
        <f t="shared" si="48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73">
        <f t="shared" si="49"/>
        <v>44</v>
      </c>
      <c r="Z609" s="18">
        <v>46151</v>
      </c>
      <c r="AA609" s="15"/>
      <c r="AB609" s="15"/>
      <c r="AF609" t="str">
        <f t="shared" si="50"/>
        <v>Closed in May</v>
      </c>
    </row>
    <row r="610" spans="1:32" hidden="1">
      <c r="A610" s="6">
        <v>46107</v>
      </c>
      <c r="B610" s="3">
        <v>2026</v>
      </c>
      <c r="C610" s="3" t="s">
        <v>114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47"/>
        <v>24</v>
      </c>
      <c r="R610" s="53" t="str">
        <f t="shared" si="48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73">
        <f t="shared" si="49"/>
        <v>44</v>
      </c>
      <c r="Z610" s="18">
        <v>46151</v>
      </c>
      <c r="AA610" s="15"/>
      <c r="AB610" s="15"/>
      <c r="AF610" t="str">
        <f t="shared" si="50"/>
        <v>Closed in May</v>
      </c>
    </row>
    <row r="611" spans="1:32" hidden="1">
      <c r="A611" s="6">
        <v>46107</v>
      </c>
      <c r="B611" s="3">
        <v>2026</v>
      </c>
      <c r="C611" s="3" t="s">
        <v>114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47"/>
        <v>24</v>
      </c>
      <c r="R611" s="53" t="str">
        <f t="shared" si="48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73">
        <f t="shared" si="49"/>
        <v>44</v>
      </c>
      <c r="Z611" s="18">
        <v>46151</v>
      </c>
      <c r="AA611" s="15"/>
      <c r="AB611" s="15"/>
      <c r="AF611" t="str">
        <f t="shared" si="50"/>
        <v>Closed in May</v>
      </c>
    </row>
    <row r="612" spans="1:32" hidden="1">
      <c r="A612" s="6">
        <v>46107</v>
      </c>
      <c r="B612" s="3">
        <v>2026</v>
      </c>
      <c r="C612" s="3" t="s">
        <v>114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47"/>
        <v>24</v>
      </c>
      <c r="R612" s="53" t="str">
        <f t="shared" si="48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73">
        <f t="shared" si="49"/>
        <v>44</v>
      </c>
      <c r="Z612" s="18">
        <v>46151</v>
      </c>
      <c r="AA612" s="15"/>
      <c r="AB612" s="15"/>
      <c r="AF612" t="str">
        <f t="shared" si="50"/>
        <v>Closed in May</v>
      </c>
    </row>
    <row r="613" spans="1:32" hidden="1">
      <c r="A613" s="6">
        <v>46107</v>
      </c>
      <c r="B613" s="3">
        <v>2026</v>
      </c>
      <c r="C613" s="3" t="s">
        <v>114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47"/>
        <v>24</v>
      </c>
      <c r="R613" s="53" t="str">
        <f t="shared" si="48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73">
        <f t="shared" si="49"/>
        <v>44</v>
      </c>
      <c r="Z613" s="18">
        <v>46151</v>
      </c>
      <c r="AA613" s="15"/>
      <c r="AB613" s="15"/>
      <c r="AF613" t="str">
        <f t="shared" si="50"/>
        <v>Closed in May</v>
      </c>
    </row>
    <row r="614" spans="1:32" hidden="1">
      <c r="A614" s="6">
        <v>46107</v>
      </c>
      <c r="B614" s="3">
        <v>2026</v>
      </c>
      <c r="C614" s="3" t="s">
        <v>114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47"/>
        <v>24</v>
      </c>
      <c r="R614" s="53" t="str">
        <f t="shared" si="48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73">
        <f t="shared" si="49"/>
        <v>44</v>
      </c>
      <c r="Z614" s="18">
        <v>46151</v>
      </c>
      <c r="AA614" s="15"/>
      <c r="AB614" s="15"/>
      <c r="AF614" t="str">
        <f t="shared" si="50"/>
        <v>Closed in May</v>
      </c>
    </row>
    <row r="615" spans="1:32" hidden="1">
      <c r="A615" s="6">
        <v>46107</v>
      </c>
      <c r="B615" s="3">
        <v>2026</v>
      </c>
      <c r="C615" s="3" t="s">
        <v>114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51">MID(P615,5,2)</f>
        <v>24</v>
      </c>
      <c r="R615" s="53" t="str">
        <f t="shared" ref="R615:R678" si="52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73">
        <f t="shared" si="49"/>
        <v>44</v>
      </c>
      <c r="Z615" s="18">
        <v>46151</v>
      </c>
      <c r="AA615" s="15"/>
      <c r="AB615" s="15"/>
      <c r="AF615" t="str">
        <f t="shared" si="50"/>
        <v>Closed in May</v>
      </c>
    </row>
    <row r="616" spans="1:32" hidden="1">
      <c r="A616" s="6">
        <v>46107</v>
      </c>
      <c r="B616" s="3">
        <v>2026</v>
      </c>
      <c r="C616" s="3" t="s">
        <v>114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51"/>
        <v>24</v>
      </c>
      <c r="R616" s="53" t="str">
        <f t="shared" si="52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73">
        <f t="shared" si="49"/>
        <v>44</v>
      </c>
      <c r="Z616" s="18">
        <v>46151</v>
      </c>
      <c r="AA616" s="15"/>
      <c r="AB616" s="15"/>
      <c r="AF616" t="str">
        <f t="shared" si="50"/>
        <v>Closed in May</v>
      </c>
    </row>
    <row r="617" spans="1:32" hidden="1">
      <c r="A617" s="6">
        <v>46107</v>
      </c>
      <c r="B617" s="3">
        <v>2026</v>
      </c>
      <c r="C617" s="3" t="s">
        <v>114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51"/>
        <v>24</v>
      </c>
      <c r="R617" s="53" t="str">
        <f t="shared" si="52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73">
        <f t="shared" si="49"/>
        <v>44</v>
      </c>
      <c r="Z617" s="18">
        <v>46151</v>
      </c>
      <c r="AA617" s="15"/>
      <c r="AB617" s="15"/>
      <c r="AF617" t="str">
        <f t="shared" si="50"/>
        <v>Closed in May</v>
      </c>
    </row>
    <row r="618" spans="1:32" hidden="1">
      <c r="A618" s="6">
        <v>46107</v>
      </c>
      <c r="B618" s="3">
        <v>2026</v>
      </c>
      <c r="C618" s="3" t="s">
        <v>114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51"/>
        <v>24</v>
      </c>
      <c r="R618" s="53" t="str">
        <f t="shared" si="52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73">
        <f t="shared" si="49"/>
        <v>44</v>
      </c>
      <c r="Z618" s="18">
        <v>46151</v>
      </c>
      <c r="AA618" s="15"/>
      <c r="AB618" s="15"/>
      <c r="AF618" t="str">
        <f t="shared" si="50"/>
        <v>Closed in May</v>
      </c>
    </row>
    <row r="619" spans="1:32" hidden="1">
      <c r="A619" s="6">
        <v>46107</v>
      </c>
      <c r="B619" s="3">
        <v>2026</v>
      </c>
      <c r="C619" s="3" t="s">
        <v>114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51"/>
        <v>24</v>
      </c>
      <c r="R619" s="53" t="str">
        <f t="shared" si="52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73">
        <f t="shared" si="49"/>
        <v>44</v>
      </c>
      <c r="Z619" s="18">
        <v>46151</v>
      </c>
      <c r="AA619" s="15"/>
      <c r="AB619" s="15"/>
      <c r="AF619" t="str">
        <f t="shared" si="50"/>
        <v>Closed in May</v>
      </c>
    </row>
    <row r="620" spans="1:32" hidden="1">
      <c r="A620" s="6">
        <v>46107</v>
      </c>
      <c r="B620" s="3">
        <v>2026</v>
      </c>
      <c r="C620" s="3" t="s">
        <v>114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51"/>
        <v>24</v>
      </c>
      <c r="R620" s="53" t="str">
        <f t="shared" si="52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73">
        <f t="shared" si="49"/>
        <v>44</v>
      </c>
      <c r="Z620" s="18">
        <v>46151</v>
      </c>
      <c r="AA620" s="15"/>
      <c r="AB620" s="15"/>
      <c r="AF620" t="str">
        <f t="shared" si="50"/>
        <v>Closed in May</v>
      </c>
    </row>
    <row r="621" spans="1:32" hidden="1">
      <c r="A621" s="6">
        <v>46107</v>
      </c>
      <c r="B621" s="3">
        <v>2026</v>
      </c>
      <c r="C621" s="3" t="s">
        <v>114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51"/>
        <v>24</v>
      </c>
      <c r="R621" s="53" t="str">
        <f t="shared" si="52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73">
        <f t="shared" si="49"/>
        <v>44</v>
      </c>
      <c r="Z621" s="18">
        <v>46151</v>
      </c>
      <c r="AA621" s="15"/>
      <c r="AB621" s="15"/>
      <c r="AF621" t="str">
        <f t="shared" si="50"/>
        <v>Closed in May</v>
      </c>
    </row>
    <row r="622" spans="1:32" hidden="1">
      <c r="A622" s="6">
        <v>46107</v>
      </c>
      <c r="B622" s="3">
        <v>2026</v>
      </c>
      <c r="C622" s="3" t="s">
        <v>114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51"/>
        <v>24</v>
      </c>
      <c r="R622" s="53" t="str">
        <f t="shared" si="52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73">
        <f t="shared" si="49"/>
        <v>44</v>
      </c>
      <c r="Z622" s="18">
        <v>46151</v>
      </c>
      <c r="AA622" s="15"/>
      <c r="AB622" s="15"/>
      <c r="AF622" t="str">
        <f t="shared" si="50"/>
        <v>Closed in May</v>
      </c>
    </row>
    <row r="623" spans="1:32" hidden="1">
      <c r="A623" s="6">
        <v>46107</v>
      </c>
      <c r="B623" s="3">
        <v>2026</v>
      </c>
      <c r="C623" s="3" t="s">
        <v>114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51"/>
        <v>24</v>
      </c>
      <c r="R623" s="53" t="str">
        <f t="shared" si="52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73">
        <f t="shared" si="49"/>
        <v>44</v>
      </c>
      <c r="Z623" s="18">
        <v>46151</v>
      </c>
      <c r="AA623" s="15"/>
      <c r="AB623" s="15"/>
      <c r="AF623" t="str">
        <f t="shared" si="50"/>
        <v>Closed in May</v>
      </c>
    </row>
    <row r="624" spans="1:32" hidden="1">
      <c r="A624" s="6">
        <v>46107</v>
      </c>
      <c r="B624" s="3">
        <v>2026</v>
      </c>
      <c r="C624" s="3" t="s">
        <v>114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51"/>
        <v>24</v>
      </c>
      <c r="R624" s="53" t="str">
        <f t="shared" si="52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73">
        <f t="shared" si="49"/>
        <v>44</v>
      </c>
      <c r="Z624" s="18">
        <v>46151</v>
      </c>
      <c r="AA624" s="15"/>
      <c r="AB624" s="15"/>
      <c r="AF624" t="str">
        <f t="shared" si="50"/>
        <v>Closed in May</v>
      </c>
    </row>
    <row r="625" spans="1:32" hidden="1">
      <c r="A625" s="6">
        <v>46107</v>
      </c>
      <c r="B625" s="3">
        <v>2026</v>
      </c>
      <c r="C625" s="3" t="s">
        <v>114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51"/>
        <v>24</v>
      </c>
      <c r="R625" s="53" t="str">
        <f t="shared" si="52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73">
        <f t="shared" si="49"/>
        <v>44</v>
      </c>
      <c r="Z625" s="18">
        <v>46151</v>
      </c>
      <c r="AA625" s="15"/>
      <c r="AB625" s="15"/>
      <c r="AF625" t="str">
        <f t="shared" si="50"/>
        <v>Closed in May</v>
      </c>
    </row>
    <row r="626" spans="1:32" hidden="1">
      <c r="A626" s="6">
        <v>46107</v>
      </c>
      <c r="B626" s="3">
        <v>2026</v>
      </c>
      <c r="C626" s="3" t="s">
        <v>114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51"/>
        <v>24</v>
      </c>
      <c r="R626" s="53" t="str">
        <f t="shared" si="52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73">
        <f t="shared" si="49"/>
        <v>44</v>
      </c>
      <c r="Z626" s="18">
        <v>46151</v>
      </c>
      <c r="AA626" s="15"/>
      <c r="AB626" s="15"/>
      <c r="AF626" t="str">
        <f t="shared" si="50"/>
        <v>Closed in May</v>
      </c>
    </row>
    <row r="627" spans="1:32" hidden="1">
      <c r="A627" s="6">
        <v>46107</v>
      </c>
      <c r="B627" s="3">
        <v>2026</v>
      </c>
      <c r="C627" s="3" t="s">
        <v>114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51"/>
        <v>24</v>
      </c>
      <c r="R627" s="53" t="str">
        <f t="shared" si="52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73">
        <f t="shared" si="49"/>
        <v>44</v>
      </c>
      <c r="Z627" s="18">
        <v>46151</v>
      </c>
      <c r="AA627" s="15"/>
      <c r="AB627" s="15"/>
      <c r="AF627" t="str">
        <f t="shared" si="50"/>
        <v>Closed in May</v>
      </c>
    </row>
    <row r="628" spans="1:32" hidden="1">
      <c r="A628" s="6">
        <v>46107</v>
      </c>
      <c r="B628" s="3">
        <v>2026</v>
      </c>
      <c r="C628" s="3" t="s">
        <v>114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51"/>
        <v>24</v>
      </c>
      <c r="R628" s="53" t="str">
        <f t="shared" si="52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73">
        <f t="shared" si="49"/>
        <v>44</v>
      </c>
      <c r="Z628" s="18">
        <v>46151</v>
      </c>
      <c r="AA628" s="15"/>
      <c r="AB628" s="15"/>
      <c r="AF628" t="str">
        <f t="shared" si="50"/>
        <v>Closed in May</v>
      </c>
    </row>
    <row r="629" spans="1:32" hidden="1">
      <c r="A629" s="6">
        <v>46107</v>
      </c>
      <c r="B629" s="3">
        <v>2026</v>
      </c>
      <c r="C629" s="3" t="s">
        <v>114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51"/>
        <v>24</v>
      </c>
      <c r="R629" s="53" t="str">
        <f t="shared" si="52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73">
        <f t="shared" si="49"/>
        <v>44</v>
      </c>
      <c r="Z629" s="18">
        <v>46151</v>
      </c>
      <c r="AA629" s="15"/>
      <c r="AB629" s="15"/>
      <c r="AF629" t="str">
        <f t="shared" si="50"/>
        <v>Closed in May</v>
      </c>
    </row>
    <row r="630" spans="1:32" hidden="1">
      <c r="A630" s="6">
        <v>46107</v>
      </c>
      <c r="B630" s="3">
        <v>2026</v>
      </c>
      <c r="C630" s="3" t="s">
        <v>114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51"/>
        <v>24</v>
      </c>
      <c r="R630" s="53" t="str">
        <f t="shared" si="52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73">
        <f t="shared" si="49"/>
        <v>44</v>
      </c>
      <c r="Z630" s="18">
        <v>46151</v>
      </c>
      <c r="AA630" s="15"/>
      <c r="AB630" s="15"/>
      <c r="AF630" t="str">
        <f t="shared" si="50"/>
        <v>Closed in May</v>
      </c>
    </row>
    <row r="631" spans="1:32" hidden="1">
      <c r="A631" s="6">
        <v>46107</v>
      </c>
      <c r="B631" s="3">
        <v>2026</v>
      </c>
      <c r="C631" s="3" t="s">
        <v>114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51"/>
        <v>24</v>
      </c>
      <c r="R631" s="53" t="str">
        <f t="shared" si="52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73">
        <f t="shared" si="49"/>
        <v>44</v>
      </c>
      <c r="Z631" s="18">
        <v>46151</v>
      </c>
      <c r="AA631" s="15"/>
      <c r="AB631" s="15"/>
      <c r="AF631" t="str">
        <f t="shared" si="50"/>
        <v>Closed in May</v>
      </c>
    </row>
    <row r="632" spans="1:32" hidden="1">
      <c r="A632" s="6">
        <v>46107</v>
      </c>
      <c r="B632" s="3">
        <v>2026</v>
      </c>
      <c r="C632" s="3" t="s">
        <v>114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51"/>
        <v>24</v>
      </c>
      <c r="R632" s="53" t="str">
        <f t="shared" si="52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73">
        <f t="shared" si="49"/>
        <v>46</v>
      </c>
      <c r="Z632" s="18">
        <v>46153</v>
      </c>
      <c r="AA632" s="15"/>
      <c r="AB632" s="15"/>
      <c r="AF632" t="str">
        <f t="shared" si="50"/>
        <v>Closed in May</v>
      </c>
    </row>
    <row r="633" spans="1:32" hidden="1">
      <c r="A633" s="6">
        <v>46107</v>
      </c>
      <c r="B633" s="3">
        <v>2026</v>
      </c>
      <c r="C633" s="3" t="s">
        <v>114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51"/>
        <v>24</v>
      </c>
      <c r="R633" s="53" t="str">
        <f t="shared" si="52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73">
        <f t="shared" si="49"/>
        <v>46</v>
      </c>
      <c r="Z633" s="18">
        <v>46153</v>
      </c>
      <c r="AA633" s="15"/>
      <c r="AB633" s="15"/>
      <c r="AF633" t="str">
        <f t="shared" si="50"/>
        <v>Closed in May</v>
      </c>
    </row>
    <row r="634" spans="1:32" hidden="1">
      <c r="A634" s="6">
        <v>46107</v>
      </c>
      <c r="B634" s="3">
        <v>2026</v>
      </c>
      <c r="C634" s="3" t="s">
        <v>114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51"/>
        <v>24</v>
      </c>
      <c r="R634" s="53" t="str">
        <f t="shared" si="52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73">
        <f t="shared" si="49"/>
        <v>46</v>
      </c>
      <c r="Z634" s="18">
        <v>46153</v>
      </c>
      <c r="AA634" s="15"/>
      <c r="AB634" s="15"/>
      <c r="AF634" t="str">
        <f t="shared" si="50"/>
        <v>Closed in May</v>
      </c>
    </row>
    <row r="635" spans="1:32" hidden="1">
      <c r="A635" s="6">
        <v>46107</v>
      </c>
      <c r="B635" s="3">
        <v>2026</v>
      </c>
      <c r="C635" s="3" t="s">
        <v>114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51"/>
        <v>24</v>
      </c>
      <c r="R635" s="53" t="str">
        <f t="shared" si="52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73">
        <f t="shared" si="49"/>
        <v>46</v>
      </c>
      <c r="Z635" s="18">
        <v>46153</v>
      </c>
      <c r="AA635" s="15"/>
      <c r="AB635" s="15"/>
      <c r="AF635" t="str">
        <f t="shared" si="50"/>
        <v>Closed in May</v>
      </c>
    </row>
    <row r="636" spans="1:32" hidden="1">
      <c r="A636" s="6">
        <v>46107</v>
      </c>
      <c r="B636" s="3">
        <v>2026</v>
      </c>
      <c r="C636" s="3" t="s">
        <v>114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51"/>
        <v>24</v>
      </c>
      <c r="R636" s="53" t="str">
        <f t="shared" si="52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73">
        <f t="shared" si="49"/>
        <v>46</v>
      </c>
      <c r="Z636" s="18">
        <v>46153</v>
      </c>
      <c r="AA636" s="15"/>
      <c r="AB636" s="15"/>
      <c r="AF636" t="str">
        <f t="shared" si="50"/>
        <v>Closed in May</v>
      </c>
    </row>
    <row r="637" spans="1:32" hidden="1">
      <c r="A637" s="6">
        <v>46107</v>
      </c>
      <c r="B637" s="3">
        <v>2026</v>
      </c>
      <c r="C637" s="3" t="s">
        <v>114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51"/>
        <v>24</v>
      </c>
      <c r="R637" s="53" t="str">
        <f t="shared" si="52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73">
        <f t="shared" si="49"/>
        <v>46</v>
      </c>
      <c r="Z637" s="18">
        <v>46153</v>
      </c>
      <c r="AA637" s="15"/>
      <c r="AB637" s="15"/>
      <c r="AF637" t="str">
        <f t="shared" si="50"/>
        <v>Closed in May</v>
      </c>
    </row>
    <row r="638" spans="1:32" hidden="1">
      <c r="A638" s="6">
        <v>46107</v>
      </c>
      <c r="B638" s="3">
        <v>2026</v>
      </c>
      <c r="C638" s="3" t="s">
        <v>114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51"/>
        <v>24</v>
      </c>
      <c r="R638" s="53" t="str">
        <f t="shared" si="52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73">
        <f t="shared" si="49"/>
        <v>46</v>
      </c>
      <c r="Z638" s="18">
        <v>46153</v>
      </c>
      <c r="AA638" s="15"/>
      <c r="AB638" s="15"/>
      <c r="AF638" t="str">
        <f t="shared" si="50"/>
        <v>Closed in May</v>
      </c>
    </row>
    <row r="639" spans="1:32" hidden="1">
      <c r="A639" s="6">
        <v>46107</v>
      </c>
      <c r="B639" s="3">
        <v>2026</v>
      </c>
      <c r="C639" s="3" t="s">
        <v>114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51"/>
        <v>24</v>
      </c>
      <c r="R639" s="53" t="str">
        <f t="shared" si="52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73">
        <f t="shared" si="49"/>
        <v>46</v>
      </c>
      <c r="Z639" s="18">
        <v>46153</v>
      </c>
      <c r="AA639" s="15"/>
      <c r="AB639" s="15"/>
      <c r="AF639" t="str">
        <f t="shared" si="50"/>
        <v>Closed in May</v>
      </c>
    </row>
    <row r="640" spans="1:32" hidden="1">
      <c r="A640" s="6">
        <v>46107</v>
      </c>
      <c r="B640" s="3">
        <v>2026</v>
      </c>
      <c r="C640" s="3" t="s">
        <v>114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51"/>
        <v>24</v>
      </c>
      <c r="R640" s="53" t="str">
        <f t="shared" si="52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73">
        <f t="shared" si="49"/>
        <v>46</v>
      </c>
      <c r="Z640" s="18">
        <v>46153</v>
      </c>
      <c r="AA640" s="15"/>
      <c r="AB640" s="15"/>
      <c r="AF640" t="str">
        <f t="shared" si="50"/>
        <v>Closed in May</v>
      </c>
    </row>
    <row r="641" spans="1:32" hidden="1">
      <c r="A641" s="6">
        <v>46107</v>
      </c>
      <c r="B641" s="3">
        <v>2026</v>
      </c>
      <c r="C641" s="3" t="s">
        <v>114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51"/>
        <v>24</v>
      </c>
      <c r="R641" s="53" t="str">
        <f t="shared" si="52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73">
        <f t="shared" si="49"/>
        <v>46</v>
      </c>
      <c r="Z641" s="18">
        <v>46153</v>
      </c>
      <c r="AA641" s="15"/>
      <c r="AB641" s="15"/>
      <c r="AF641" t="str">
        <f t="shared" si="50"/>
        <v>Closed in May</v>
      </c>
    </row>
    <row r="642" spans="1:32" hidden="1">
      <c r="A642" s="6">
        <v>46107</v>
      </c>
      <c r="B642" s="3">
        <v>2026</v>
      </c>
      <c r="C642" s="3" t="s">
        <v>114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51"/>
        <v>24</v>
      </c>
      <c r="R642" s="53" t="str">
        <f t="shared" si="52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73">
        <f t="shared" ref="Y642:Y705" si="53">IF(X642="","",X642-A642)</f>
        <v>46</v>
      </c>
      <c r="Z642" s="18">
        <v>46153</v>
      </c>
      <c r="AA642" s="15"/>
      <c r="AB642" s="15"/>
      <c r="AF642" t="str">
        <f t="shared" ref="AF642:AF705" si="54">IF(AND($F642="Closed",$X642&gt;=DATE(2026,5,1),$X642&lt;=DATE(2026,5,31)),"Closed in May","Other")</f>
        <v>Closed in May</v>
      </c>
    </row>
    <row r="643" spans="1:32" hidden="1">
      <c r="A643" s="6">
        <v>46107</v>
      </c>
      <c r="B643" s="3">
        <v>2026</v>
      </c>
      <c r="C643" s="3" t="s">
        <v>114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51"/>
        <v>24</v>
      </c>
      <c r="R643" s="53" t="str">
        <f t="shared" si="52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73">
        <f t="shared" si="53"/>
        <v>46</v>
      </c>
      <c r="Z643" s="18">
        <v>46153</v>
      </c>
      <c r="AA643" s="15"/>
      <c r="AB643" s="15"/>
      <c r="AF643" t="str">
        <f t="shared" si="54"/>
        <v>Closed in May</v>
      </c>
    </row>
    <row r="644" spans="1:32" hidden="1">
      <c r="A644" s="6">
        <v>46107</v>
      </c>
      <c r="B644" s="3">
        <v>2026</v>
      </c>
      <c r="C644" s="3" t="s">
        <v>114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51"/>
        <v>24</v>
      </c>
      <c r="R644" s="53" t="str">
        <f t="shared" si="52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73">
        <f t="shared" si="53"/>
        <v>46</v>
      </c>
      <c r="Z644" s="18">
        <v>46153</v>
      </c>
      <c r="AA644" s="15"/>
      <c r="AB644" s="15"/>
      <c r="AF644" t="str">
        <f t="shared" si="54"/>
        <v>Closed in May</v>
      </c>
    </row>
    <row r="645" spans="1:32" hidden="1">
      <c r="A645" s="6">
        <v>46107</v>
      </c>
      <c r="B645" s="3">
        <v>2026</v>
      </c>
      <c r="C645" s="3" t="s">
        <v>114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51"/>
        <v>24</v>
      </c>
      <c r="R645" s="53" t="str">
        <f t="shared" si="52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73">
        <f t="shared" si="53"/>
        <v>46</v>
      </c>
      <c r="Z645" s="18">
        <v>46153</v>
      </c>
      <c r="AA645" s="15"/>
      <c r="AB645" s="15"/>
      <c r="AF645" t="str">
        <f t="shared" si="54"/>
        <v>Closed in May</v>
      </c>
    </row>
    <row r="646" spans="1:32" hidden="1">
      <c r="A646" s="6">
        <v>46107</v>
      </c>
      <c r="B646" s="3">
        <v>2026</v>
      </c>
      <c r="C646" s="3" t="s">
        <v>114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51"/>
        <v>24</v>
      </c>
      <c r="R646" s="53" t="str">
        <f t="shared" si="52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73">
        <f t="shared" si="53"/>
        <v>46</v>
      </c>
      <c r="Z646" s="18">
        <v>46153</v>
      </c>
      <c r="AA646" s="15"/>
      <c r="AB646" s="15"/>
      <c r="AF646" t="str">
        <f t="shared" si="54"/>
        <v>Closed in May</v>
      </c>
    </row>
    <row r="647" spans="1:32" hidden="1">
      <c r="A647" s="6">
        <v>46107</v>
      </c>
      <c r="B647" s="3">
        <v>2026</v>
      </c>
      <c r="C647" s="3" t="s">
        <v>114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51"/>
        <v>24</v>
      </c>
      <c r="R647" s="53" t="str">
        <f t="shared" si="52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73">
        <f t="shared" si="53"/>
        <v>46</v>
      </c>
      <c r="Z647" s="18">
        <v>46153</v>
      </c>
      <c r="AA647" s="15"/>
      <c r="AB647" s="15"/>
      <c r="AF647" t="str">
        <f t="shared" si="54"/>
        <v>Closed in May</v>
      </c>
    </row>
    <row r="648" spans="1:32" hidden="1">
      <c r="A648" s="6">
        <v>46107</v>
      </c>
      <c r="B648" s="3">
        <v>2026</v>
      </c>
      <c r="C648" s="3" t="s">
        <v>114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51"/>
        <v>24</v>
      </c>
      <c r="R648" s="53" t="str">
        <f t="shared" si="52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73">
        <f t="shared" si="53"/>
        <v>46</v>
      </c>
      <c r="Z648" s="18">
        <v>46153</v>
      </c>
      <c r="AA648" s="15"/>
      <c r="AB648" s="15"/>
      <c r="AF648" t="str">
        <f t="shared" si="54"/>
        <v>Closed in May</v>
      </c>
    </row>
    <row r="649" spans="1:32" hidden="1">
      <c r="A649" s="6">
        <v>46107</v>
      </c>
      <c r="B649" s="3">
        <v>2026</v>
      </c>
      <c r="C649" s="3" t="s">
        <v>114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51"/>
        <v>24</v>
      </c>
      <c r="R649" s="53" t="str">
        <f t="shared" si="52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73">
        <f t="shared" si="53"/>
        <v>46</v>
      </c>
      <c r="Z649" s="18">
        <v>46153</v>
      </c>
      <c r="AA649" s="15"/>
      <c r="AB649" s="15"/>
      <c r="AF649" t="str">
        <f t="shared" si="54"/>
        <v>Closed in May</v>
      </c>
    </row>
    <row r="650" spans="1:32" hidden="1">
      <c r="A650" s="6">
        <v>46107</v>
      </c>
      <c r="B650" s="3">
        <v>2026</v>
      </c>
      <c r="C650" s="3" t="s">
        <v>114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51"/>
        <v>24</v>
      </c>
      <c r="R650" s="53" t="str">
        <f t="shared" si="52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73">
        <f t="shared" si="53"/>
        <v>46</v>
      </c>
      <c r="Z650" s="18">
        <v>46153</v>
      </c>
      <c r="AA650" s="15"/>
      <c r="AB650" s="15"/>
      <c r="AF650" t="str">
        <f t="shared" si="54"/>
        <v>Closed in May</v>
      </c>
    </row>
    <row r="651" spans="1:32" hidden="1">
      <c r="A651" s="6">
        <v>46107</v>
      </c>
      <c r="B651" s="3">
        <v>2026</v>
      </c>
      <c r="C651" s="3" t="s">
        <v>114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51"/>
        <v>24</v>
      </c>
      <c r="R651" s="53" t="str">
        <f t="shared" si="52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73">
        <f t="shared" si="53"/>
        <v>46</v>
      </c>
      <c r="Z651" s="18">
        <v>46153</v>
      </c>
      <c r="AA651" s="15"/>
      <c r="AB651" s="15"/>
      <c r="AF651" t="str">
        <f t="shared" si="54"/>
        <v>Closed in May</v>
      </c>
    </row>
    <row r="652" spans="1:32" hidden="1">
      <c r="A652" s="6">
        <v>46107</v>
      </c>
      <c r="B652" s="3">
        <v>2026</v>
      </c>
      <c r="C652" s="3" t="s">
        <v>114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51"/>
        <v>24</v>
      </c>
      <c r="R652" s="53" t="str">
        <f t="shared" si="52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73">
        <f t="shared" si="53"/>
        <v>46</v>
      </c>
      <c r="Z652" s="18">
        <v>46153</v>
      </c>
      <c r="AA652" s="15"/>
      <c r="AB652" s="15"/>
      <c r="AF652" t="str">
        <f t="shared" si="54"/>
        <v>Closed in May</v>
      </c>
    </row>
    <row r="653" spans="1:32" hidden="1">
      <c r="A653" s="6">
        <v>46107</v>
      </c>
      <c r="B653" s="3">
        <v>2026</v>
      </c>
      <c r="C653" s="3" t="s">
        <v>114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51"/>
        <v>24</v>
      </c>
      <c r="R653" s="53" t="str">
        <f t="shared" si="52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73">
        <f t="shared" si="53"/>
        <v>46</v>
      </c>
      <c r="Z653" s="18">
        <v>46153</v>
      </c>
      <c r="AA653" s="15"/>
      <c r="AB653" s="15"/>
      <c r="AF653" t="str">
        <f t="shared" si="54"/>
        <v>Closed in May</v>
      </c>
    </row>
    <row r="654" spans="1:32" hidden="1">
      <c r="A654" s="6">
        <v>46107</v>
      </c>
      <c r="B654" s="3">
        <v>2026</v>
      </c>
      <c r="C654" s="3" t="s">
        <v>114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51"/>
        <v>24</v>
      </c>
      <c r="R654" s="53" t="str">
        <f t="shared" si="52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73">
        <f t="shared" si="53"/>
        <v>46</v>
      </c>
      <c r="Z654" s="18">
        <v>46153</v>
      </c>
      <c r="AA654" s="15"/>
      <c r="AB654" s="15"/>
      <c r="AF654" t="str">
        <f t="shared" si="54"/>
        <v>Closed in May</v>
      </c>
    </row>
    <row r="655" spans="1:32" hidden="1">
      <c r="A655" s="6">
        <v>46107</v>
      </c>
      <c r="B655" s="3">
        <v>2026</v>
      </c>
      <c r="C655" s="3" t="s">
        <v>114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51"/>
        <v>24</v>
      </c>
      <c r="R655" s="53" t="str">
        <f t="shared" si="52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73">
        <f t="shared" si="53"/>
        <v>46</v>
      </c>
      <c r="Z655" s="18">
        <v>46153</v>
      </c>
      <c r="AA655" s="15"/>
      <c r="AB655" s="15"/>
      <c r="AF655" t="str">
        <f t="shared" si="54"/>
        <v>Closed in May</v>
      </c>
    </row>
    <row r="656" spans="1:32" hidden="1">
      <c r="A656" s="6">
        <v>46107</v>
      </c>
      <c r="B656" s="3">
        <v>2026</v>
      </c>
      <c r="C656" s="3" t="s">
        <v>114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51"/>
        <v>24</v>
      </c>
      <c r="R656" s="53" t="str">
        <f t="shared" si="52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73">
        <f t="shared" si="53"/>
        <v>46</v>
      </c>
      <c r="Z656" s="18">
        <v>46153</v>
      </c>
      <c r="AA656" s="15"/>
      <c r="AB656" s="15"/>
      <c r="AF656" t="str">
        <f t="shared" si="54"/>
        <v>Closed in May</v>
      </c>
    </row>
    <row r="657" spans="1:32" hidden="1">
      <c r="A657" s="6">
        <v>46107</v>
      </c>
      <c r="B657" s="3">
        <v>2026</v>
      </c>
      <c r="C657" s="3" t="s">
        <v>114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51"/>
        <v>24</v>
      </c>
      <c r="R657" s="53" t="str">
        <f t="shared" si="52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73">
        <f t="shared" si="53"/>
        <v>46</v>
      </c>
      <c r="Z657" s="18">
        <v>46153</v>
      </c>
      <c r="AA657" s="15"/>
      <c r="AB657" s="15"/>
      <c r="AF657" t="str">
        <f t="shared" si="54"/>
        <v>Closed in May</v>
      </c>
    </row>
    <row r="658" spans="1:32" hidden="1">
      <c r="A658" s="6">
        <v>46107</v>
      </c>
      <c r="B658" s="3">
        <v>2026</v>
      </c>
      <c r="C658" s="3" t="s">
        <v>114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51"/>
        <v>24</v>
      </c>
      <c r="R658" s="53" t="str">
        <f t="shared" si="52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73">
        <f t="shared" si="53"/>
        <v>46</v>
      </c>
      <c r="Z658" s="18">
        <v>46153</v>
      </c>
      <c r="AA658" s="15"/>
      <c r="AB658" s="15"/>
      <c r="AF658" t="str">
        <f t="shared" si="54"/>
        <v>Closed in May</v>
      </c>
    </row>
    <row r="659" spans="1:32" hidden="1">
      <c r="A659" s="6">
        <v>46107</v>
      </c>
      <c r="B659" s="3">
        <v>2026</v>
      </c>
      <c r="C659" s="3" t="s">
        <v>114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51"/>
        <v>24</v>
      </c>
      <c r="R659" s="53" t="str">
        <f t="shared" si="52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73">
        <f t="shared" si="53"/>
        <v>46</v>
      </c>
      <c r="Z659" s="18">
        <v>46153</v>
      </c>
      <c r="AA659" s="15"/>
      <c r="AB659" s="15"/>
      <c r="AF659" t="str">
        <f t="shared" si="54"/>
        <v>Closed in May</v>
      </c>
    </row>
    <row r="660" spans="1:32" hidden="1">
      <c r="A660" s="6">
        <v>46107</v>
      </c>
      <c r="B660" s="3">
        <v>2026</v>
      </c>
      <c r="C660" s="3" t="s">
        <v>114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51"/>
        <v>24</v>
      </c>
      <c r="R660" s="53" t="str">
        <f t="shared" si="52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73">
        <f t="shared" si="53"/>
        <v>46</v>
      </c>
      <c r="Z660" s="18">
        <v>46153</v>
      </c>
      <c r="AA660" s="15"/>
      <c r="AB660" s="15"/>
      <c r="AF660" t="str">
        <f t="shared" si="54"/>
        <v>Closed in May</v>
      </c>
    </row>
    <row r="661" spans="1:32" hidden="1">
      <c r="A661" s="6">
        <v>46107</v>
      </c>
      <c r="B661" s="3">
        <v>2026</v>
      </c>
      <c r="C661" s="3" t="s">
        <v>114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51"/>
        <v>24</v>
      </c>
      <c r="R661" s="53" t="str">
        <f t="shared" si="52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73">
        <f t="shared" si="53"/>
        <v>46</v>
      </c>
      <c r="Z661" s="18">
        <v>46153</v>
      </c>
      <c r="AA661" s="15"/>
      <c r="AB661" s="15"/>
      <c r="AF661" t="str">
        <f t="shared" si="54"/>
        <v>Closed in May</v>
      </c>
    </row>
    <row r="662" spans="1:32" hidden="1">
      <c r="A662" s="6">
        <v>46107</v>
      </c>
      <c r="B662" s="3">
        <v>2026</v>
      </c>
      <c r="C662" s="3" t="s">
        <v>114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51"/>
        <v>24</v>
      </c>
      <c r="R662" s="53" t="str">
        <f t="shared" si="52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73">
        <f t="shared" si="53"/>
        <v>46</v>
      </c>
      <c r="Z662" s="18">
        <v>46153</v>
      </c>
      <c r="AA662" s="15"/>
      <c r="AB662" s="15"/>
      <c r="AF662" t="str">
        <f t="shared" si="54"/>
        <v>Closed in May</v>
      </c>
    </row>
    <row r="663" spans="1:32" hidden="1">
      <c r="A663" s="6">
        <v>46107</v>
      </c>
      <c r="B663" s="3">
        <v>2026</v>
      </c>
      <c r="C663" s="3" t="s">
        <v>114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51"/>
        <v>24</v>
      </c>
      <c r="R663" s="53" t="str">
        <f t="shared" si="52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73">
        <f t="shared" si="53"/>
        <v>46</v>
      </c>
      <c r="Z663" s="18">
        <v>46153</v>
      </c>
      <c r="AA663" s="15"/>
      <c r="AB663" s="15"/>
      <c r="AF663" t="str">
        <f t="shared" si="54"/>
        <v>Closed in May</v>
      </c>
    </row>
    <row r="664" spans="1:32" hidden="1">
      <c r="A664" s="6">
        <v>46107</v>
      </c>
      <c r="B664" s="3">
        <v>2026</v>
      </c>
      <c r="C664" s="3" t="s">
        <v>114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51"/>
        <v>24</v>
      </c>
      <c r="R664" s="53" t="str">
        <f t="shared" si="52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73">
        <f t="shared" si="53"/>
        <v>46</v>
      </c>
      <c r="Z664" s="18">
        <v>46153</v>
      </c>
      <c r="AA664" s="15"/>
      <c r="AB664" s="15"/>
      <c r="AF664" t="str">
        <f t="shared" si="54"/>
        <v>Closed in May</v>
      </c>
    </row>
    <row r="665" spans="1:32" hidden="1">
      <c r="A665" s="6">
        <v>46107</v>
      </c>
      <c r="B665" s="3">
        <v>2026</v>
      </c>
      <c r="C665" s="3" t="s">
        <v>114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51"/>
        <v>24</v>
      </c>
      <c r="R665" s="53" t="str">
        <f t="shared" si="52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73">
        <f t="shared" si="53"/>
        <v>46</v>
      </c>
      <c r="Z665" s="18">
        <v>46153</v>
      </c>
      <c r="AA665" s="15"/>
      <c r="AB665" s="15"/>
      <c r="AF665" t="str">
        <f t="shared" si="54"/>
        <v>Closed in May</v>
      </c>
    </row>
    <row r="666" spans="1:32" hidden="1">
      <c r="A666" s="6">
        <v>46107</v>
      </c>
      <c r="B666" s="3">
        <v>2026</v>
      </c>
      <c r="C666" s="3" t="s">
        <v>114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51"/>
        <v>24</v>
      </c>
      <c r="R666" s="53" t="str">
        <f t="shared" si="52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73">
        <f t="shared" si="53"/>
        <v>46</v>
      </c>
      <c r="Z666" s="18">
        <v>46153</v>
      </c>
      <c r="AA666" s="15"/>
      <c r="AB666" s="15"/>
      <c r="AF666" t="str">
        <f t="shared" si="54"/>
        <v>Closed in May</v>
      </c>
    </row>
    <row r="667" spans="1:32" hidden="1">
      <c r="A667" s="6">
        <v>46107</v>
      </c>
      <c r="B667" s="3">
        <v>2026</v>
      </c>
      <c r="C667" s="3" t="s">
        <v>114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51"/>
        <v>24</v>
      </c>
      <c r="R667" s="53" t="str">
        <f t="shared" si="52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73">
        <f t="shared" si="53"/>
        <v>46</v>
      </c>
      <c r="Z667" s="18">
        <v>46153</v>
      </c>
      <c r="AA667" s="15"/>
      <c r="AB667" s="15"/>
      <c r="AF667" t="str">
        <f t="shared" si="54"/>
        <v>Closed in May</v>
      </c>
    </row>
    <row r="668" spans="1:32" hidden="1">
      <c r="A668" s="6">
        <v>46107</v>
      </c>
      <c r="B668" s="3">
        <v>2026</v>
      </c>
      <c r="C668" s="3" t="s">
        <v>114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51"/>
        <v>24</v>
      </c>
      <c r="R668" s="53" t="str">
        <f t="shared" si="52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73">
        <f t="shared" si="53"/>
        <v>46</v>
      </c>
      <c r="Z668" s="18">
        <v>46153</v>
      </c>
      <c r="AA668" s="15"/>
      <c r="AB668" s="15"/>
      <c r="AF668" t="str">
        <f t="shared" si="54"/>
        <v>Closed in May</v>
      </c>
    </row>
    <row r="669" spans="1:32" hidden="1">
      <c r="A669" s="6">
        <v>46107</v>
      </c>
      <c r="B669" s="3">
        <v>2026</v>
      </c>
      <c r="C669" s="3" t="s">
        <v>114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51"/>
        <v>24</v>
      </c>
      <c r="R669" s="53" t="str">
        <f t="shared" si="52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73">
        <f t="shared" si="53"/>
        <v>46</v>
      </c>
      <c r="Z669" s="18">
        <v>46153</v>
      </c>
      <c r="AA669" s="15"/>
      <c r="AB669" s="15"/>
      <c r="AF669" t="str">
        <f t="shared" si="54"/>
        <v>Closed in May</v>
      </c>
    </row>
    <row r="670" spans="1:32" hidden="1">
      <c r="A670" s="6">
        <v>46107</v>
      </c>
      <c r="B670" s="3">
        <v>2026</v>
      </c>
      <c r="C670" s="3" t="s">
        <v>114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51"/>
        <v>24</v>
      </c>
      <c r="R670" s="53" t="str">
        <f t="shared" si="52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73">
        <f t="shared" si="53"/>
        <v>46</v>
      </c>
      <c r="Z670" s="18">
        <v>46153</v>
      </c>
      <c r="AA670" s="15"/>
      <c r="AB670" s="15"/>
      <c r="AF670" t="str">
        <f t="shared" si="54"/>
        <v>Closed in May</v>
      </c>
    </row>
    <row r="671" spans="1:32" hidden="1">
      <c r="A671" s="6">
        <v>46107</v>
      </c>
      <c r="B671" s="3">
        <v>2026</v>
      </c>
      <c r="C671" s="3" t="s">
        <v>114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51"/>
        <v>24</v>
      </c>
      <c r="R671" s="53" t="str">
        <f t="shared" si="52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73">
        <f t="shared" si="53"/>
        <v>46</v>
      </c>
      <c r="Z671" s="18">
        <v>46153</v>
      </c>
      <c r="AA671" s="15"/>
      <c r="AB671" s="15"/>
      <c r="AF671" t="str">
        <f t="shared" si="54"/>
        <v>Closed in May</v>
      </c>
    </row>
    <row r="672" spans="1:32" hidden="1">
      <c r="A672" s="6">
        <v>46107</v>
      </c>
      <c r="B672" s="3">
        <v>2026</v>
      </c>
      <c r="C672" s="3" t="s">
        <v>114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51"/>
        <v>24</v>
      </c>
      <c r="R672" s="53" t="str">
        <f t="shared" si="52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73">
        <f t="shared" si="53"/>
        <v>46</v>
      </c>
      <c r="Z672" s="18">
        <v>46153</v>
      </c>
      <c r="AA672" s="15"/>
      <c r="AB672" s="15"/>
      <c r="AF672" t="str">
        <f t="shared" si="54"/>
        <v>Closed in May</v>
      </c>
    </row>
    <row r="673" spans="1:32" hidden="1">
      <c r="A673" s="6">
        <v>46107</v>
      </c>
      <c r="B673" s="3">
        <v>2026</v>
      </c>
      <c r="C673" s="3" t="s">
        <v>114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51"/>
        <v>24</v>
      </c>
      <c r="R673" s="53" t="str">
        <f t="shared" si="52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73">
        <f t="shared" si="53"/>
        <v>46</v>
      </c>
      <c r="Z673" s="18">
        <v>46153</v>
      </c>
      <c r="AA673" s="15"/>
      <c r="AB673" s="15"/>
      <c r="AF673" t="str">
        <f t="shared" si="54"/>
        <v>Closed in May</v>
      </c>
    </row>
    <row r="674" spans="1:32" hidden="1">
      <c r="A674" s="6">
        <v>46107</v>
      </c>
      <c r="B674" s="3">
        <v>2026</v>
      </c>
      <c r="C674" s="3" t="s">
        <v>114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51"/>
        <v>24</v>
      </c>
      <c r="R674" s="53" t="str">
        <f t="shared" si="52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73">
        <f t="shared" si="53"/>
        <v>46</v>
      </c>
      <c r="Z674" s="18">
        <v>46153</v>
      </c>
      <c r="AA674" s="15"/>
      <c r="AB674" s="15"/>
      <c r="AF674" t="str">
        <f t="shared" si="54"/>
        <v>Closed in May</v>
      </c>
    </row>
    <row r="675" spans="1:32" hidden="1">
      <c r="A675" s="6">
        <v>46107</v>
      </c>
      <c r="B675" s="3">
        <v>2026</v>
      </c>
      <c r="C675" s="3" t="s">
        <v>114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51"/>
        <v>24</v>
      </c>
      <c r="R675" s="53" t="str">
        <f t="shared" si="52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73">
        <f t="shared" si="53"/>
        <v>46</v>
      </c>
      <c r="Z675" s="18">
        <v>46153</v>
      </c>
      <c r="AA675" s="15"/>
      <c r="AB675" s="15"/>
      <c r="AF675" t="str">
        <f t="shared" si="54"/>
        <v>Closed in May</v>
      </c>
    </row>
    <row r="676" spans="1:32" hidden="1">
      <c r="A676" s="6">
        <v>46107</v>
      </c>
      <c r="B676" s="3">
        <v>2026</v>
      </c>
      <c r="C676" s="3" t="s">
        <v>114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51"/>
        <v>24</v>
      </c>
      <c r="R676" s="53" t="str">
        <f t="shared" si="52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73">
        <f t="shared" si="53"/>
        <v>46</v>
      </c>
      <c r="Z676" s="18">
        <v>46153</v>
      </c>
      <c r="AA676" s="15"/>
      <c r="AB676" s="15"/>
      <c r="AF676" t="str">
        <f t="shared" si="54"/>
        <v>Closed in May</v>
      </c>
    </row>
    <row r="677" spans="1:32" hidden="1">
      <c r="A677" s="6">
        <v>46107</v>
      </c>
      <c r="B677" s="3">
        <v>2026</v>
      </c>
      <c r="C677" s="3" t="s">
        <v>114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51"/>
        <v>24</v>
      </c>
      <c r="R677" s="53" t="str">
        <f t="shared" si="52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73">
        <f t="shared" si="53"/>
        <v>46</v>
      </c>
      <c r="Z677" s="18">
        <v>46153</v>
      </c>
      <c r="AA677" s="15"/>
      <c r="AB677" s="15"/>
      <c r="AF677" t="str">
        <f t="shared" si="54"/>
        <v>Closed in May</v>
      </c>
    </row>
    <row r="678" spans="1:32" hidden="1">
      <c r="A678" s="6">
        <v>46107</v>
      </c>
      <c r="B678" s="3">
        <v>2026</v>
      </c>
      <c r="C678" s="3" t="s">
        <v>114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51"/>
        <v>24</v>
      </c>
      <c r="R678" s="53" t="str">
        <f t="shared" si="52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73">
        <f t="shared" si="53"/>
        <v>46</v>
      </c>
      <c r="Z678" s="18">
        <v>46153</v>
      </c>
      <c r="AA678" s="15"/>
      <c r="AB678" s="15"/>
      <c r="AF678" t="str">
        <f t="shared" si="54"/>
        <v>Closed in May</v>
      </c>
    </row>
    <row r="679" spans="1:32" hidden="1">
      <c r="A679" s="6">
        <v>46107</v>
      </c>
      <c r="B679" s="3">
        <v>2026</v>
      </c>
      <c r="C679" s="3" t="s">
        <v>114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55">MID(P679,5,2)</f>
        <v>24</v>
      </c>
      <c r="R679" s="53" t="str">
        <f t="shared" ref="R679:R742" si="5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73">
        <f t="shared" si="53"/>
        <v>46</v>
      </c>
      <c r="Z679" s="18">
        <v>46153</v>
      </c>
      <c r="AA679" s="15"/>
      <c r="AB679" s="15"/>
      <c r="AF679" t="str">
        <f t="shared" si="54"/>
        <v>Closed in May</v>
      </c>
    </row>
    <row r="680" spans="1:32" hidden="1">
      <c r="A680" s="6">
        <v>46107</v>
      </c>
      <c r="B680" s="3">
        <v>2026</v>
      </c>
      <c r="C680" s="3" t="s">
        <v>114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55"/>
        <v>24</v>
      </c>
      <c r="R680" s="53" t="str">
        <f t="shared" si="5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73">
        <f t="shared" si="53"/>
        <v>46</v>
      </c>
      <c r="Z680" s="18">
        <v>46153</v>
      </c>
      <c r="AA680" s="15"/>
      <c r="AB680" s="15"/>
      <c r="AF680" t="str">
        <f t="shared" si="54"/>
        <v>Closed in May</v>
      </c>
    </row>
    <row r="681" spans="1:32" hidden="1">
      <c r="A681" s="6">
        <v>46107</v>
      </c>
      <c r="B681" s="3">
        <v>2026</v>
      </c>
      <c r="C681" s="3" t="s">
        <v>114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55"/>
        <v>24</v>
      </c>
      <c r="R681" s="53" t="str">
        <f t="shared" si="5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73">
        <f t="shared" si="53"/>
        <v>46</v>
      </c>
      <c r="Z681" s="18">
        <v>46153</v>
      </c>
      <c r="AA681" s="15"/>
      <c r="AB681" s="15"/>
      <c r="AF681" t="str">
        <f t="shared" si="54"/>
        <v>Closed in May</v>
      </c>
    </row>
    <row r="682" spans="1:32" hidden="1">
      <c r="A682" s="6">
        <v>46107</v>
      </c>
      <c r="B682" s="3">
        <v>2026</v>
      </c>
      <c r="C682" s="3" t="s">
        <v>114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55"/>
        <v>24</v>
      </c>
      <c r="R682" s="53" t="str">
        <f t="shared" si="5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73">
        <f t="shared" si="53"/>
        <v>46</v>
      </c>
      <c r="Z682" s="18">
        <v>46153</v>
      </c>
      <c r="AA682" s="15"/>
      <c r="AB682" s="15"/>
      <c r="AF682" t="str">
        <f t="shared" si="54"/>
        <v>Closed in May</v>
      </c>
    </row>
    <row r="683" spans="1:32" hidden="1">
      <c r="A683" s="6">
        <v>46107</v>
      </c>
      <c r="B683" s="3">
        <v>2026</v>
      </c>
      <c r="C683" s="3" t="s">
        <v>114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55"/>
        <v>24</v>
      </c>
      <c r="R683" s="53" t="str">
        <f t="shared" si="5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73">
        <f t="shared" si="53"/>
        <v>46</v>
      </c>
      <c r="Z683" s="18">
        <v>46153</v>
      </c>
      <c r="AA683" s="15"/>
      <c r="AB683" s="15"/>
      <c r="AF683" t="str">
        <f t="shared" si="54"/>
        <v>Closed in May</v>
      </c>
    </row>
    <row r="684" spans="1:32" hidden="1">
      <c r="A684" s="6">
        <v>46107</v>
      </c>
      <c r="B684" s="3">
        <v>2026</v>
      </c>
      <c r="C684" s="3" t="s">
        <v>114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55"/>
        <v>24</v>
      </c>
      <c r="R684" s="53" t="str">
        <f t="shared" si="5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73">
        <f t="shared" si="53"/>
        <v>46</v>
      </c>
      <c r="Z684" s="18">
        <v>46153</v>
      </c>
      <c r="AA684" s="15"/>
      <c r="AB684" s="15"/>
      <c r="AF684" t="str">
        <f t="shared" si="54"/>
        <v>Closed in May</v>
      </c>
    </row>
    <row r="685" spans="1:32" hidden="1">
      <c r="A685" s="6">
        <v>46107</v>
      </c>
      <c r="B685" s="3">
        <v>2026</v>
      </c>
      <c r="C685" s="3" t="s">
        <v>114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55"/>
        <v>24</v>
      </c>
      <c r="R685" s="53" t="str">
        <f t="shared" si="5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73">
        <f t="shared" si="53"/>
        <v>46</v>
      </c>
      <c r="Z685" s="18">
        <v>46153</v>
      </c>
      <c r="AA685" s="15"/>
      <c r="AB685" s="15"/>
      <c r="AF685" t="str">
        <f t="shared" si="54"/>
        <v>Closed in May</v>
      </c>
    </row>
    <row r="686" spans="1:32" hidden="1">
      <c r="A686" s="6">
        <v>46107</v>
      </c>
      <c r="B686" s="3">
        <v>2026</v>
      </c>
      <c r="C686" s="3" t="s">
        <v>114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55"/>
        <v>24</v>
      </c>
      <c r="R686" s="53" t="str">
        <f t="shared" si="5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73">
        <f t="shared" si="53"/>
        <v>46</v>
      </c>
      <c r="Z686" s="18">
        <v>46153</v>
      </c>
      <c r="AA686" s="15"/>
      <c r="AB686" s="15"/>
      <c r="AF686" t="str">
        <f t="shared" si="54"/>
        <v>Closed in May</v>
      </c>
    </row>
    <row r="687" spans="1:32" hidden="1">
      <c r="A687" s="6">
        <v>46107</v>
      </c>
      <c r="B687" s="3">
        <v>2026</v>
      </c>
      <c r="C687" s="3" t="s">
        <v>114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55"/>
        <v>24</v>
      </c>
      <c r="R687" s="53" t="str">
        <f t="shared" si="5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73">
        <f t="shared" si="53"/>
        <v>46</v>
      </c>
      <c r="Z687" s="18">
        <v>46153</v>
      </c>
      <c r="AA687" s="15"/>
      <c r="AB687" s="15"/>
      <c r="AF687" t="str">
        <f t="shared" si="54"/>
        <v>Closed in May</v>
      </c>
    </row>
    <row r="688" spans="1:32" hidden="1">
      <c r="A688" s="6">
        <v>46107</v>
      </c>
      <c r="B688" s="3">
        <v>2026</v>
      </c>
      <c r="C688" s="3" t="s">
        <v>114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55"/>
        <v>24</v>
      </c>
      <c r="R688" s="53" t="str">
        <f t="shared" si="5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73">
        <f t="shared" si="53"/>
        <v>46</v>
      </c>
      <c r="Z688" s="18">
        <v>46153</v>
      </c>
      <c r="AA688" s="15"/>
      <c r="AB688" s="15"/>
      <c r="AF688" t="str">
        <f t="shared" si="54"/>
        <v>Closed in May</v>
      </c>
    </row>
    <row r="689" spans="1:32" hidden="1">
      <c r="A689" s="6">
        <v>46107</v>
      </c>
      <c r="B689" s="3">
        <v>2026</v>
      </c>
      <c r="C689" s="3" t="s">
        <v>114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55"/>
        <v>24</v>
      </c>
      <c r="R689" s="53" t="str">
        <f t="shared" si="5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73">
        <f t="shared" si="53"/>
        <v>46</v>
      </c>
      <c r="Z689" s="18">
        <v>46153</v>
      </c>
      <c r="AA689" s="15"/>
      <c r="AB689" s="15"/>
      <c r="AF689" t="str">
        <f t="shared" si="54"/>
        <v>Closed in May</v>
      </c>
    </row>
    <row r="690" spans="1:32" hidden="1">
      <c r="A690" s="6">
        <v>46107</v>
      </c>
      <c r="B690" s="3">
        <v>2026</v>
      </c>
      <c r="C690" s="3" t="s">
        <v>114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55"/>
        <v>24</v>
      </c>
      <c r="R690" s="53" t="str">
        <f t="shared" si="5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73">
        <f t="shared" si="53"/>
        <v>46</v>
      </c>
      <c r="Z690" s="18">
        <v>46153</v>
      </c>
      <c r="AA690" s="15"/>
      <c r="AB690" s="15"/>
      <c r="AF690" t="str">
        <f t="shared" si="54"/>
        <v>Closed in May</v>
      </c>
    </row>
    <row r="691" spans="1:32" hidden="1">
      <c r="A691" s="6">
        <v>46107</v>
      </c>
      <c r="B691" s="3">
        <v>2026</v>
      </c>
      <c r="C691" s="3" t="s">
        <v>114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55"/>
        <v>24</v>
      </c>
      <c r="R691" s="53" t="str">
        <f t="shared" si="5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73">
        <f t="shared" si="53"/>
        <v>46</v>
      </c>
      <c r="Z691" s="18">
        <v>46153</v>
      </c>
      <c r="AA691" s="15"/>
      <c r="AB691" s="15"/>
      <c r="AF691" t="str">
        <f t="shared" si="54"/>
        <v>Closed in May</v>
      </c>
    </row>
    <row r="692" spans="1:32" hidden="1">
      <c r="A692" s="6">
        <v>46107</v>
      </c>
      <c r="B692" s="3">
        <v>2026</v>
      </c>
      <c r="C692" s="3" t="s">
        <v>114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55"/>
        <v>24</v>
      </c>
      <c r="R692" s="53" t="str">
        <f t="shared" si="5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73">
        <f t="shared" si="53"/>
        <v>46</v>
      </c>
      <c r="Z692" s="18">
        <v>46153</v>
      </c>
      <c r="AA692" s="15"/>
      <c r="AB692" s="15"/>
      <c r="AF692" t="str">
        <f t="shared" si="54"/>
        <v>Closed in May</v>
      </c>
    </row>
    <row r="693" spans="1:32" hidden="1">
      <c r="A693" s="6">
        <v>46107</v>
      </c>
      <c r="B693" s="3">
        <v>2026</v>
      </c>
      <c r="C693" s="3" t="s">
        <v>114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55"/>
        <v>24</v>
      </c>
      <c r="R693" s="53" t="str">
        <f t="shared" si="5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73">
        <f t="shared" si="53"/>
        <v>46</v>
      </c>
      <c r="Z693" s="18">
        <v>46153</v>
      </c>
      <c r="AA693" s="15"/>
      <c r="AB693" s="15"/>
      <c r="AF693" t="str">
        <f t="shared" si="54"/>
        <v>Closed in May</v>
      </c>
    </row>
    <row r="694" spans="1:32" hidden="1">
      <c r="A694" s="6">
        <v>46107</v>
      </c>
      <c r="B694" s="3">
        <v>2026</v>
      </c>
      <c r="C694" s="3" t="s">
        <v>114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55"/>
        <v>24</v>
      </c>
      <c r="R694" s="53" t="str">
        <f t="shared" si="5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73">
        <f t="shared" si="53"/>
        <v>46</v>
      </c>
      <c r="Z694" s="18">
        <v>46153</v>
      </c>
      <c r="AA694" s="15"/>
      <c r="AB694" s="15"/>
      <c r="AF694" t="str">
        <f t="shared" si="54"/>
        <v>Closed in May</v>
      </c>
    </row>
    <row r="695" spans="1:32" hidden="1">
      <c r="A695" s="6">
        <v>46107</v>
      </c>
      <c r="B695" s="3">
        <v>2026</v>
      </c>
      <c r="C695" s="3" t="s">
        <v>114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55"/>
        <v>24</v>
      </c>
      <c r="R695" s="53" t="str">
        <f t="shared" si="5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73">
        <f t="shared" si="53"/>
        <v>46</v>
      </c>
      <c r="Z695" s="18">
        <v>46153</v>
      </c>
      <c r="AA695" s="15"/>
      <c r="AB695" s="15"/>
      <c r="AF695" t="str">
        <f t="shared" si="54"/>
        <v>Closed in May</v>
      </c>
    </row>
    <row r="696" spans="1:32" hidden="1">
      <c r="A696" s="6">
        <v>46107</v>
      </c>
      <c r="B696" s="3">
        <v>2026</v>
      </c>
      <c r="C696" s="3" t="s">
        <v>114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55"/>
        <v>24</v>
      </c>
      <c r="R696" s="53" t="str">
        <f t="shared" si="5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73">
        <f t="shared" si="53"/>
        <v>46</v>
      </c>
      <c r="Z696" s="18">
        <v>46153</v>
      </c>
      <c r="AA696" s="15"/>
      <c r="AB696" s="15"/>
      <c r="AF696" t="str">
        <f t="shared" si="54"/>
        <v>Closed in May</v>
      </c>
    </row>
    <row r="697" spans="1:32" hidden="1">
      <c r="A697" s="6">
        <v>46107</v>
      </c>
      <c r="B697" s="3">
        <v>2026</v>
      </c>
      <c r="C697" s="3" t="s">
        <v>114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55"/>
        <v>24</v>
      </c>
      <c r="R697" s="53" t="str">
        <f t="shared" si="5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73">
        <f t="shared" si="53"/>
        <v>46</v>
      </c>
      <c r="Z697" s="18">
        <v>46153</v>
      </c>
      <c r="AA697" s="15"/>
      <c r="AB697" s="15"/>
      <c r="AF697" t="str">
        <f t="shared" si="54"/>
        <v>Closed in May</v>
      </c>
    </row>
    <row r="698" spans="1:32" hidden="1">
      <c r="A698" s="6">
        <v>46107</v>
      </c>
      <c r="B698" s="3">
        <v>2026</v>
      </c>
      <c r="C698" s="3" t="s">
        <v>114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55"/>
        <v>24</v>
      </c>
      <c r="R698" s="53" t="str">
        <f t="shared" si="5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73">
        <f t="shared" si="53"/>
        <v>46</v>
      </c>
      <c r="Z698" s="18">
        <v>46153</v>
      </c>
      <c r="AA698" s="15"/>
      <c r="AB698" s="15"/>
      <c r="AF698" t="str">
        <f t="shared" si="54"/>
        <v>Closed in May</v>
      </c>
    </row>
    <row r="699" spans="1:32" hidden="1">
      <c r="A699" s="6">
        <v>46107</v>
      </c>
      <c r="B699" s="3">
        <v>2026</v>
      </c>
      <c r="C699" s="3" t="s">
        <v>114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55"/>
        <v>24</v>
      </c>
      <c r="R699" s="53" t="str">
        <f t="shared" si="5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73">
        <f t="shared" si="53"/>
        <v>46</v>
      </c>
      <c r="Z699" s="18">
        <v>46153</v>
      </c>
      <c r="AA699" s="15"/>
      <c r="AB699" s="15"/>
      <c r="AF699" t="str">
        <f t="shared" si="54"/>
        <v>Closed in May</v>
      </c>
    </row>
    <row r="700" spans="1:32" hidden="1">
      <c r="A700" s="6">
        <v>46107</v>
      </c>
      <c r="B700" s="3">
        <v>2026</v>
      </c>
      <c r="C700" s="3" t="s">
        <v>114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55"/>
        <v>24</v>
      </c>
      <c r="R700" s="53" t="str">
        <f t="shared" si="5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73">
        <f t="shared" si="53"/>
        <v>46</v>
      </c>
      <c r="Z700" s="18">
        <v>46153</v>
      </c>
      <c r="AA700" s="15"/>
      <c r="AB700" s="15"/>
      <c r="AF700" t="str">
        <f t="shared" si="54"/>
        <v>Closed in May</v>
      </c>
    </row>
    <row r="701" spans="1:32" hidden="1">
      <c r="A701" s="6">
        <v>46107</v>
      </c>
      <c r="B701" s="3">
        <v>2026</v>
      </c>
      <c r="C701" s="3" t="s">
        <v>114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55"/>
        <v>24</v>
      </c>
      <c r="R701" s="53" t="str">
        <f t="shared" si="5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73">
        <f t="shared" si="53"/>
        <v>46</v>
      </c>
      <c r="Z701" s="18">
        <v>46153</v>
      </c>
      <c r="AA701" s="15"/>
      <c r="AB701" s="15"/>
      <c r="AF701" t="str">
        <f t="shared" si="54"/>
        <v>Closed in May</v>
      </c>
    </row>
    <row r="702" spans="1:32" hidden="1">
      <c r="A702" s="6">
        <v>46107</v>
      </c>
      <c r="B702" s="3">
        <v>2026</v>
      </c>
      <c r="C702" s="3" t="s">
        <v>114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55"/>
        <v>24</v>
      </c>
      <c r="R702" s="53" t="str">
        <f t="shared" si="5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73">
        <f t="shared" si="53"/>
        <v>46</v>
      </c>
      <c r="Z702" s="18">
        <v>46153</v>
      </c>
      <c r="AA702" s="15"/>
      <c r="AB702" s="15"/>
      <c r="AF702" t="str">
        <f t="shared" si="54"/>
        <v>Closed in May</v>
      </c>
    </row>
    <row r="703" spans="1:32" hidden="1">
      <c r="A703" s="6">
        <v>46107</v>
      </c>
      <c r="B703" s="3">
        <v>2026</v>
      </c>
      <c r="C703" s="3" t="s">
        <v>114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55"/>
        <v>24</v>
      </c>
      <c r="R703" s="53" t="str">
        <f t="shared" si="5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73">
        <f t="shared" si="53"/>
        <v>46</v>
      </c>
      <c r="Z703" s="18">
        <v>46153</v>
      </c>
      <c r="AA703" s="15"/>
      <c r="AB703" s="15"/>
      <c r="AF703" t="str">
        <f t="shared" si="54"/>
        <v>Closed in May</v>
      </c>
    </row>
    <row r="704" spans="1:32" hidden="1">
      <c r="A704" s="6">
        <v>46107</v>
      </c>
      <c r="B704" s="3">
        <v>2026</v>
      </c>
      <c r="C704" s="3" t="s">
        <v>114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55"/>
        <v>24</v>
      </c>
      <c r="R704" s="53" t="str">
        <f t="shared" si="5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73">
        <f t="shared" si="53"/>
        <v>46</v>
      </c>
      <c r="Z704" s="18">
        <v>46153</v>
      </c>
      <c r="AA704" s="15"/>
      <c r="AB704" s="15"/>
      <c r="AF704" t="str">
        <f t="shared" si="54"/>
        <v>Closed in May</v>
      </c>
    </row>
    <row r="705" spans="1:32" hidden="1">
      <c r="A705" s="6">
        <v>46107</v>
      </c>
      <c r="B705" s="3">
        <v>2026</v>
      </c>
      <c r="C705" s="3" t="s">
        <v>114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55"/>
        <v>24</v>
      </c>
      <c r="R705" s="53" t="str">
        <f t="shared" si="5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73">
        <f t="shared" si="53"/>
        <v>46</v>
      </c>
      <c r="Z705" s="18">
        <v>46153</v>
      </c>
      <c r="AA705" s="15"/>
      <c r="AB705" s="15"/>
      <c r="AF705" t="str">
        <f t="shared" si="54"/>
        <v>Closed in May</v>
      </c>
    </row>
    <row r="706" spans="1:32" hidden="1">
      <c r="A706" s="6">
        <v>46107</v>
      </c>
      <c r="B706" s="3">
        <v>2026</v>
      </c>
      <c r="C706" s="3" t="s">
        <v>114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55"/>
        <v>24</v>
      </c>
      <c r="R706" s="53" t="str">
        <f t="shared" si="5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73">
        <f t="shared" ref="Y706:Y769" si="57">IF(X706="","",X706-A706)</f>
        <v>46</v>
      </c>
      <c r="Z706" s="18">
        <v>46153</v>
      </c>
      <c r="AA706" s="15"/>
      <c r="AB706" s="15"/>
      <c r="AF706" t="str">
        <f t="shared" ref="AF706:AF769" si="58">IF(AND($F706="Closed",$X706&gt;=DATE(2026,5,1),$X706&lt;=DATE(2026,5,31)),"Closed in May","Other")</f>
        <v>Closed in May</v>
      </c>
    </row>
    <row r="707" spans="1:32" hidden="1">
      <c r="A707" s="6">
        <v>46107</v>
      </c>
      <c r="B707" s="3">
        <v>2026</v>
      </c>
      <c r="C707" s="3" t="s">
        <v>114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55"/>
        <v>24</v>
      </c>
      <c r="R707" s="53" t="str">
        <f t="shared" si="5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73">
        <f t="shared" si="57"/>
        <v>46</v>
      </c>
      <c r="Z707" s="18">
        <v>46153</v>
      </c>
      <c r="AA707" s="15"/>
      <c r="AB707" s="15"/>
      <c r="AF707" t="str">
        <f t="shared" si="58"/>
        <v>Closed in May</v>
      </c>
    </row>
    <row r="708" spans="1:32" hidden="1">
      <c r="A708" s="6">
        <v>46107</v>
      </c>
      <c r="B708" s="3">
        <v>2026</v>
      </c>
      <c r="C708" s="3" t="s">
        <v>114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55"/>
        <v>24</v>
      </c>
      <c r="R708" s="53" t="str">
        <f t="shared" si="5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73">
        <f t="shared" si="57"/>
        <v>46</v>
      </c>
      <c r="Z708" s="18">
        <v>46153</v>
      </c>
      <c r="AA708" s="15"/>
      <c r="AB708" s="15"/>
      <c r="AF708" t="str">
        <f t="shared" si="58"/>
        <v>Closed in May</v>
      </c>
    </row>
    <row r="709" spans="1:32" hidden="1">
      <c r="A709" s="6">
        <v>46107</v>
      </c>
      <c r="B709" s="3">
        <v>2026</v>
      </c>
      <c r="C709" s="3" t="s">
        <v>114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55"/>
        <v>24</v>
      </c>
      <c r="R709" s="53" t="str">
        <f t="shared" si="5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73">
        <f t="shared" si="57"/>
        <v>46</v>
      </c>
      <c r="Z709" s="18">
        <v>46153</v>
      </c>
      <c r="AA709" s="15"/>
      <c r="AB709" s="15"/>
      <c r="AF709" t="str">
        <f t="shared" si="58"/>
        <v>Closed in May</v>
      </c>
    </row>
    <row r="710" spans="1:32" hidden="1">
      <c r="A710" s="6">
        <v>46107</v>
      </c>
      <c r="B710" s="3">
        <v>2026</v>
      </c>
      <c r="C710" s="3" t="s">
        <v>114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55"/>
        <v>24</v>
      </c>
      <c r="R710" s="53" t="str">
        <f t="shared" si="5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73">
        <f t="shared" si="57"/>
        <v>46</v>
      </c>
      <c r="Z710" s="18">
        <v>46153</v>
      </c>
      <c r="AA710" s="15"/>
      <c r="AB710" s="15"/>
      <c r="AF710" t="str">
        <f t="shared" si="58"/>
        <v>Closed in May</v>
      </c>
    </row>
    <row r="711" spans="1:32" hidden="1">
      <c r="A711" s="6">
        <v>46107</v>
      </c>
      <c r="B711" s="3">
        <v>2026</v>
      </c>
      <c r="C711" s="3" t="s">
        <v>114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55"/>
        <v>24</v>
      </c>
      <c r="R711" s="53" t="str">
        <f t="shared" si="5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73">
        <f t="shared" si="57"/>
        <v>46</v>
      </c>
      <c r="Z711" s="18">
        <v>46153</v>
      </c>
      <c r="AA711" s="15"/>
      <c r="AB711" s="15"/>
      <c r="AF711" t="str">
        <f t="shared" si="58"/>
        <v>Closed in May</v>
      </c>
    </row>
    <row r="712" spans="1:32" hidden="1">
      <c r="A712" s="6">
        <v>46107</v>
      </c>
      <c r="B712" s="3">
        <v>2026</v>
      </c>
      <c r="C712" s="3" t="s">
        <v>114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55"/>
        <v>24</v>
      </c>
      <c r="R712" s="53" t="str">
        <f t="shared" si="5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73">
        <f t="shared" si="57"/>
        <v>46</v>
      </c>
      <c r="Z712" s="18">
        <v>46153</v>
      </c>
      <c r="AA712" s="15"/>
      <c r="AB712" s="15"/>
      <c r="AF712" t="str">
        <f t="shared" si="58"/>
        <v>Closed in May</v>
      </c>
    </row>
    <row r="713" spans="1:32" hidden="1">
      <c r="A713" s="6">
        <v>46107</v>
      </c>
      <c r="B713" s="3">
        <v>2026</v>
      </c>
      <c r="C713" s="3" t="s">
        <v>114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55"/>
        <v>24</v>
      </c>
      <c r="R713" s="53" t="str">
        <f t="shared" si="5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73">
        <f t="shared" si="57"/>
        <v>46</v>
      </c>
      <c r="Z713" s="18">
        <v>46153</v>
      </c>
      <c r="AA713" s="15"/>
      <c r="AB713" s="15"/>
      <c r="AF713" t="str">
        <f t="shared" si="58"/>
        <v>Closed in May</v>
      </c>
    </row>
    <row r="714" spans="1:32" hidden="1">
      <c r="A714" s="6">
        <v>46107</v>
      </c>
      <c r="B714" s="3">
        <v>2026</v>
      </c>
      <c r="C714" s="3" t="s">
        <v>114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55"/>
        <v>24</v>
      </c>
      <c r="R714" s="53" t="str">
        <f t="shared" si="5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73">
        <f t="shared" si="57"/>
        <v>46</v>
      </c>
      <c r="Z714" s="18">
        <v>46153</v>
      </c>
      <c r="AA714" s="15"/>
      <c r="AB714" s="15"/>
      <c r="AF714" t="str">
        <f t="shared" si="58"/>
        <v>Closed in May</v>
      </c>
    </row>
    <row r="715" spans="1:32" hidden="1">
      <c r="A715" s="6">
        <v>46107</v>
      </c>
      <c r="B715" s="3">
        <v>2026</v>
      </c>
      <c r="C715" s="3" t="s">
        <v>114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55"/>
        <v>24</v>
      </c>
      <c r="R715" s="53" t="str">
        <f t="shared" si="5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73">
        <f t="shared" si="57"/>
        <v>46</v>
      </c>
      <c r="Z715" s="18">
        <v>46153</v>
      </c>
      <c r="AA715" s="15"/>
      <c r="AB715" s="15"/>
      <c r="AF715" t="str">
        <f t="shared" si="58"/>
        <v>Closed in May</v>
      </c>
    </row>
    <row r="716" spans="1:32" hidden="1">
      <c r="A716" s="6">
        <v>46107</v>
      </c>
      <c r="B716" s="3">
        <v>2026</v>
      </c>
      <c r="C716" s="3" t="s">
        <v>114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55"/>
        <v>24</v>
      </c>
      <c r="R716" s="53" t="str">
        <f t="shared" si="5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73">
        <f t="shared" si="57"/>
        <v>46</v>
      </c>
      <c r="Z716" s="18">
        <v>46153</v>
      </c>
      <c r="AA716" s="15"/>
      <c r="AB716" s="15"/>
      <c r="AF716" t="str">
        <f t="shared" si="58"/>
        <v>Closed in May</v>
      </c>
    </row>
    <row r="717" spans="1:32" hidden="1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55"/>
        <v>24</v>
      </c>
      <c r="R717" s="53" t="str">
        <f t="shared" si="5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73">
        <f t="shared" si="57"/>
        <v>10</v>
      </c>
      <c r="Z717" s="18">
        <v>46153</v>
      </c>
      <c r="AA717" s="15"/>
      <c r="AB717" s="15"/>
      <c r="AF717" t="str">
        <f t="shared" si="58"/>
        <v>Closed in May</v>
      </c>
    </row>
    <row r="718" spans="1:32" hidden="1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55"/>
        <v>24</v>
      </c>
      <c r="R718" s="53" t="str">
        <f t="shared" si="5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73">
        <f t="shared" si="57"/>
        <v>10</v>
      </c>
      <c r="Z718" s="18">
        <v>46153</v>
      </c>
      <c r="AA718" s="15"/>
      <c r="AB718" s="15"/>
      <c r="AF718" t="str">
        <f t="shared" si="58"/>
        <v>Closed in May</v>
      </c>
    </row>
    <row r="719" spans="1:32" hidden="1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55"/>
        <v>24</v>
      </c>
      <c r="R719" s="53" t="str">
        <f t="shared" si="5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73">
        <f t="shared" si="57"/>
        <v>10</v>
      </c>
      <c r="Z719" s="18">
        <v>46153</v>
      </c>
      <c r="AA719" s="15"/>
      <c r="AB719" s="15"/>
      <c r="AF719" t="str">
        <f t="shared" si="58"/>
        <v>Closed in May</v>
      </c>
    </row>
    <row r="720" spans="1:32" hidden="1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55"/>
        <v>24</v>
      </c>
      <c r="R720" s="53" t="str">
        <f t="shared" si="5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73">
        <f t="shared" si="57"/>
        <v>10</v>
      </c>
      <c r="Z720" s="18">
        <v>46153</v>
      </c>
      <c r="AA720" s="15"/>
      <c r="AB720" s="15"/>
      <c r="AF720" t="str">
        <f t="shared" si="58"/>
        <v>Closed in May</v>
      </c>
    </row>
    <row r="721" spans="1:32" hidden="1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55"/>
        <v>24</v>
      </c>
      <c r="R721" s="53" t="str">
        <f t="shared" si="5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73">
        <f t="shared" si="57"/>
        <v>10</v>
      </c>
      <c r="Z721" s="18">
        <v>46153</v>
      </c>
      <c r="AA721" s="15"/>
      <c r="AB721" s="15"/>
      <c r="AF721" t="str">
        <f t="shared" si="58"/>
        <v>Closed in May</v>
      </c>
    </row>
    <row r="722" spans="1:32" hidden="1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55"/>
        <v>24</v>
      </c>
      <c r="R722" s="53" t="str">
        <f t="shared" si="5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73">
        <f t="shared" si="57"/>
        <v>10</v>
      </c>
      <c r="Z722" s="18">
        <v>46153</v>
      </c>
      <c r="AA722" s="15"/>
      <c r="AB722" s="15"/>
      <c r="AF722" t="str">
        <f t="shared" si="58"/>
        <v>Closed in May</v>
      </c>
    </row>
    <row r="723" spans="1:32" hidden="1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55"/>
        <v>24</v>
      </c>
      <c r="R723" s="53" t="str">
        <f t="shared" si="5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73">
        <f t="shared" si="57"/>
        <v>10</v>
      </c>
      <c r="Z723" s="18">
        <v>46153</v>
      </c>
      <c r="AA723" s="15"/>
      <c r="AB723" s="15"/>
      <c r="AF723" t="str">
        <f t="shared" si="58"/>
        <v>Closed in May</v>
      </c>
    </row>
    <row r="724" spans="1:32" hidden="1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55"/>
        <v>24</v>
      </c>
      <c r="R724" s="53" t="str">
        <f t="shared" si="5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73">
        <f t="shared" si="57"/>
        <v>10</v>
      </c>
      <c r="Z724" s="18">
        <v>46153</v>
      </c>
      <c r="AA724" s="15"/>
      <c r="AB724" s="15"/>
      <c r="AF724" t="str">
        <f t="shared" si="58"/>
        <v>Closed in May</v>
      </c>
    </row>
    <row r="725" spans="1:32" hidden="1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55"/>
        <v>24</v>
      </c>
      <c r="R725" s="53" t="str">
        <f t="shared" si="5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73">
        <f t="shared" si="57"/>
        <v>10</v>
      </c>
      <c r="Z725" s="18">
        <v>46153</v>
      </c>
      <c r="AA725" s="15"/>
      <c r="AB725" s="15"/>
      <c r="AF725" t="str">
        <f t="shared" si="58"/>
        <v>Closed in May</v>
      </c>
    </row>
    <row r="726" spans="1:32" hidden="1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55"/>
        <v>24</v>
      </c>
      <c r="R726" s="53" t="str">
        <f t="shared" si="5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73">
        <f t="shared" si="57"/>
        <v>10</v>
      </c>
      <c r="Z726" s="18">
        <v>46153</v>
      </c>
      <c r="AA726" s="15"/>
      <c r="AB726" s="15"/>
      <c r="AF726" t="str">
        <f t="shared" si="58"/>
        <v>Closed in May</v>
      </c>
    </row>
    <row r="727" spans="1:32" hidden="1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55"/>
        <v>24</v>
      </c>
      <c r="R727" s="53" t="str">
        <f t="shared" si="5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73">
        <f t="shared" si="57"/>
        <v>10</v>
      </c>
      <c r="Z727" s="18">
        <v>46153</v>
      </c>
      <c r="AA727" s="15"/>
      <c r="AB727" s="15"/>
      <c r="AF727" t="str">
        <f t="shared" si="58"/>
        <v>Closed in May</v>
      </c>
    </row>
    <row r="728" spans="1:32" hidden="1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55"/>
        <v>24</v>
      </c>
      <c r="R728" s="53" t="str">
        <f t="shared" si="5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73">
        <f t="shared" si="57"/>
        <v>10</v>
      </c>
      <c r="Z728" s="18">
        <v>46153</v>
      </c>
      <c r="AA728" s="15"/>
      <c r="AB728" s="15"/>
      <c r="AF728" t="str">
        <f t="shared" si="58"/>
        <v>Closed in May</v>
      </c>
    </row>
    <row r="729" spans="1:32" hidden="1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55"/>
        <v>24</v>
      </c>
      <c r="R729" s="53" t="str">
        <f t="shared" si="5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73">
        <f t="shared" si="57"/>
        <v>10</v>
      </c>
      <c r="Z729" s="18">
        <v>46153</v>
      </c>
      <c r="AA729" s="15"/>
      <c r="AB729" s="15"/>
      <c r="AF729" t="str">
        <f t="shared" si="58"/>
        <v>Closed in May</v>
      </c>
    </row>
    <row r="730" spans="1:32" hidden="1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55"/>
        <v>24</v>
      </c>
      <c r="R730" s="53" t="str">
        <f t="shared" si="5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73">
        <f t="shared" si="57"/>
        <v>10</v>
      </c>
      <c r="Z730" s="18">
        <v>46153</v>
      </c>
      <c r="AA730" s="15"/>
      <c r="AB730" s="15"/>
      <c r="AF730" t="str">
        <f t="shared" si="58"/>
        <v>Closed in May</v>
      </c>
    </row>
    <row r="731" spans="1:32" hidden="1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55"/>
        <v>24</v>
      </c>
      <c r="R731" s="53" t="str">
        <f t="shared" si="5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73">
        <f t="shared" si="57"/>
        <v>10</v>
      </c>
      <c r="Z731" s="18">
        <v>46153</v>
      </c>
      <c r="AA731" s="15"/>
      <c r="AB731" s="15"/>
      <c r="AF731" t="str">
        <f t="shared" si="58"/>
        <v>Closed in May</v>
      </c>
    </row>
    <row r="732" spans="1:32" hidden="1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55"/>
        <v>24</v>
      </c>
      <c r="R732" s="53" t="str">
        <f t="shared" si="5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73">
        <f t="shared" si="57"/>
        <v>10</v>
      </c>
      <c r="Z732" s="18">
        <v>46153</v>
      </c>
      <c r="AA732" s="15"/>
      <c r="AB732" s="15"/>
      <c r="AF732" t="str">
        <f t="shared" si="58"/>
        <v>Closed in May</v>
      </c>
    </row>
    <row r="733" spans="1:32" hidden="1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55"/>
        <v>24</v>
      </c>
      <c r="R733" s="53" t="str">
        <f t="shared" si="5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73">
        <f t="shared" si="57"/>
        <v>10</v>
      </c>
      <c r="Z733" s="18">
        <v>46153</v>
      </c>
      <c r="AA733" s="15"/>
      <c r="AB733" s="15"/>
      <c r="AF733" t="str">
        <f t="shared" si="58"/>
        <v>Closed in May</v>
      </c>
    </row>
    <row r="734" spans="1:32" hidden="1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55"/>
        <v>24</v>
      </c>
      <c r="R734" s="53" t="str">
        <f t="shared" si="5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73">
        <f t="shared" si="57"/>
        <v>10</v>
      </c>
      <c r="Z734" s="18">
        <v>46153</v>
      </c>
      <c r="AA734" s="15"/>
      <c r="AB734" s="15"/>
      <c r="AF734" t="str">
        <f t="shared" si="58"/>
        <v>Closed in May</v>
      </c>
    </row>
    <row r="735" spans="1:32" hidden="1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55"/>
        <v>24</v>
      </c>
      <c r="R735" s="53" t="str">
        <f t="shared" si="5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73">
        <f t="shared" si="57"/>
        <v>10</v>
      </c>
      <c r="Z735" s="18">
        <v>46153</v>
      </c>
      <c r="AA735" s="15"/>
      <c r="AB735" s="15"/>
      <c r="AF735" t="str">
        <f t="shared" si="58"/>
        <v>Closed in May</v>
      </c>
    </row>
    <row r="736" spans="1:32" hidden="1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55"/>
        <v>24</v>
      </c>
      <c r="R736" s="53" t="str">
        <f t="shared" si="5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73">
        <f t="shared" si="57"/>
        <v>10</v>
      </c>
      <c r="Z736" s="18">
        <v>46153</v>
      </c>
      <c r="AA736" s="15"/>
      <c r="AB736" s="15"/>
      <c r="AF736" t="str">
        <f t="shared" si="58"/>
        <v>Closed in May</v>
      </c>
    </row>
    <row r="737" spans="1:32" hidden="1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55"/>
        <v>24</v>
      </c>
      <c r="R737" s="53" t="str">
        <f t="shared" si="5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73">
        <f t="shared" si="57"/>
        <v>10</v>
      </c>
      <c r="Z737" s="18">
        <v>46153</v>
      </c>
      <c r="AA737" s="15"/>
      <c r="AB737" s="15"/>
      <c r="AF737" t="str">
        <f t="shared" si="58"/>
        <v>Closed in May</v>
      </c>
    </row>
    <row r="738" spans="1:32" hidden="1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55"/>
        <v>24</v>
      </c>
      <c r="R738" s="53" t="str">
        <f t="shared" si="5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73">
        <f t="shared" si="57"/>
        <v>10</v>
      </c>
      <c r="Z738" s="18">
        <v>46153</v>
      </c>
      <c r="AA738" s="15"/>
      <c r="AB738" s="15"/>
      <c r="AF738" t="str">
        <f t="shared" si="58"/>
        <v>Closed in May</v>
      </c>
    </row>
    <row r="739" spans="1:32" hidden="1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55"/>
        <v>24</v>
      </c>
      <c r="R739" s="53" t="str">
        <f t="shared" si="5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73">
        <f t="shared" si="57"/>
        <v>10</v>
      </c>
      <c r="Z739" s="18">
        <v>46153</v>
      </c>
      <c r="AA739" s="15"/>
      <c r="AB739" s="15"/>
      <c r="AF739" t="str">
        <f t="shared" si="58"/>
        <v>Closed in May</v>
      </c>
    </row>
    <row r="740" spans="1:32" hidden="1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55"/>
        <v>24</v>
      </c>
      <c r="R740" s="53" t="str">
        <f t="shared" si="5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73">
        <f t="shared" si="57"/>
        <v>10</v>
      </c>
      <c r="Z740" s="18">
        <v>46153</v>
      </c>
      <c r="AA740" s="15"/>
      <c r="AB740" s="15"/>
      <c r="AF740" t="str">
        <f t="shared" si="58"/>
        <v>Closed in May</v>
      </c>
    </row>
    <row r="741" spans="1:32" hidden="1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55"/>
        <v>24</v>
      </c>
      <c r="R741" s="53" t="str">
        <f t="shared" si="5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73">
        <f t="shared" si="57"/>
        <v>10</v>
      </c>
      <c r="Z741" s="18">
        <v>46153</v>
      </c>
      <c r="AA741" s="15"/>
      <c r="AB741" s="15"/>
      <c r="AF741" t="str">
        <f t="shared" si="58"/>
        <v>Closed in May</v>
      </c>
    </row>
    <row r="742" spans="1:32" hidden="1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55"/>
        <v>24</v>
      </c>
      <c r="R742" s="53" t="str">
        <f t="shared" si="5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73">
        <f t="shared" si="57"/>
        <v>10</v>
      </c>
      <c r="Z742" s="18">
        <v>46153</v>
      </c>
      <c r="AA742" s="15"/>
      <c r="AB742" s="15"/>
      <c r="AF742" t="str">
        <f t="shared" si="58"/>
        <v>Closed in May</v>
      </c>
    </row>
    <row r="743" spans="1:32" hidden="1">
      <c r="A743" s="37">
        <v>46154</v>
      </c>
      <c r="B743" s="3">
        <v>2026</v>
      </c>
      <c r="C743" s="19" t="s">
        <v>911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59">MID(P743,5,2)</f>
        <v>24</v>
      </c>
      <c r="R743" s="53" t="str">
        <f t="shared" ref="R743:R806" si="60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73">
        <f t="shared" si="57"/>
        <v>1</v>
      </c>
      <c r="Z743" s="19"/>
      <c r="AA743" s="19"/>
      <c r="AB743" s="19"/>
      <c r="AF743" t="str">
        <f t="shared" si="58"/>
        <v>Closed in May</v>
      </c>
    </row>
    <row r="744" spans="1:32" hidden="1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59"/>
        <v>25</v>
      </c>
      <c r="R744" s="53" t="str">
        <f t="shared" si="60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73">
        <f t="shared" si="57"/>
        <v>1</v>
      </c>
      <c r="Z744" s="19" t="s">
        <v>349</v>
      </c>
      <c r="AA744" s="19"/>
      <c r="AB744" s="19"/>
      <c r="AF744" t="str">
        <f t="shared" si="58"/>
        <v>Closed in May</v>
      </c>
    </row>
    <row r="745" spans="1:32" hidden="1">
      <c r="A745" s="6">
        <v>46107</v>
      </c>
      <c r="B745" s="3">
        <v>2026</v>
      </c>
      <c r="C745" s="3" t="s">
        <v>114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59"/>
        <v>24</v>
      </c>
      <c r="R745" s="53" t="str">
        <f t="shared" si="60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73">
        <f t="shared" si="57"/>
        <v>47</v>
      </c>
      <c r="Z745" s="18">
        <v>46154</v>
      </c>
      <c r="AA745" s="15"/>
      <c r="AB745" s="15"/>
      <c r="AF745" t="str">
        <f t="shared" si="58"/>
        <v>Closed in May</v>
      </c>
    </row>
    <row r="746" spans="1:32" hidden="1">
      <c r="A746" s="6">
        <v>46107</v>
      </c>
      <c r="B746" s="3">
        <v>2026</v>
      </c>
      <c r="C746" s="3" t="s">
        <v>114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59"/>
        <v>24</v>
      </c>
      <c r="R746" s="53" t="str">
        <f t="shared" si="60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73">
        <f t="shared" si="57"/>
        <v>47</v>
      </c>
      <c r="Z746" s="18">
        <v>46154</v>
      </c>
      <c r="AA746" s="15"/>
      <c r="AB746" s="15"/>
      <c r="AF746" t="str">
        <f t="shared" si="58"/>
        <v>Closed in May</v>
      </c>
    </row>
    <row r="747" spans="1:32" hidden="1">
      <c r="A747" s="6">
        <v>46107</v>
      </c>
      <c r="B747" s="3">
        <v>2026</v>
      </c>
      <c r="C747" s="3" t="s">
        <v>114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59"/>
        <v>24</v>
      </c>
      <c r="R747" s="53" t="str">
        <f t="shared" si="60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73">
        <f t="shared" si="57"/>
        <v>47</v>
      </c>
      <c r="Z747" s="18">
        <v>46154</v>
      </c>
      <c r="AA747" s="15"/>
      <c r="AB747" s="15"/>
      <c r="AF747" t="str">
        <f t="shared" si="58"/>
        <v>Closed in May</v>
      </c>
    </row>
    <row r="748" spans="1:32" hidden="1">
      <c r="A748" s="6">
        <v>46107</v>
      </c>
      <c r="B748" s="3">
        <v>2026</v>
      </c>
      <c r="C748" s="3" t="s">
        <v>114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59"/>
        <v>24</v>
      </c>
      <c r="R748" s="53" t="str">
        <f t="shared" si="60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73">
        <f t="shared" si="57"/>
        <v>47</v>
      </c>
      <c r="Z748" s="18">
        <v>46154</v>
      </c>
      <c r="AA748" s="15"/>
      <c r="AB748" s="15"/>
      <c r="AF748" t="str">
        <f t="shared" si="58"/>
        <v>Closed in May</v>
      </c>
    </row>
    <row r="749" spans="1:32" hidden="1">
      <c r="A749" s="6">
        <v>46107</v>
      </c>
      <c r="B749" s="3">
        <v>2026</v>
      </c>
      <c r="C749" s="3" t="s">
        <v>114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59"/>
        <v>24</v>
      </c>
      <c r="R749" s="53" t="str">
        <f t="shared" si="60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73">
        <f t="shared" si="57"/>
        <v>47</v>
      </c>
      <c r="Z749" s="18">
        <v>46154</v>
      </c>
      <c r="AA749" s="15"/>
      <c r="AB749" s="15"/>
      <c r="AF749" t="str">
        <f t="shared" si="58"/>
        <v>Closed in May</v>
      </c>
    </row>
    <row r="750" spans="1:32" hidden="1">
      <c r="A750" s="6">
        <v>46107</v>
      </c>
      <c r="B750" s="3">
        <v>2026</v>
      </c>
      <c r="C750" s="3" t="s">
        <v>114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59"/>
        <v>24</v>
      </c>
      <c r="R750" s="53" t="str">
        <f t="shared" si="60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73">
        <f t="shared" si="57"/>
        <v>47</v>
      </c>
      <c r="Z750" s="18">
        <v>46154</v>
      </c>
      <c r="AA750" s="15"/>
      <c r="AB750" s="15"/>
      <c r="AF750" t="str">
        <f t="shared" si="58"/>
        <v>Closed in May</v>
      </c>
    </row>
    <row r="751" spans="1:32" hidden="1">
      <c r="A751" s="6">
        <v>46107</v>
      </c>
      <c r="B751" s="3">
        <v>2026</v>
      </c>
      <c r="C751" s="3" t="s">
        <v>114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59"/>
        <v>24</v>
      </c>
      <c r="R751" s="53" t="str">
        <f t="shared" si="60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73">
        <f t="shared" si="57"/>
        <v>47</v>
      </c>
      <c r="Z751" s="18">
        <v>46154</v>
      </c>
      <c r="AA751" s="15"/>
      <c r="AB751" s="15"/>
      <c r="AF751" t="str">
        <f t="shared" si="58"/>
        <v>Closed in May</v>
      </c>
    </row>
    <row r="752" spans="1:32" hidden="1">
      <c r="A752" s="6">
        <v>46107</v>
      </c>
      <c r="B752" s="3">
        <v>2026</v>
      </c>
      <c r="C752" s="3" t="s">
        <v>114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59"/>
        <v>24</v>
      </c>
      <c r="R752" s="53" t="str">
        <f t="shared" si="60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73">
        <f t="shared" si="57"/>
        <v>47</v>
      </c>
      <c r="Z752" s="18">
        <v>46154</v>
      </c>
      <c r="AA752" s="15"/>
      <c r="AB752" s="15"/>
      <c r="AF752" t="str">
        <f t="shared" si="58"/>
        <v>Closed in May</v>
      </c>
    </row>
    <row r="753" spans="1:32" hidden="1">
      <c r="A753" s="6">
        <v>46107</v>
      </c>
      <c r="B753" s="3">
        <v>2026</v>
      </c>
      <c r="C753" s="3" t="s">
        <v>114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59"/>
        <v>24</v>
      </c>
      <c r="R753" s="53" t="str">
        <f t="shared" si="60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73">
        <f t="shared" si="57"/>
        <v>47</v>
      </c>
      <c r="Z753" s="18">
        <v>46154</v>
      </c>
      <c r="AA753" s="15"/>
      <c r="AB753" s="15"/>
      <c r="AF753" t="str">
        <f t="shared" si="58"/>
        <v>Closed in May</v>
      </c>
    </row>
    <row r="754" spans="1:32" hidden="1">
      <c r="A754" s="6">
        <v>46107</v>
      </c>
      <c r="B754" s="3">
        <v>2026</v>
      </c>
      <c r="C754" s="3" t="s">
        <v>114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59"/>
        <v>24</v>
      </c>
      <c r="R754" s="53" t="str">
        <f t="shared" si="60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73">
        <f t="shared" si="57"/>
        <v>47</v>
      </c>
      <c r="Z754" s="18">
        <v>46154</v>
      </c>
      <c r="AA754" s="15"/>
      <c r="AB754" s="15"/>
      <c r="AF754" t="str">
        <f t="shared" si="58"/>
        <v>Closed in May</v>
      </c>
    </row>
    <row r="755" spans="1:32" hidden="1">
      <c r="A755" s="6">
        <v>46107</v>
      </c>
      <c r="B755" s="3">
        <v>2026</v>
      </c>
      <c r="C755" s="3" t="s">
        <v>114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59"/>
        <v>24</v>
      </c>
      <c r="R755" s="53" t="str">
        <f t="shared" si="60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73">
        <f t="shared" si="57"/>
        <v>47</v>
      </c>
      <c r="Z755" s="18">
        <v>46154</v>
      </c>
      <c r="AA755" s="15"/>
      <c r="AB755" s="15"/>
      <c r="AF755" t="str">
        <f t="shared" si="58"/>
        <v>Closed in May</v>
      </c>
    </row>
    <row r="756" spans="1:32" hidden="1">
      <c r="A756" s="6">
        <v>46107</v>
      </c>
      <c r="B756" s="3">
        <v>2026</v>
      </c>
      <c r="C756" s="3" t="s">
        <v>114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59"/>
        <v>24</v>
      </c>
      <c r="R756" s="53" t="str">
        <f t="shared" si="60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73">
        <f t="shared" si="57"/>
        <v>47</v>
      </c>
      <c r="Z756" s="18">
        <v>46154</v>
      </c>
      <c r="AA756" s="15"/>
      <c r="AB756" s="15"/>
      <c r="AF756" t="str">
        <f t="shared" si="58"/>
        <v>Closed in May</v>
      </c>
    </row>
    <row r="757" spans="1:32" hidden="1">
      <c r="A757" s="6">
        <v>46107</v>
      </c>
      <c r="B757" s="3">
        <v>2026</v>
      </c>
      <c r="C757" s="3" t="s">
        <v>114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59"/>
        <v>24</v>
      </c>
      <c r="R757" s="53" t="str">
        <f t="shared" si="60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73">
        <f t="shared" si="57"/>
        <v>47</v>
      </c>
      <c r="Z757" s="18">
        <v>46154</v>
      </c>
      <c r="AA757" s="15"/>
      <c r="AB757" s="15"/>
      <c r="AF757" t="str">
        <f t="shared" si="58"/>
        <v>Closed in May</v>
      </c>
    </row>
    <row r="758" spans="1:32" hidden="1">
      <c r="A758" s="6">
        <v>46107</v>
      </c>
      <c r="B758" s="3">
        <v>2026</v>
      </c>
      <c r="C758" s="3" t="s">
        <v>114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59"/>
        <v>24</v>
      </c>
      <c r="R758" s="53" t="str">
        <f t="shared" si="60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73">
        <f t="shared" si="57"/>
        <v>47</v>
      </c>
      <c r="Z758" s="18">
        <v>46154</v>
      </c>
      <c r="AA758" s="15"/>
      <c r="AB758" s="15"/>
      <c r="AF758" t="str">
        <f t="shared" si="58"/>
        <v>Closed in May</v>
      </c>
    </row>
    <row r="759" spans="1:32" hidden="1">
      <c r="A759" s="6">
        <v>46107</v>
      </c>
      <c r="B759" s="3">
        <v>2026</v>
      </c>
      <c r="C759" s="3" t="s">
        <v>114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59"/>
        <v>24</v>
      </c>
      <c r="R759" s="53" t="str">
        <f t="shared" si="60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73">
        <f t="shared" si="57"/>
        <v>47</v>
      </c>
      <c r="Z759" s="18">
        <v>46154</v>
      </c>
      <c r="AA759" s="15"/>
      <c r="AB759" s="15"/>
      <c r="AF759" t="str">
        <f t="shared" si="58"/>
        <v>Closed in May</v>
      </c>
    </row>
    <row r="760" spans="1:32" hidden="1">
      <c r="A760" s="6">
        <v>46107</v>
      </c>
      <c r="B760" s="3">
        <v>2026</v>
      </c>
      <c r="C760" s="3" t="s">
        <v>114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59"/>
        <v>24</v>
      </c>
      <c r="R760" s="53" t="str">
        <f t="shared" si="60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73">
        <f t="shared" si="57"/>
        <v>47</v>
      </c>
      <c r="Z760" s="18">
        <v>46154</v>
      </c>
      <c r="AA760" s="15"/>
      <c r="AB760" s="15"/>
      <c r="AF760" t="str">
        <f t="shared" si="58"/>
        <v>Closed in May</v>
      </c>
    </row>
    <row r="761" spans="1:32" hidden="1">
      <c r="A761" s="6">
        <v>46107</v>
      </c>
      <c r="B761" s="3">
        <v>2026</v>
      </c>
      <c r="C761" s="3" t="s">
        <v>114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59"/>
        <v>24</v>
      </c>
      <c r="R761" s="53" t="str">
        <f t="shared" si="60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73">
        <f t="shared" si="57"/>
        <v>47</v>
      </c>
      <c r="Z761" s="18">
        <v>46154</v>
      </c>
      <c r="AA761" s="15"/>
      <c r="AB761" s="15"/>
      <c r="AF761" t="str">
        <f t="shared" si="58"/>
        <v>Closed in May</v>
      </c>
    </row>
    <row r="762" spans="1:32" hidden="1">
      <c r="A762" s="6">
        <v>46107</v>
      </c>
      <c r="B762" s="3">
        <v>2026</v>
      </c>
      <c r="C762" s="3" t="s">
        <v>114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59"/>
        <v>24</v>
      </c>
      <c r="R762" s="53" t="str">
        <f t="shared" si="60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73">
        <f t="shared" si="57"/>
        <v>47</v>
      </c>
      <c r="Z762" s="18">
        <v>46154</v>
      </c>
      <c r="AA762" s="15"/>
      <c r="AB762" s="15"/>
      <c r="AF762" t="str">
        <f t="shared" si="58"/>
        <v>Closed in May</v>
      </c>
    </row>
    <row r="763" spans="1:32" hidden="1">
      <c r="A763" s="6">
        <v>46107</v>
      </c>
      <c r="B763" s="3">
        <v>2026</v>
      </c>
      <c r="C763" s="3" t="s">
        <v>114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59"/>
        <v>24</v>
      </c>
      <c r="R763" s="53" t="str">
        <f t="shared" si="60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73">
        <f t="shared" si="57"/>
        <v>47</v>
      </c>
      <c r="Z763" s="18">
        <v>46154</v>
      </c>
      <c r="AA763" s="15"/>
      <c r="AB763" s="15"/>
      <c r="AF763" t="str">
        <f t="shared" si="58"/>
        <v>Closed in May</v>
      </c>
    </row>
    <row r="764" spans="1:32" hidden="1">
      <c r="A764" s="6">
        <v>46107</v>
      </c>
      <c r="B764" s="3">
        <v>2026</v>
      </c>
      <c r="C764" s="3" t="s">
        <v>114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59"/>
        <v>24</v>
      </c>
      <c r="R764" s="53" t="str">
        <f t="shared" si="60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73">
        <f t="shared" si="57"/>
        <v>47</v>
      </c>
      <c r="Z764" s="18">
        <v>46154</v>
      </c>
      <c r="AA764" s="15"/>
      <c r="AB764" s="15"/>
      <c r="AF764" t="str">
        <f t="shared" si="58"/>
        <v>Closed in May</v>
      </c>
    </row>
    <row r="765" spans="1:32" hidden="1">
      <c r="A765" s="6">
        <v>46107</v>
      </c>
      <c r="B765" s="3">
        <v>2026</v>
      </c>
      <c r="C765" s="3" t="s">
        <v>114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59"/>
        <v>24</v>
      </c>
      <c r="R765" s="53" t="str">
        <f t="shared" si="60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73">
        <f t="shared" si="57"/>
        <v>47</v>
      </c>
      <c r="Z765" s="18">
        <v>46154</v>
      </c>
      <c r="AA765" s="15"/>
      <c r="AB765" s="15"/>
      <c r="AF765" t="str">
        <f t="shared" si="58"/>
        <v>Closed in May</v>
      </c>
    </row>
    <row r="766" spans="1:32" hidden="1">
      <c r="A766" s="6">
        <v>46107</v>
      </c>
      <c r="B766" s="3">
        <v>2026</v>
      </c>
      <c r="C766" s="3" t="s">
        <v>114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59"/>
        <v>24</v>
      </c>
      <c r="R766" s="53" t="str">
        <f t="shared" si="60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73">
        <f t="shared" si="57"/>
        <v>47</v>
      </c>
      <c r="Z766" s="18">
        <v>46154</v>
      </c>
      <c r="AA766" s="15"/>
      <c r="AB766" s="15"/>
      <c r="AF766" t="str">
        <f t="shared" si="58"/>
        <v>Closed in May</v>
      </c>
    </row>
    <row r="767" spans="1:32" hidden="1">
      <c r="A767" s="6">
        <v>46107</v>
      </c>
      <c r="B767" s="3">
        <v>2026</v>
      </c>
      <c r="C767" s="3" t="s">
        <v>114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59"/>
        <v>24</v>
      </c>
      <c r="R767" s="53" t="str">
        <f t="shared" si="60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73">
        <f t="shared" si="57"/>
        <v>47</v>
      </c>
      <c r="Z767" s="18">
        <v>46154</v>
      </c>
      <c r="AA767" s="15"/>
      <c r="AB767" s="15"/>
      <c r="AF767" t="str">
        <f t="shared" si="58"/>
        <v>Closed in May</v>
      </c>
    </row>
    <row r="768" spans="1:32" hidden="1">
      <c r="A768" s="6">
        <v>46107</v>
      </c>
      <c r="B768" s="3">
        <v>2026</v>
      </c>
      <c r="C768" s="3" t="s">
        <v>114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59"/>
        <v>24</v>
      </c>
      <c r="R768" s="53" t="str">
        <f t="shared" si="60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73">
        <f t="shared" si="57"/>
        <v>47</v>
      </c>
      <c r="Z768" s="18">
        <v>46154</v>
      </c>
      <c r="AA768" s="15"/>
      <c r="AB768" s="15"/>
      <c r="AF768" t="str">
        <f t="shared" si="58"/>
        <v>Closed in May</v>
      </c>
    </row>
    <row r="769" spans="1:32" hidden="1">
      <c r="A769" s="6">
        <v>46107</v>
      </c>
      <c r="B769" s="3">
        <v>2026</v>
      </c>
      <c r="C769" s="3" t="s">
        <v>114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59"/>
        <v>24</v>
      </c>
      <c r="R769" s="53" t="str">
        <f t="shared" si="60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73">
        <f t="shared" si="57"/>
        <v>47</v>
      </c>
      <c r="Z769" s="18">
        <v>46154</v>
      </c>
      <c r="AA769" s="15"/>
      <c r="AB769" s="15"/>
      <c r="AF769" t="str">
        <f t="shared" si="58"/>
        <v>Closed in May</v>
      </c>
    </row>
    <row r="770" spans="1:32" hidden="1">
      <c r="A770" s="6">
        <v>46107</v>
      </c>
      <c r="B770" s="3">
        <v>2026</v>
      </c>
      <c r="C770" s="3" t="s">
        <v>114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59"/>
        <v>24</v>
      </c>
      <c r="R770" s="53" t="str">
        <f t="shared" si="60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73">
        <f t="shared" ref="Y770:Y833" si="61">IF(X770="","",X770-A770)</f>
        <v>47</v>
      </c>
      <c r="Z770" s="18">
        <v>46154</v>
      </c>
      <c r="AA770" s="15"/>
      <c r="AB770" s="15"/>
      <c r="AF770" t="str">
        <f t="shared" ref="AF770:AF833" si="62">IF(AND($F770="Closed",$X770&gt;=DATE(2026,5,1),$X770&lt;=DATE(2026,5,31)),"Closed in May","Other")</f>
        <v>Closed in May</v>
      </c>
    </row>
    <row r="771" spans="1:32" hidden="1">
      <c r="A771" s="6">
        <v>46107</v>
      </c>
      <c r="B771" s="3">
        <v>2026</v>
      </c>
      <c r="C771" s="3" t="s">
        <v>114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59"/>
        <v>24</v>
      </c>
      <c r="R771" s="53" t="str">
        <f t="shared" si="60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73">
        <f t="shared" si="61"/>
        <v>47</v>
      </c>
      <c r="Z771" s="18">
        <v>46154</v>
      </c>
      <c r="AA771" s="15"/>
      <c r="AB771" s="15"/>
      <c r="AF771" t="str">
        <f t="shared" si="62"/>
        <v>Closed in May</v>
      </c>
    </row>
    <row r="772" spans="1:32" hidden="1">
      <c r="A772" s="6">
        <v>46107</v>
      </c>
      <c r="B772" s="3">
        <v>2026</v>
      </c>
      <c r="C772" s="3" t="s">
        <v>114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59"/>
        <v>24</v>
      </c>
      <c r="R772" s="53" t="str">
        <f t="shared" si="60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73">
        <f t="shared" si="61"/>
        <v>47</v>
      </c>
      <c r="Z772" s="18">
        <v>46154</v>
      </c>
      <c r="AA772" s="15"/>
      <c r="AB772" s="15"/>
      <c r="AF772" t="str">
        <f t="shared" si="62"/>
        <v>Closed in May</v>
      </c>
    </row>
    <row r="773" spans="1:32" hidden="1">
      <c r="A773" s="6">
        <v>46107</v>
      </c>
      <c r="B773" s="3">
        <v>2026</v>
      </c>
      <c r="C773" s="3" t="s">
        <v>114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59"/>
        <v>24</v>
      </c>
      <c r="R773" s="53" t="str">
        <f t="shared" si="60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73">
        <f t="shared" si="61"/>
        <v>47</v>
      </c>
      <c r="Z773" s="18">
        <v>46154</v>
      </c>
      <c r="AA773" s="15"/>
      <c r="AB773" s="15"/>
      <c r="AF773" t="str">
        <f t="shared" si="62"/>
        <v>Closed in May</v>
      </c>
    </row>
    <row r="774" spans="1:32" hidden="1">
      <c r="A774" s="6">
        <v>46107</v>
      </c>
      <c r="B774" s="3">
        <v>2026</v>
      </c>
      <c r="C774" s="3" t="s">
        <v>114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59"/>
        <v>24</v>
      </c>
      <c r="R774" s="53" t="str">
        <f t="shared" si="60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73">
        <f t="shared" si="61"/>
        <v>47</v>
      </c>
      <c r="Z774" s="18">
        <v>46154</v>
      </c>
      <c r="AA774" s="15"/>
      <c r="AB774" s="15"/>
      <c r="AF774" t="str">
        <f t="shared" si="62"/>
        <v>Closed in May</v>
      </c>
    </row>
    <row r="775" spans="1:32" hidden="1">
      <c r="A775" s="6">
        <v>46107</v>
      </c>
      <c r="B775" s="3">
        <v>2026</v>
      </c>
      <c r="C775" s="3" t="s">
        <v>114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59"/>
        <v>24</v>
      </c>
      <c r="R775" s="53" t="str">
        <f t="shared" si="60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73">
        <f t="shared" si="61"/>
        <v>47</v>
      </c>
      <c r="Z775" s="18">
        <v>46154</v>
      </c>
      <c r="AA775" s="15"/>
      <c r="AB775" s="15"/>
      <c r="AF775" t="str">
        <f t="shared" si="62"/>
        <v>Closed in May</v>
      </c>
    </row>
    <row r="776" spans="1:32" hidden="1">
      <c r="A776" s="6">
        <v>46107</v>
      </c>
      <c r="B776" s="3">
        <v>2026</v>
      </c>
      <c r="C776" s="3" t="s">
        <v>114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59"/>
        <v>24</v>
      </c>
      <c r="R776" s="53" t="str">
        <f t="shared" si="60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73">
        <f t="shared" si="61"/>
        <v>47</v>
      </c>
      <c r="Z776" s="18">
        <v>46154</v>
      </c>
      <c r="AA776" s="15"/>
      <c r="AB776" s="15"/>
      <c r="AF776" t="str">
        <f t="shared" si="62"/>
        <v>Closed in May</v>
      </c>
    </row>
    <row r="777" spans="1:32" hidden="1">
      <c r="A777" s="6">
        <v>46107</v>
      </c>
      <c r="B777" s="3">
        <v>2026</v>
      </c>
      <c r="C777" s="3" t="s">
        <v>114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59"/>
        <v>24</v>
      </c>
      <c r="R777" s="53" t="str">
        <f t="shared" si="60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73">
        <f t="shared" si="61"/>
        <v>47</v>
      </c>
      <c r="Z777" s="18">
        <v>46154</v>
      </c>
      <c r="AA777" s="15"/>
      <c r="AB777" s="15"/>
      <c r="AF777" t="str">
        <f t="shared" si="62"/>
        <v>Closed in May</v>
      </c>
    </row>
    <row r="778" spans="1:32" hidden="1">
      <c r="A778" s="6">
        <v>46107</v>
      </c>
      <c r="B778" s="3">
        <v>2026</v>
      </c>
      <c r="C778" s="3" t="s">
        <v>114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59"/>
        <v>24</v>
      </c>
      <c r="R778" s="53" t="str">
        <f t="shared" si="60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73">
        <f t="shared" si="61"/>
        <v>47</v>
      </c>
      <c r="Z778" s="18">
        <v>46154</v>
      </c>
      <c r="AA778" s="15"/>
      <c r="AB778" s="15"/>
      <c r="AF778" t="str">
        <f t="shared" si="62"/>
        <v>Closed in May</v>
      </c>
    </row>
    <row r="779" spans="1:32" hidden="1">
      <c r="A779" s="6">
        <v>46107</v>
      </c>
      <c r="B779" s="3">
        <v>2026</v>
      </c>
      <c r="C779" s="3" t="s">
        <v>114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59"/>
        <v>24</v>
      </c>
      <c r="R779" s="53" t="str">
        <f t="shared" si="60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73">
        <f t="shared" si="61"/>
        <v>47</v>
      </c>
      <c r="Z779" s="18">
        <v>46154</v>
      </c>
      <c r="AA779" s="15"/>
      <c r="AB779" s="15"/>
      <c r="AF779" t="str">
        <f t="shared" si="62"/>
        <v>Closed in May</v>
      </c>
    </row>
    <row r="780" spans="1:32" hidden="1">
      <c r="A780" s="6">
        <v>46107</v>
      </c>
      <c r="B780" s="3">
        <v>2026</v>
      </c>
      <c r="C780" s="3" t="s">
        <v>114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59"/>
        <v>24</v>
      </c>
      <c r="R780" s="53" t="str">
        <f t="shared" si="60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73">
        <f t="shared" si="61"/>
        <v>47</v>
      </c>
      <c r="Z780" s="18">
        <v>46154</v>
      </c>
      <c r="AA780" s="15"/>
      <c r="AB780" s="15"/>
      <c r="AF780" t="str">
        <f t="shared" si="62"/>
        <v>Closed in May</v>
      </c>
    </row>
    <row r="781" spans="1:32" hidden="1">
      <c r="A781" s="6">
        <v>46107</v>
      </c>
      <c r="B781" s="3">
        <v>2026</v>
      </c>
      <c r="C781" s="3" t="s">
        <v>114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59"/>
        <v>24</v>
      </c>
      <c r="R781" s="53" t="str">
        <f t="shared" si="60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73">
        <f t="shared" si="61"/>
        <v>47</v>
      </c>
      <c r="Z781" s="18">
        <v>46154</v>
      </c>
      <c r="AA781" s="15"/>
      <c r="AB781" s="15"/>
      <c r="AF781" t="str">
        <f t="shared" si="62"/>
        <v>Closed in May</v>
      </c>
    </row>
    <row r="782" spans="1:32" hidden="1">
      <c r="A782" s="6">
        <v>46107</v>
      </c>
      <c r="B782" s="3">
        <v>2026</v>
      </c>
      <c r="C782" s="3" t="s">
        <v>114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59"/>
        <v>24</v>
      </c>
      <c r="R782" s="53" t="str">
        <f t="shared" si="60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73">
        <f t="shared" si="61"/>
        <v>47</v>
      </c>
      <c r="Z782" s="18">
        <v>46154</v>
      </c>
      <c r="AA782" s="15"/>
      <c r="AB782" s="15"/>
      <c r="AF782" t="str">
        <f t="shared" si="62"/>
        <v>Closed in May</v>
      </c>
    </row>
    <row r="783" spans="1:32" hidden="1">
      <c r="A783" s="6">
        <v>46107</v>
      </c>
      <c r="B783" s="3">
        <v>2026</v>
      </c>
      <c r="C783" s="3" t="s">
        <v>114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59"/>
        <v>24</v>
      </c>
      <c r="R783" s="53" t="str">
        <f t="shared" si="60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73">
        <f t="shared" si="61"/>
        <v>47</v>
      </c>
      <c r="Z783" s="18">
        <v>46154</v>
      </c>
      <c r="AA783" s="15"/>
      <c r="AB783" s="15"/>
      <c r="AF783" t="str">
        <f t="shared" si="62"/>
        <v>Closed in May</v>
      </c>
    </row>
    <row r="784" spans="1:32" hidden="1">
      <c r="A784" s="6">
        <v>46107</v>
      </c>
      <c r="B784" s="3">
        <v>2026</v>
      </c>
      <c r="C784" s="3" t="s">
        <v>114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59"/>
        <v>24</v>
      </c>
      <c r="R784" s="53" t="str">
        <f t="shared" si="60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73">
        <f t="shared" si="61"/>
        <v>47</v>
      </c>
      <c r="Z784" s="18">
        <v>46154</v>
      </c>
      <c r="AA784" s="15"/>
      <c r="AB784" s="15"/>
      <c r="AF784" t="str">
        <f t="shared" si="62"/>
        <v>Closed in May</v>
      </c>
    </row>
    <row r="785" spans="1:32" hidden="1">
      <c r="A785" s="6">
        <v>46107</v>
      </c>
      <c r="B785" s="3">
        <v>2026</v>
      </c>
      <c r="C785" s="3" t="s">
        <v>114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59"/>
        <v>24</v>
      </c>
      <c r="R785" s="53" t="str">
        <f t="shared" si="60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73">
        <f t="shared" si="61"/>
        <v>47</v>
      </c>
      <c r="Z785" s="18">
        <v>46154</v>
      </c>
      <c r="AA785" s="15"/>
      <c r="AB785" s="15"/>
      <c r="AF785" t="str">
        <f t="shared" si="62"/>
        <v>Closed in May</v>
      </c>
    </row>
    <row r="786" spans="1:32" hidden="1">
      <c r="A786" s="6">
        <v>46107</v>
      </c>
      <c r="B786" s="3">
        <v>2026</v>
      </c>
      <c r="C786" s="3" t="s">
        <v>114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59"/>
        <v>24</v>
      </c>
      <c r="R786" s="53" t="str">
        <f t="shared" si="60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73">
        <f t="shared" si="61"/>
        <v>47</v>
      </c>
      <c r="Z786" s="18">
        <v>46154</v>
      </c>
      <c r="AA786" s="15"/>
      <c r="AB786" s="15"/>
      <c r="AF786" t="str">
        <f t="shared" si="62"/>
        <v>Closed in May</v>
      </c>
    </row>
    <row r="787" spans="1:32" hidden="1">
      <c r="A787" s="6">
        <v>46107</v>
      </c>
      <c r="B787" s="3">
        <v>2026</v>
      </c>
      <c r="C787" s="3" t="s">
        <v>114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59"/>
        <v>24</v>
      </c>
      <c r="R787" s="53" t="str">
        <f t="shared" si="60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73">
        <f t="shared" si="61"/>
        <v>47</v>
      </c>
      <c r="Z787" s="18">
        <v>46154</v>
      </c>
      <c r="AA787" s="15"/>
      <c r="AB787" s="15"/>
      <c r="AF787" t="str">
        <f t="shared" si="62"/>
        <v>Closed in May</v>
      </c>
    </row>
    <row r="788" spans="1:32" hidden="1">
      <c r="A788" s="6">
        <v>46107</v>
      </c>
      <c r="B788" s="3">
        <v>2026</v>
      </c>
      <c r="C788" s="3" t="s">
        <v>114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59"/>
        <v>24</v>
      </c>
      <c r="R788" s="53" t="str">
        <f t="shared" si="60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73">
        <f t="shared" si="61"/>
        <v>47</v>
      </c>
      <c r="Z788" s="18">
        <v>46154</v>
      </c>
      <c r="AA788" s="15"/>
      <c r="AB788" s="15"/>
      <c r="AF788" t="str">
        <f t="shared" si="62"/>
        <v>Closed in May</v>
      </c>
    </row>
    <row r="789" spans="1:32" hidden="1">
      <c r="A789" s="6">
        <v>46107</v>
      </c>
      <c r="B789" s="3">
        <v>2026</v>
      </c>
      <c r="C789" s="3" t="s">
        <v>114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59"/>
        <v>24</v>
      </c>
      <c r="R789" s="53" t="str">
        <f t="shared" si="60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73">
        <f t="shared" si="61"/>
        <v>47</v>
      </c>
      <c r="Z789" s="18">
        <v>46154</v>
      </c>
      <c r="AA789" s="15"/>
      <c r="AB789" s="15"/>
      <c r="AF789" t="str">
        <f t="shared" si="62"/>
        <v>Closed in May</v>
      </c>
    </row>
    <row r="790" spans="1:32" hidden="1">
      <c r="A790" s="6">
        <v>46107</v>
      </c>
      <c r="B790" s="3">
        <v>2026</v>
      </c>
      <c r="C790" s="3" t="s">
        <v>114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59"/>
        <v>24</v>
      </c>
      <c r="R790" s="53" t="str">
        <f t="shared" si="60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73">
        <f t="shared" si="61"/>
        <v>47</v>
      </c>
      <c r="Z790" s="18">
        <v>46154</v>
      </c>
      <c r="AA790" s="15"/>
      <c r="AB790" s="15"/>
      <c r="AF790" t="str">
        <f t="shared" si="62"/>
        <v>Closed in May</v>
      </c>
    </row>
    <row r="791" spans="1:32" hidden="1">
      <c r="A791" s="6">
        <v>46107</v>
      </c>
      <c r="B791" s="3">
        <v>2026</v>
      </c>
      <c r="C791" s="3" t="s">
        <v>114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59"/>
        <v>24</v>
      </c>
      <c r="R791" s="53" t="str">
        <f t="shared" si="60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73">
        <f t="shared" si="61"/>
        <v>47</v>
      </c>
      <c r="Z791" s="18">
        <v>46154</v>
      </c>
      <c r="AA791" s="15"/>
      <c r="AB791" s="15"/>
      <c r="AF791" t="str">
        <f t="shared" si="62"/>
        <v>Closed in May</v>
      </c>
    </row>
    <row r="792" spans="1:32" hidden="1">
      <c r="A792" s="6">
        <v>46107</v>
      </c>
      <c r="B792" s="3">
        <v>2026</v>
      </c>
      <c r="C792" s="3" t="s">
        <v>114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59"/>
        <v>24</v>
      </c>
      <c r="R792" s="53" t="str">
        <f t="shared" si="60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73">
        <f t="shared" si="61"/>
        <v>47</v>
      </c>
      <c r="Z792" s="18">
        <v>46154</v>
      </c>
      <c r="AA792" s="15"/>
      <c r="AB792" s="15"/>
      <c r="AF792" t="str">
        <f t="shared" si="62"/>
        <v>Closed in May</v>
      </c>
    </row>
    <row r="793" spans="1:32" hidden="1">
      <c r="A793" s="6">
        <v>46107</v>
      </c>
      <c r="B793" s="3">
        <v>2026</v>
      </c>
      <c r="C793" s="3" t="s">
        <v>114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59"/>
        <v>24</v>
      </c>
      <c r="R793" s="53" t="str">
        <f t="shared" si="60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73">
        <f t="shared" si="61"/>
        <v>47</v>
      </c>
      <c r="Z793" s="18">
        <v>46154</v>
      </c>
      <c r="AA793" s="15"/>
      <c r="AB793" s="15"/>
      <c r="AF793" t="str">
        <f t="shared" si="62"/>
        <v>Closed in May</v>
      </c>
    </row>
    <row r="794" spans="1:32" hidden="1">
      <c r="A794" s="6">
        <v>46107</v>
      </c>
      <c r="B794" s="3">
        <v>2026</v>
      </c>
      <c r="C794" s="3" t="s">
        <v>114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59"/>
        <v>24</v>
      </c>
      <c r="R794" s="53" t="str">
        <f t="shared" si="60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73">
        <f t="shared" si="61"/>
        <v>47</v>
      </c>
      <c r="Z794" s="18">
        <v>46154</v>
      </c>
      <c r="AA794" s="15"/>
      <c r="AB794" s="15"/>
      <c r="AF794" t="str">
        <f t="shared" si="62"/>
        <v>Closed in May</v>
      </c>
    </row>
    <row r="795" spans="1:32" hidden="1">
      <c r="A795" s="6">
        <v>46107</v>
      </c>
      <c r="B795" s="3">
        <v>2026</v>
      </c>
      <c r="C795" s="3" t="s">
        <v>114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59"/>
        <v>24</v>
      </c>
      <c r="R795" s="53" t="str">
        <f t="shared" si="60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73">
        <f t="shared" si="61"/>
        <v>47</v>
      </c>
      <c r="Z795" s="18">
        <v>46154</v>
      </c>
      <c r="AA795" s="15"/>
      <c r="AB795" s="15"/>
      <c r="AF795" t="str">
        <f t="shared" si="62"/>
        <v>Closed in May</v>
      </c>
    </row>
    <row r="796" spans="1:32" hidden="1">
      <c r="A796" s="6">
        <v>46107</v>
      </c>
      <c r="B796" s="3">
        <v>2026</v>
      </c>
      <c r="C796" s="3" t="s">
        <v>114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59"/>
        <v>24</v>
      </c>
      <c r="R796" s="53" t="str">
        <f t="shared" si="60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73">
        <f t="shared" si="61"/>
        <v>47</v>
      </c>
      <c r="Z796" s="18">
        <v>46154</v>
      </c>
      <c r="AA796" s="15"/>
      <c r="AB796" s="15"/>
      <c r="AF796" t="str">
        <f t="shared" si="62"/>
        <v>Closed in May</v>
      </c>
    </row>
    <row r="797" spans="1:32" hidden="1">
      <c r="A797" s="6">
        <v>46107</v>
      </c>
      <c r="B797" s="3">
        <v>2026</v>
      </c>
      <c r="C797" s="3" t="s">
        <v>114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59"/>
        <v>24</v>
      </c>
      <c r="R797" s="53" t="str">
        <f t="shared" si="60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73">
        <f t="shared" si="61"/>
        <v>47</v>
      </c>
      <c r="Z797" s="18">
        <v>46154</v>
      </c>
      <c r="AA797" s="15"/>
      <c r="AB797" s="15"/>
      <c r="AF797" t="str">
        <f t="shared" si="62"/>
        <v>Closed in May</v>
      </c>
    </row>
    <row r="798" spans="1:32" hidden="1">
      <c r="A798" s="6">
        <v>46107</v>
      </c>
      <c r="B798" s="3">
        <v>2026</v>
      </c>
      <c r="C798" s="3" t="s">
        <v>114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59"/>
        <v>24</v>
      </c>
      <c r="R798" s="53" t="str">
        <f t="shared" si="60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73">
        <f t="shared" si="61"/>
        <v>47</v>
      </c>
      <c r="Z798" s="18">
        <v>46154</v>
      </c>
      <c r="AA798" s="15"/>
      <c r="AB798" s="15"/>
      <c r="AF798" t="str">
        <f t="shared" si="62"/>
        <v>Closed in May</v>
      </c>
    </row>
    <row r="799" spans="1:32" hidden="1">
      <c r="A799" s="6">
        <v>46107</v>
      </c>
      <c r="B799" s="3">
        <v>2026</v>
      </c>
      <c r="C799" s="3" t="s">
        <v>114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59"/>
        <v>24</v>
      </c>
      <c r="R799" s="53" t="str">
        <f t="shared" si="60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73">
        <f t="shared" si="61"/>
        <v>47</v>
      </c>
      <c r="Z799" s="18">
        <v>46154</v>
      </c>
      <c r="AA799" s="15"/>
      <c r="AB799" s="15"/>
      <c r="AF799" t="str">
        <f t="shared" si="62"/>
        <v>Closed in May</v>
      </c>
    </row>
    <row r="800" spans="1:32" hidden="1">
      <c r="A800" s="6">
        <v>46107</v>
      </c>
      <c r="B800" s="3">
        <v>2026</v>
      </c>
      <c r="C800" s="3" t="s">
        <v>114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59"/>
        <v>24</v>
      </c>
      <c r="R800" s="53" t="str">
        <f t="shared" si="60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73">
        <f t="shared" si="61"/>
        <v>47</v>
      </c>
      <c r="Z800" s="18">
        <v>46154</v>
      </c>
      <c r="AA800" s="15"/>
      <c r="AB800" s="15"/>
      <c r="AF800" t="str">
        <f t="shared" si="62"/>
        <v>Closed in May</v>
      </c>
    </row>
    <row r="801" spans="1:32" hidden="1">
      <c r="A801" s="6">
        <v>46107</v>
      </c>
      <c r="B801" s="3">
        <v>2026</v>
      </c>
      <c r="C801" s="3" t="s">
        <v>114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59"/>
        <v>24</v>
      </c>
      <c r="R801" s="53" t="str">
        <f t="shared" si="60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73">
        <f t="shared" si="61"/>
        <v>47</v>
      </c>
      <c r="Z801" s="18">
        <v>46154</v>
      </c>
      <c r="AA801" s="15"/>
      <c r="AB801" s="15"/>
      <c r="AF801" t="str">
        <f t="shared" si="62"/>
        <v>Closed in May</v>
      </c>
    </row>
    <row r="802" spans="1:32" hidden="1">
      <c r="A802" s="6">
        <v>46107</v>
      </c>
      <c r="B802" s="3">
        <v>2026</v>
      </c>
      <c r="C802" s="3" t="s">
        <v>114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59"/>
        <v>24</v>
      </c>
      <c r="R802" s="53" t="str">
        <f t="shared" si="60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73">
        <f t="shared" si="61"/>
        <v>47</v>
      </c>
      <c r="Z802" s="18">
        <v>46154</v>
      </c>
      <c r="AA802" s="15"/>
      <c r="AB802" s="15"/>
      <c r="AF802" t="str">
        <f t="shared" si="62"/>
        <v>Closed in May</v>
      </c>
    </row>
    <row r="803" spans="1:32" hidden="1">
      <c r="A803" s="6">
        <v>46107</v>
      </c>
      <c r="B803" s="3">
        <v>2026</v>
      </c>
      <c r="C803" s="3" t="s">
        <v>114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59"/>
        <v>24</v>
      </c>
      <c r="R803" s="53" t="str">
        <f t="shared" si="60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73">
        <f t="shared" si="61"/>
        <v>47</v>
      </c>
      <c r="Z803" s="18">
        <v>46154</v>
      </c>
      <c r="AA803" s="15"/>
      <c r="AB803" s="15"/>
      <c r="AF803" t="str">
        <f t="shared" si="62"/>
        <v>Closed in May</v>
      </c>
    </row>
    <row r="804" spans="1:32" hidden="1">
      <c r="A804" s="6">
        <v>46107</v>
      </c>
      <c r="B804" s="3">
        <v>2026</v>
      </c>
      <c r="C804" s="3" t="s">
        <v>114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59"/>
        <v>24</v>
      </c>
      <c r="R804" s="53" t="str">
        <f t="shared" si="60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73">
        <f t="shared" si="61"/>
        <v>47</v>
      </c>
      <c r="Z804" s="18">
        <v>46154</v>
      </c>
      <c r="AA804" s="15"/>
      <c r="AB804" s="15"/>
      <c r="AF804" t="str">
        <f t="shared" si="62"/>
        <v>Closed in May</v>
      </c>
    </row>
    <row r="805" spans="1:32" hidden="1">
      <c r="A805" s="6">
        <v>46107</v>
      </c>
      <c r="B805" s="3">
        <v>2026</v>
      </c>
      <c r="C805" s="3" t="s">
        <v>114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59"/>
        <v>24</v>
      </c>
      <c r="R805" s="53" t="str">
        <f t="shared" si="60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73">
        <f t="shared" si="61"/>
        <v>47</v>
      </c>
      <c r="Z805" s="18">
        <v>46154</v>
      </c>
      <c r="AA805" s="15"/>
      <c r="AB805" s="15"/>
      <c r="AF805" t="str">
        <f t="shared" si="62"/>
        <v>Closed in May</v>
      </c>
    </row>
    <row r="806" spans="1:32" hidden="1">
      <c r="A806" s="6">
        <v>46107</v>
      </c>
      <c r="B806" s="3">
        <v>2026</v>
      </c>
      <c r="C806" s="3" t="s">
        <v>114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59"/>
        <v>24</v>
      </c>
      <c r="R806" s="53" t="str">
        <f t="shared" si="60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73">
        <f t="shared" si="61"/>
        <v>47</v>
      </c>
      <c r="Z806" s="18">
        <v>46154</v>
      </c>
      <c r="AA806" s="15"/>
      <c r="AB806" s="15"/>
      <c r="AF806" t="str">
        <f t="shared" si="62"/>
        <v>Closed in May</v>
      </c>
    </row>
    <row r="807" spans="1:32" hidden="1">
      <c r="A807" s="6">
        <v>46107</v>
      </c>
      <c r="B807" s="3">
        <v>2026</v>
      </c>
      <c r="C807" s="3" t="s">
        <v>114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63">MID(P807,5,2)</f>
        <v>24</v>
      </c>
      <c r="R807" s="53" t="str">
        <f t="shared" ref="R807:R870" si="64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73">
        <f t="shared" si="61"/>
        <v>47</v>
      </c>
      <c r="Z807" s="18">
        <v>46154</v>
      </c>
      <c r="AA807" s="15"/>
      <c r="AB807" s="15"/>
      <c r="AF807" t="str">
        <f t="shared" si="62"/>
        <v>Closed in May</v>
      </c>
    </row>
    <row r="808" spans="1:32" hidden="1">
      <c r="A808" s="6">
        <v>46107</v>
      </c>
      <c r="B808" s="3">
        <v>2026</v>
      </c>
      <c r="C808" s="3" t="s">
        <v>114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63"/>
        <v>24</v>
      </c>
      <c r="R808" s="53" t="str">
        <f t="shared" si="64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73">
        <f t="shared" si="61"/>
        <v>47</v>
      </c>
      <c r="Z808" s="18">
        <v>46154</v>
      </c>
      <c r="AA808" s="15"/>
      <c r="AB808" s="15"/>
      <c r="AF808" t="str">
        <f t="shared" si="62"/>
        <v>Closed in May</v>
      </c>
    </row>
    <row r="809" spans="1:32" hidden="1">
      <c r="A809" s="6">
        <v>46107</v>
      </c>
      <c r="B809" s="3">
        <v>2026</v>
      </c>
      <c r="C809" s="3" t="s">
        <v>114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63"/>
        <v>24</v>
      </c>
      <c r="R809" s="53" t="str">
        <f t="shared" si="64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73">
        <f t="shared" si="61"/>
        <v>47</v>
      </c>
      <c r="Z809" s="18">
        <v>46154</v>
      </c>
      <c r="AA809" s="15"/>
      <c r="AB809" s="15"/>
      <c r="AF809" t="str">
        <f t="shared" si="62"/>
        <v>Closed in May</v>
      </c>
    </row>
    <row r="810" spans="1:32" hidden="1">
      <c r="A810" s="6">
        <v>46107</v>
      </c>
      <c r="B810" s="3">
        <v>2026</v>
      </c>
      <c r="C810" s="3" t="s">
        <v>114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63"/>
        <v>24</v>
      </c>
      <c r="R810" s="53" t="str">
        <f t="shared" si="64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73">
        <f t="shared" si="61"/>
        <v>47</v>
      </c>
      <c r="Z810" s="18">
        <v>46154</v>
      </c>
      <c r="AA810" s="15"/>
      <c r="AB810" s="15"/>
      <c r="AF810" t="str">
        <f t="shared" si="62"/>
        <v>Closed in May</v>
      </c>
    </row>
    <row r="811" spans="1:32" hidden="1">
      <c r="A811" s="6">
        <v>46107</v>
      </c>
      <c r="B811" s="3">
        <v>2026</v>
      </c>
      <c r="C811" s="3" t="s">
        <v>114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63"/>
        <v>24</v>
      </c>
      <c r="R811" s="53" t="str">
        <f t="shared" si="64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73">
        <f t="shared" si="61"/>
        <v>47</v>
      </c>
      <c r="Z811" s="18">
        <v>46154</v>
      </c>
      <c r="AA811" s="15"/>
      <c r="AB811" s="15"/>
      <c r="AF811" t="str">
        <f t="shared" si="62"/>
        <v>Closed in May</v>
      </c>
    </row>
    <row r="812" spans="1:32" hidden="1">
      <c r="A812" s="6">
        <v>46107</v>
      </c>
      <c r="B812" s="3">
        <v>2026</v>
      </c>
      <c r="C812" s="3" t="s">
        <v>114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63"/>
        <v>24</v>
      </c>
      <c r="R812" s="53" t="str">
        <f t="shared" si="64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73">
        <f t="shared" si="61"/>
        <v>47</v>
      </c>
      <c r="Z812" s="18">
        <v>46154</v>
      </c>
      <c r="AA812" s="15"/>
      <c r="AB812" s="15"/>
      <c r="AF812" t="str">
        <f t="shared" si="62"/>
        <v>Closed in May</v>
      </c>
    </row>
    <row r="813" spans="1:32" hidden="1">
      <c r="A813" s="6">
        <v>46107</v>
      </c>
      <c r="B813" s="3">
        <v>2026</v>
      </c>
      <c r="C813" s="3" t="s">
        <v>114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63"/>
        <v>24</v>
      </c>
      <c r="R813" s="53" t="str">
        <f t="shared" si="64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73">
        <f t="shared" si="61"/>
        <v>47</v>
      </c>
      <c r="Z813" s="18">
        <v>46154</v>
      </c>
      <c r="AA813" s="15"/>
      <c r="AB813" s="15"/>
      <c r="AF813" t="str">
        <f t="shared" si="62"/>
        <v>Closed in May</v>
      </c>
    </row>
    <row r="814" spans="1:32" hidden="1">
      <c r="A814" s="6">
        <v>46107</v>
      </c>
      <c r="B814" s="3">
        <v>2026</v>
      </c>
      <c r="C814" s="3" t="s">
        <v>114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63"/>
        <v>24</v>
      </c>
      <c r="R814" s="53" t="str">
        <f t="shared" si="64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73">
        <f t="shared" si="61"/>
        <v>47</v>
      </c>
      <c r="Z814" s="18">
        <v>46154</v>
      </c>
      <c r="AA814" s="15"/>
      <c r="AB814" s="15"/>
      <c r="AF814" t="str">
        <f t="shared" si="62"/>
        <v>Closed in May</v>
      </c>
    </row>
    <row r="815" spans="1:32" hidden="1">
      <c r="A815" s="6">
        <v>46107</v>
      </c>
      <c r="B815" s="3">
        <v>2026</v>
      </c>
      <c r="C815" s="3" t="s">
        <v>114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63"/>
        <v>24</v>
      </c>
      <c r="R815" s="53" t="str">
        <f t="shared" si="64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73">
        <f t="shared" si="61"/>
        <v>47</v>
      </c>
      <c r="Z815" s="18">
        <v>46154</v>
      </c>
      <c r="AA815" s="15"/>
      <c r="AB815" s="15"/>
      <c r="AF815" t="str">
        <f t="shared" si="62"/>
        <v>Closed in May</v>
      </c>
    </row>
    <row r="816" spans="1:32" hidden="1">
      <c r="A816" s="6">
        <v>46107</v>
      </c>
      <c r="B816" s="3">
        <v>2026</v>
      </c>
      <c r="C816" s="3" t="s">
        <v>114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63"/>
        <v>24</v>
      </c>
      <c r="R816" s="53" t="str">
        <f t="shared" si="64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73">
        <f t="shared" si="61"/>
        <v>47</v>
      </c>
      <c r="Z816" s="18">
        <v>46154</v>
      </c>
      <c r="AA816" s="15"/>
      <c r="AB816" s="15"/>
      <c r="AF816" t="str">
        <f t="shared" si="62"/>
        <v>Closed in May</v>
      </c>
    </row>
    <row r="817" spans="1:32" hidden="1">
      <c r="A817" s="6">
        <v>46107</v>
      </c>
      <c r="B817" s="3">
        <v>2026</v>
      </c>
      <c r="C817" s="3" t="s">
        <v>114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63"/>
        <v>24</v>
      </c>
      <c r="R817" s="53" t="str">
        <f t="shared" si="64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73">
        <f t="shared" si="61"/>
        <v>47</v>
      </c>
      <c r="Z817" s="18">
        <v>46154</v>
      </c>
      <c r="AA817" s="15"/>
      <c r="AB817" s="15"/>
      <c r="AF817" t="str">
        <f t="shared" si="62"/>
        <v>Closed in May</v>
      </c>
    </row>
    <row r="818" spans="1:32" hidden="1">
      <c r="A818" s="6">
        <v>46107</v>
      </c>
      <c r="B818" s="3">
        <v>2026</v>
      </c>
      <c r="C818" s="3" t="s">
        <v>114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63"/>
        <v>24</v>
      </c>
      <c r="R818" s="53" t="str">
        <f t="shared" si="64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73">
        <f t="shared" si="61"/>
        <v>47</v>
      </c>
      <c r="Z818" s="18">
        <v>46154</v>
      </c>
      <c r="AA818" s="15"/>
      <c r="AB818" s="15"/>
      <c r="AF818" t="str">
        <f t="shared" si="62"/>
        <v>Closed in May</v>
      </c>
    </row>
    <row r="819" spans="1:32" hidden="1">
      <c r="A819" s="6">
        <v>46107</v>
      </c>
      <c r="B819" s="3">
        <v>2026</v>
      </c>
      <c r="C819" s="3" t="s">
        <v>114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63"/>
        <v>24</v>
      </c>
      <c r="R819" s="53" t="str">
        <f t="shared" si="64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73">
        <f t="shared" si="61"/>
        <v>47</v>
      </c>
      <c r="Z819" s="18">
        <v>46154</v>
      </c>
      <c r="AA819" s="15"/>
      <c r="AB819" s="15"/>
      <c r="AF819" t="str">
        <f t="shared" si="62"/>
        <v>Closed in May</v>
      </c>
    </row>
    <row r="820" spans="1:32" hidden="1">
      <c r="A820" s="6">
        <v>46107</v>
      </c>
      <c r="B820" s="3">
        <v>2026</v>
      </c>
      <c r="C820" s="3" t="s">
        <v>114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63"/>
        <v>24</v>
      </c>
      <c r="R820" s="53" t="str">
        <f t="shared" si="64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73">
        <f t="shared" si="61"/>
        <v>47</v>
      </c>
      <c r="Z820" s="18">
        <v>46154</v>
      </c>
      <c r="AA820" s="15"/>
      <c r="AB820" s="15"/>
      <c r="AF820" t="str">
        <f t="shared" si="62"/>
        <v>Closed in May</v>
      </c>
    </row>
    <row r="821" spans="1:32" hidden="1">
      <c r="A821" s="6">
        <v>46107</v>
      </c>
      <c r="B821" s="3">
        <v>2026</v>
      </c>
      <c r="C821" s="3" t="s">
        <v>114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63"/>
        <v>24</v>
      </c>
      <c r="R821" s="53" t="str">
        <f t="shared" si="64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73">
        <f t="shared" si="61"/>
        <v>47</v>
      </c>
      <c r="Z821" s="18">
        <v>46154</v>
      </c>
      <c r="AA821" s="15"/>
      <c r="AB821" s="15"/>
      <c r="AF821" t="str">
        <f t="shared" si="62"/>
        <v>Closed in May</v>
      </c>
    </row>
    <row r="822" spans="1:32" hidden="1">
      <c r="A822" s="6">
        <v>46107</v>
      </c>
      <c r="B822" s="3">
        <v>2026</v>
      </c>
      <c r="C822" s="3" t="s">
        <v>114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63"/>
        <v>24</v>
      </c>
      <c r="R822" s="53" t="str">
        <f t="shared" si="64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73">
        <f t="shared" si="61"/>
        <v>47</v>
      </c>
      <c r="Z822" s="18">
        <v>46154</v>
      </c>
      <c r="AA822" s="15"/>
      <c r="AB822" s="15"/>
      <c r="AF822" t="str">
        <f t="shared" si="62"/>
        <v>Closed in May</v>
      </c>
    </row>
    <row r="823" spans="1:32" hidden="1">
      <c r="A823" s="6">
        <v>46107</v>
      </c>
      <c r="B823" s="3">
        <v>2026</v>
      </c>
      <c r="C823" s="3" t="s">
        <v>114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63"/>
        <v>24</v>
      </c>
      <c r="R823" s="53" t="str">
        <f t="shared" si="64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73">
        <f t="shared" si="61"/>
        <v>47</v>
      </c>
      <c r="Z823" s="18">
        <v>46154</v>
      </c>
      <c r="AA823" s="15"/>
      <c r="AB823" s="15"/>
      <c r="AF823" t="str">
        <f t="shared" si="62"/>
        <v>Closed in May</v>
      </c>
    </row>
    <row r="824" spans="1:32" hidden="1">
      <c r="A824" s="6">
        <v>46107</v>
      </c>
      <c r="B824" s="3">
        <v>2026</v>
      </c>
      <c r="C824" s="3" t="s">
        <v>114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63"/>
        <v>24</v>
      </c>
      <c r="R824" s="53" t="str">
        <f t="shared" si="64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73">
        <f t="shared" si="61"/>
        <v>47</v>
      </c>
      <c r="Z824" s="18">
        <v>46154</v>
      </c>
      <c r="AA824" s="15"/>
      <c r="AB824" s="15"/>
      <c r="AF824" t="str">
        <f t="shared" si="62"/>
        <v>Closed in May</v>
      </c>
    </row>
    <row r="825" spans="1:32" hidden="1">
      <c r="A825" s="6">
        <v>46107</v>
      </c>
      <c r="B825" s="3">
        <v>2026</v>
      </c>
      <c r="C825" s="3" t="s">
        <v>114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63"/>
        <v>24</v>
      </c>
      <c r="R825" s="53" t="str">
        <f t="shared" si="64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73">
        <f t="shared" si="61"/>
        <v>47</v>
      </c>
      <c r="Z825" s="18">
        <v>46154</v>
      </c>
      <c r="AA825" s="15"/>
      <c r="AB825" s="15"/>
      <c r="AF825" t="str">
        <f t="shared" si="62"/>
        <v>Closed in May</v>
      </c>
    </row>
    <row r="826" spans="1:32" hidden="1">
      <c r="A826" s="6">
        <v>46107</v>
      </c>
      <c r="B826" s="3">
        <v>2026</v>
      </c>
      <c r="C826" s="3" t="s">
        <v>114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63"/>
        <v>24</v>
      </c>
      <c r="R826" s="53" t="str">
        <f t="shared" si="64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73">
        <f t="shared" si="61"/>
        <v>47</v>
      </c>
      <c r="Z826" s="18">
        <v>46154</v>
      </c>
      <c r="AA826" s="15"/>
      <c r="AB826" s="15"/>
      <c r="AF826" t="str">
        <f t="shared" si="62"/>
        <v>Closed in May</v>
      </c>
    </row>
    <row r="827" spans="1:32" hidden="1">
      <c r="A827" s="6">
        <v>46107</v>
      </c>
      <c r="B827" s="3">
        <v>2026</v>
      </c>
      <c r="C827" s="3" t="s">
        <v>114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63"/>
        <v>24</v>
      </c>
      <c r="R827" s="53" t="str">
        <f t="shared" si="64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73">
        <f t="shared" si="61"/>
        <v>47</v>
      </c>
      <c r="Z827" s="18">
        <v>46154</v>
      </c>
      <c r="AA827" s="15"/>
      <c r="AB827" s="15"/>
      <c r="AF827" t="str">
        <f t="shared" si="62"/>
        <v>Closed in May</v>
      </c>
    </row>
    <row r="828" spans="1:32" hidden="1">
      <c r="A828" s="6">
        <v>46107</v>
      </c>
      <c r="B828" s="3">
        <v>2026</v>
      </c>
      <c r="C828" s="3" t="s">
        <v>114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63"/>
        <v>24</v>
      </c>
      <c r="R828" s="53" t="str">
        <f t="shared" si="64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73">
        <f t="shared" si="61"/>
        <v>47</v>
      </c>
      <c r="Z828" s="18">
        <v>46154</v>
      </c>
      <c r="AA828" s="15"/>
      <c r="AB828" s="15"/>
      <c r="AF828" t="str">
        <f t="shared" si="62"/>
        <v>Closed in May</v>
      </c>
    </row>
    <row r="829" spans="1:32" hidden="1">
      <c r="A829" s="6">
        <v>46107</v>
      </c>
      <c r="B829" s="3">
        <v>2026</v>
      </c>
      <c r="C829" s="3" t="s">
        <v>114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63"/>
        <v>24</v>
      </c>
      <c r="R829" s="53" t="str">
        <f t="shared" si="64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73">
        <f t="shared" si="61"/>
        <v>47</v>
      </c>
      <c r="Z829" s="18">
        <v>46154</v>
      </c>
      <c r="AA829" s="15"/>
      <c r="AB829" s="15"/>
      <c r="AF829" t="str">
        <f t="shared" si="62"/>
        <v>Closed in May</v>
      </c>
    </row>
    <row r="830" spans="1:32" hidden="1">
      <c r="A830" s="6">
        <v>46107</v>
      </c>
      <c r="B830" s="3">
        <v>2026</v>
      </c>
      <c r="C830" s="3" t="s">
        <v>114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63"/>
        <v>24</v>
      </c>
      <c r="R830" s="53" t="str">
        <f t="shared" si="64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73">
        <f t="shared" si="61"/>
        <v>47</v>
      </c>
      <c r="Z830" s="18">
        <v>46154</v>
      </c>
      <c r="AA830" s="15"/>
      <c r="AB830" s="15"/>
      <c r="AF830" t="str">
        <f t="shared" si="62"/>
        <v>Closed in May</v>
      </c>
    </row>
    <row r="831" spans="1:32" hidden="1">
      <c r="A831" s="6">
        <v>46107</v>
      </c>
      <c r="B831" s="3">
        <v>2026</v>
      </c>
      <c r="C831" s="3" t="s">
        <v>114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63"/>
        <v>24</v>
      </c>
      <c r="R831" s="53" t="str">
        <f t="shared" si="64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73">
        <f t="shared" si="61"/>
        <v>47</v>
      </c>
      <c r="Z831" s="18">
        <v>46154</v>
      </c>
      <c r="AA831" s="15"/>
      <c r="AB831" s="15"/>
      <c r="AF831" t="str">
        <f t="shared" si="62"/>
        <v>Closed in May</v>
      </c>
    </row>
    <row r="832" spans="1:32" hidden="1">
      <c r="A832" s="6">
        <v>46107</v>
      </c>
      <c r="B832" s="3">
        <v>2026</v>
      </c>
      <c r="C832" s="3" t="s">
        <v>114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63"/>
        <v>24</v>
      </c>
      <c r="R832" s="53" t="str">
        <f t="shared" si="64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73">
        <f t="shared" si="61"/>
        <v>47</v>
      </c>
      <c r="Z832" s="18">
        <v>46154</v>
      </c>
      <c r="AA832" s="15"/>
      <c r="AB832" s="15"/>
      <c r="AF832" t="str">
        <f t="shared" si="62"/>
        <v>Closed in May</v>
      </c>
    </row>
    <row r="833" spans="1:32" hidden="1">
      <c r="A833" s="6">
        <v>46107</v>
      </c>
      <c r="B833" s="3">
        <v>2026</v>
      </c>
      <c r="C833" s="3" t="s">
        <v>114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63"/>
        <v>24</v>
      </c>
      <c r="R833" s="53" t="str">
        <f t="shared" si="64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73">
        <f t="shared" si="61"/>
        <v>48</v>
      </c>
      <c r="Z833" s="18">
        <v>46155</v>
      </c>
      <c r="AA833" s="15"/>
      <c r="AB833" s="15"/>
      <c r="AF833" t="str">
        <f t="shared" si="62"/>
        <v>Closed in May</v>
      </c>
    </row>
    <row r="834" spans="1:32" hidden="1">
      <c r="A834" s="6">
        <v>46107</v>
      </c>
      <c r="B834" s="3">
        <v>2026</v>
      </c>
      <c r="C834" s="3" t="s">
        <v>114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63"/>
        <v>24</v>
      </c>
      <c r="R834" s="53" t="str">
        <f t="shared" si="64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73">
        <f t="shared" ref="Y834:Y897" si="65">IF(X834="","",X834-A834)</f>
        <v>48</v>
      </c>
      <c r="Z834" s="18">
        <v>46155</v>
      </c>
      <c r="AA834" s="15"/>
      <c r="AB834" s="15"/>
      <c r="AF834" t="str">
        <f t="shared" ref="AF834:AF897" si="66">IF(AND($F834="Closed",$X834&gt;=DATE(2026,5,1),$X834&lt;=DATE(2026,5,31)),"Closed in May","Other")</f>
        <v>Closed in May</v>
      </c>
    </row>
    <row r="835" spans="1:32" hidden="1">
      <c r="A835" s="6">
        <v>46107</v>
      </c>
      <c r="B835" s="3">
        <v>2026</v>
      </c>
      <c r="C835" s="3" t="s">
        <v>114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63"/>
        <v>24</v>
      </c>
      <c r="R835" s="53" t="str">
        <f t="shared" si="64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73">
        <f t="shared" si="65"/>
        <v>48</v>
      </c>
      <c r="Z835" s="18">
        <v>46155</v>
      </c>
      <c r="AA835" s="15"/>
      <c r="AB835" s="15"/>
      <c r="AF835" t="str">
        <f t="shared" si="66"/>
        <v>Closed in May</v>
      </c>
    </row>
    <row r="836" spans="1:32" hidden="1">
      <c r="A836" s="6">
        <v>46107</v>
      </c>
      <c r="B836" s="3">
        <v>2026</v>
      </c>
      <c r="C836" s="3" t="s">
        <v>114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63"/>
        <v>24</v>
      </c>
      <c r="R836" s="53" t="str">
        <f t="shared" si="64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73">
        <f t="shared" si="65"/>
        <v>48</v>
      </c>
      <c r="Z836" s="18">
        <v>46155</v>
      </c>
      <c r="AA836" s="15"/>
      <c r="AB836" s="15"/>
      <c r="AF836" t="str">
        <f t="shared" si="66"/>
        <v>Closed in May</v>
      </c>
    </row>
    <row r="837" spans="1:32" hidden="1">
      <c r="A837" s="6">
        <v>46107</v>
      </c>
      <c r="B837" s="3">
        <v>2026</v>
      </c>
      <c r="C837" s="3" t="s">
        <v>114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63"/>
        <v>24</v>
      </c>
      <c r="R837" s="53" t="str">
        <f t="shared" si="64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73">
        <f t="shared" si="65"/>
        <v>48</v>
      </c>
      <c r="Z837" s="18">
        <v>46155</v>
      </c>
      <c r="AA837" s="15"/>
      <c r="AB837" s="15"/>
      <c r="AF837" t="str">
        <f t="shared" si="66"/>
        <v>Closed in May</v>
      </c>
    </row>
    <row r="838" spans="1:32" hidden="1">
      <c r="A838" s="6">
        <v>46107</v>
      </c>
      <c r="B838" s="3">
        <v>2026</v>
      </c>
      <c r="C838" s="3" t="s">
        <v>114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63"/>
        <v>24</v>
      </c>
      <c r="R838" s="53" t="str">
        <f t="shared" si="64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73">
        <f t="shared" si="65"/>
        <v>48</v>
      </c>
      <c r="Z838" s="18">
        <v>46155</v>
      </c>
      <c r="AA838" s="15"/>
      <c r="AB838" s="15"/>
      <c r="AF838" t="str">
        <f t="shared" si="66"/>
        <v>Closed in May</v>
      </c>
    </row>
    <row r="839" spans="1:32" hidden="1">
      <c r="A839" s="6">
        <v>46107</v>
      </c>
      <c r="B839" s="3">
        <v>2026</v>
      </c>
      <c r="C839" s="3" t="s">
        <v>114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63"/>
        <v>24</v>
      </c>
      <c r="R839" s="53" t="str">
        <f t="shared" si="64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73">
        <f t="shared" si="65"/>
        <v>48</v>
      </c>
      <c r="Z839" s="18">
        <v>46155</v>
      </c>
      <c r="AA839" s="15"/>
      <c r="AB839" s="15"/>
      <c r="AF839" t="str">
        <f t="shared" si="66"/>
        <v>Closed in May</v>
      </c>
    </row>
    <row r="840" spans="1:32" hidden="1">
      <c r="A840" s="6">
        <v>46107</v>
      </c>
      <c r="B840" s="3">
        <v>2026</v>
      </c>
      <c r="C840" s="3" t="s">
        <v>114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63"/>
        <v>24</v>
      </c>
      <c r="R840" s="53" t="str">
        <f t="shared" si="64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73">
        <f t="shared" si="65"/>
        <v>48</v>
      </c>
      <c r="Z840" s="18">
        <v>46155</v>
      </c>
      <c r="AA840" s="15"/>
      <c r="AB840" s="15"/>
      <c r="AF840" t="str">
        <f t="shared" si="66"/>
        <v>Closed in May</v>
      </c>
    </row>
    <row r="841" spans="1:32" hidden="1">
      <c r="A841" s="6">
        <v>46107</v>
      </c>
      <c r="B841" s="3">
        <v>2026</v>
      </c>
      <c r="C841" s="3" t="s">
        <v>114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63"/>
        <v>24</v>
      </c>
      <c r="R841" s="53" t="str">
        <f t="shared" si="64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73">
        <f t="shared" si="65"/>
        <v>48</v>
      </c>
      <c r="Z841" s="18">
        <v>46155</v>
      </c>
      <c r="AA841" s="15"/>
      <c r="AB841" s="15"/>
      <c r="AF841" t="str">
        <f t="shared" si="66"/>
        <v>Closed in May</v>
      </c>
    </row>
    <row r="842" spans="1:32" hidden="1">
      <c r="A842" s="6">
        <v>46107</v>
      </c>
      <c r="B842" s="3">
        <v>2026</v>
      </c>
      <c r="C842" s="3" t="s">
        <v>114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63"/>
        <v>24</v>
      </c>
      <c r="R842" s="53" t="str">
        <f t="shared" si="64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73">
        <f t="shared" si="65"/>
        <v>48</v>
      </c>
      <c r="Z842" s="18">
        <v>46155</v>
      </c>
      <c r="AA842" s="15"/>
      <c r="AB842" s="15"/>
      <c r="AF842" t="str">
        <f t="shared" si="66"/>
        <v>Closed in May</v>
      </c>
    </row>
    <row r="843" spans="1:32" hidden="1">
      <c r="A843" s="6">
        <v>46107</v>
      </c>
      <c r="B843" s="3">
        <v>2026</v>
      </c>
      <c r="C843" s="3" t="s">
        <v>114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63"/>
        <v>24</v>
      </c>
      <c r="R843" s="53" t="str">
        <f t="shared" si="64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73">
        <f t="shared" si="65"/>
        <v>48</v>
      </c>
      <c r="Z843" s="18">
        <v>46155</v>
      </c>
      <c r="AA843" s="15"/>
      <c r="AB843" s="15"/>
      <c r="AF843" t="str">
        <f t="shared" si="66"/>
        <v>Closed in May</v>
      </c>
    </row>
    <row r="844" spans="1:32" hidden="1">
      <c r="A844" s="6">
        <v>46107</v>
      </c>
      <c r="B844" s="3">
        <v>2026</v>
      </c>
      <c r="C844" s="3" t="s">
        <v>114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63"/>
        <v>24</v>
      </c>
      <c r="R844" s="53" t="str">
        <f t="shared" si="64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73">
        <f t="shared" si="65"/>
        <v>48</v>
      </c>
      <c r="Z844" s="18">
        <v>46155</v>
      </c>
      <c r="AA844" s="15"/>
      <c r="AB844" s="15"/>
      <c r="AF844" t="str">
        <f t="shared" si="66"/>
        <v>Closed in May</v>
      </c>
    </row>
    <row r="845" spans="1:32" hidden="1">
      <c r="A845" s="6">
        <v>46107</v>
      </c>
      <c r="B845" s="3">
        <v>2026</v>
      </c>
      <c r="C845" s="3" t="s">
        <v>114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63"/>
        <v>24</v>
      </c>
      <c r="R845" s="53" t="str">
        <f t="shared" si="64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73">
        <f t="shared" si="65"/>
        <v>48</v>
      </c>
      <c r="Z845" s="18">
        <v>46155</v>
      </c>
      <c r="AA845" s="15"/>
      <c r="AB845" s="15"/>
      <c r="AF845" t="str">
        <f t="shared" si="66"/>
        <v>Closed in May</v>
      </c>
    </row>
    <row r="846" spans="1:32" hidden="1">
      <c r="A846" s="6">
        <v>46107</v>
      </c>
      <c r="B846" s="3">
        <v>2026</v>
      </c>
      <c r="C846" s="3" t="s">
        <v>114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63"/>
        <v>24</v>
      </c>
      <c r="R846" s="53" t="str">
        <f t="shared" si="64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73">
        <f t="shared" si="65"/>
        <v>48</v>
      </c>
      <c r="Z846" s="18">
        <v>46155</v>
      </c>
      <c r="AA846" s="15"/>
      <c r="AB846" s="15"/>
      <c r="AF846" t="str">
        <f t="shared" si="66"/>
        <v>Closed in May</v>
      </c>
    </row>
    <row r="847" spans="1:32" hidden="1">
      <c r="A847" s="6">
        <v>46107</v>
      </c>
      <c r="B847" s="3">
        <v>2026</v>
      </c>
      <c r="C847" s="3" t="s">
        <v>114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63"/>
        <v>24</v>
      </c>
      <c r="R847" s="53" t="str">
        <f t="shared" si="64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73">
        <f t="shared" si="65"/>
        <v>48</v>
      </c>
      <c r="Z847" s="18">
        <v>46155</v>
      </c>
      <c r="AA847" s="15"/>
      <c r="AB847" s="15"/>
      <c r="AF847" t="str">
        <f t="shared" si="66"/>
        <v>Closed in May</v>
      </c>
    </row>
    <row r="848" spans="1:32" hidden="1">
      <c r="A848" s="6">
        <v>46107</v>
      </c>
      <c r="B848" s="3">
        <v>2026</v>
      </c>
      <c r="C848" s="3" t="s">
        <v>114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63"/>
        <v>24</v>
      </c>
      <c r="R848" s="53" t="str">
        <f t="shared" si="64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73">
        <f t="shared" si="65"/>
        <v>48</v>
      </c>
      <c r="Z848" s="18">
        <v>46155</v>
      </c>
      <c r="AA848" s="15"/>
      <c r="AB848" s="15"/>
      <c r="AF848" t="str">
        <f t="shared" si="66"/>
        <v>Closed in May</v>
      </c>
    </row>
    <row r="849" spans="1:32" hidden="1">
      <c r="A849" s="6">
        <v>46107</v>
      </c>
      <c r="B849" s="3">
        <v>2026</v>
      </c>
      <c r="C849" s="3" t="s">
        <v>114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63"/>
        <v>24</v>
      </c>
      <c r="R849" s="53" t="str">
        <f t="shared" si="64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73">
        <f t="shared" si="65"/>
        <v>48</v>
      </c>
      <c r="Z849" s="18">
        <v>46155</v>
      </c>
      <c r="AA849" s="15"/>
      <c r="AB849" s="15"/>
      <c r="AF849" t="str">
        <f t="shared" si="66"/>
        <v>Closed in May</v>
      </c>
    </row>
    <row r="850" spans="1:32" hidden="1">
      <c r="A850" s="6">
        <v>46107</v>
      </c>
      <c r="B850" s="3">
        <v>2026</v>
      </c>
      <c r="C850" s="3" t="s">
        <v>114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63"/>
        <v>24</v>
      </c>
      <c r="R850" s="53" t="str">
        <f t="shared" si="64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73">
        <f t="shared" si="65"/>
        <v>48</v>
      </c>
      <c r="Z850" s="18">
        <v>46155</v>
      </c>
      <c r="AA850" s="15"/>
      <c r="AB850" s="15"/>
      <c r="AF850" t="str">
        <f t="shared" si="66"/>
        <v>Closed in May</v>
      </c>
    </row>
    <row r="851" spans="1:32" hidden="1">
      <c r="A851" s="6">
        <v>46107</v>
      </c>
      <c r="B851" s="3">
        <v>2026</v>
      </c>
      <c r="C851" s="3" t="s">
        <v>114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63"/>
        <v>24</v>
      </c>
      <c r="R851" s="53" t="str">
        <f t="shared" si="64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73">
        <f t="shared" si="65"/>
        <v>48</v>
      </c>
      <c r="Z851" s="18">
        <v>46155</v>
      </c>
      <c r="AA851" s="15"/>
      <c r="AB851" s="15"/>
      <c r="AF851" t="str">
        <f t="shared" si="66"/>
        <v>Closed in May</v>
      </c>
    </row>
    <row r="852" spans="1:32" hidden="1">
      <c r="A852" s="6">
        <v>46107</v>
      </c>
      <c r="B852" s="3">
        <v>2026</v>
      </c>
      <c r="C852" s="3" t="s">
        <v>114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63"/>
        <v>24</v>
      </c>
      <c r="R852" s="53" t="str">
        <f t="shared" si="64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73">
        <f t="shared" si="65"/>
        <v>48</v>
      </c>
      <c r="Z852" s="18">
        <v>46155</v>
      </c>
      <c r="AA852" s="15"/>
      <c r="AB852" s="15"/>
      <c r="AF852" t="str">
        <f t="shared" si="66"/>
        <v>Closed in May</v>
      </c>
    </row>
    <row r="853" spans="1:32" hidden="1">
      <c r="A853" s="6">
        <v>46107</v>
      </c>
      <c r="B853" s="3">
        <v>2026</v>
      </c>
      <c r="C853" s="3" t="s">
        <v>114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63"/>
        <v>24</v>
      </c>
      <c r="R853" s="53" t="str">
        <f t="shared" si="64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73">
        <f t="shared" si="65"/>
        <v>48</v>
      </c>
      <c r="Z853" s="18">
        <v>46155</v>
      </c>
      <c r="AA853" s="15"/>
      <c r="AB853" s="15"/>
      <c r="AF853" t="str">
        <f t="shared" si="66"/>
        <v>Closed in May</v>
      </c>
    </row>
    <row r="854" spans="1:32" hidden="1">
      <c r="A854" s="6">
        <v>46107</v>
      </c>
      <c r="B854" s="3">
        <v>2026</v>
      </c>
      <c r="C854" s="3" t="s">
        <v>114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63"/>
        <v>24</v>
      </c>
      <c r="R854" s="53" t="str">
        <f t="shared" si="64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73">
        <f t="shared" si="65"/>
        <v>48</v>
      </c>
      <c r="Z854" s="18">
        <v>46155</v>
      </c>
      <c r="AA854" s="15"/>
      <c r="AB854" s="15"/>
      <c r="AF854" t="str">
        <f t="shared" si="66"/>
        <v>Closed in May</v>
      </c>
    </row>
    <row r="855" spans="1:32" hidden="1">
      <c r="A855" s="6">
        <v>46107</v>
      </c>
      <c r="B855" s="3">
        <v>2026</v>
      </c>
      <c r="C855" s="3" t="s">
        <v>114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63"/>
        <v>24</v>
      </c>
      <c r="R855" s="53" t="str">
        <f t="shared" si="64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73">
        <f t="shared" si="65"/>
        <v>48</v>
      </c>
      <c r="Z855" s="18">
        <v>46155</v>
      </c>
      <c r="AA855" s="15"/>
      <c r="AB855" s="15"/>
      <c r="AF855" t="str">
        <f t="shared" si="66"/>
        <v>Closed in May</v>
      </c>
    </row>
    <row r="856" spans="1:32" hidden="1">
      <c r="A856" s="6">
        <v>46107</v>
      </c>
      <c r="B856" s="3">
        <v>2026</v>
      </c>
      <c r="C856" s="3" t="s">
        <v>114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63"/>
        <v>24</v>
      </c>
      <c r="R856" s="53" t="str">
        <f t="shared" si="64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73">
        <f t="shared" si="65"/>
        <v>48</v>
      </c>
      <c r="Z856" s="18">
        <v>46155</v>
      </c>
      <c r="AA856" s="15"/>
      <c r="AB856" s="15"/>
      <c r="AF856" t="str">
        <f t="shared" si="66"/>
        <v>Closed in May</v>
      </c>
    </row>
    <row r="857" spans="1:32" hidden="1">
      <c r="A857" s="6">
        <v>46107</v>
      </c>
      <c r="B857" s="3">
        <v>2026</v>
      </c>
      <c r="C857" s="3" t="s">
        <v>114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63"/>
        <v>24</v>
      </c>
      <c r="R857" s="53" t="str">
        <f t="shared" si="64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73">
        <f t="shared" si="65"/>
        <v>48</v>
      </c>
      <c r="Z857" s="18">
        <v>46155</v>
      </c>
      <c r="AA857" s="15"/>
      <c r="AB857" s="15"/>
      <c r="AF857" t="str">
        <f t="shared" si="66"/>
        <v>Closed in May</v>
      </c>
    </row>
    <row r="858" spans="1:32" hidden="1">
      <c r="A858" s="6">
        <v>46107</v>
      </c>
      <c r="B858" s="3">
        <v>2026</v>
      </c>
      <c r="C858" s="3" t="s">
        <v>114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63"/>
        <v>24</v>
      </c>
      <c r="R858" s="53" t="str">
        <f t="shared" si="64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73">
        <f t="shared" si="65"/>
        <v>48</v>
      </c>
      <c r="Z858" s="18">
        <v>46155</v>
      </c>
      <c r="AA858" s="15"/>
      <c r="AB858" s="15"/>
      <c r="AF858" t="str">
        <f t="shared" si="66"/>
        <v>Closed in May</v>
      </c>
    </row>
    <row r="859" spans="1:32" hidden="1">
      <c r="A859" s="6">
        <v>46107</v>
      </c>
      <c r="B859" s="3">
        <v>2026</v>
      </c>
      <c r="C859" s="3" t="s">
        <v>114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63"/>
        <v>24</v>
      </c>
      <c r="R859" s="53" t="str">
        <f t="shared" si="64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73">
        <f t="shared" si="65"/>
        <v>48</v>
      </c>
      <c r="Z859" s="18">
        <v>46155</v>
      </c>
      <c r="AA859" s="15"/>
      <c r="AB859" s="15"/>
      <c r="AF859" t="str">
        <f t="shared" si="66"/>
        <v>Closed in May</v>
      </c>
    </row>
    <row r="860" spans="1:32" hidden="1">
      <c r="A860" s="6">
        <v>46107</v>
      </c>
      <c r="B860" s="3">
        <v>2026</v>
      </c>
      <c r="C860" s="3" t="s">
        <v>114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63"/>
        <v>24</v>
      </c>
      <c r="R860" s="53" t="str">
        <f t="shared" si="64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73">
        <f t="shared" si="65"/>
        <v>48</v>
      </c>
      <c r="Z860" s="18">
        <v>46155</v>
      </c>
      <c r="AA860" s="15"/>
      <c r="AB860" s="15"/>
      <c r="AF860" t="str">
        <f t="shared" si="66"/>
        <v>Closed in May</v>
      </c>
    </row>
    <row r="861" spans="1:32" hidden="1">
      <c r="A861" s="6">
        <v>46107</v>
      </c>
      <c r="B861" s="3">
        <v>2026</v>
      </c>
      <c r="C861" s="3" t="s">
        <v>114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63"/>
        <v>24</v>
      </c>
      <c r="R861" s="53" t="str">
        <f t="shared" si="64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73">
        <f t="shared" si="65"/>
        <v>48</v>
      </c>
      <c r="Z861" s="18">
        <v>46155</v>
      </c>
      <c r="AA861" s="15"/>
      <c r="AB861" s="15"/>
      <c r="AF861" t="str">
        <f t="shared" si="66"/>
        <v>Closed in May</v>
      </c>
    </row>
    <row r="862" spans="1:32" hidden="1">
      <c r="A862" s="6">
        <v>46107</v>
      </c>
      <c r="B862" s="3">
        <v>2026</v>
      </c>
      <c r="C862" s="3" t="s">
        <v>114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63"/>
        <v>24</v>
      </c>
      <c r="R862" s="53" t="str">
        <f t="shared" si="64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73">
        <f t="shared" si="65"/>
        <v>48</v>
      </c>
      <c r="Z862" s="18">
        <v>46155</v>
      </c>
      <c r="AA862" s="15"/>
      <c r="AB862" s="15"/>
      <c r="AF862" t="str">
        <f t="shared" si="66"/>
        <v>Closed in May</v>
      </c>
    </row>
    <row r="863" spans="1:32" hidden="1">
      <c r="A863" s="6">
        <v>46107</v>
      </c>
      <c r="B863" s="3">
        <v>2026</v>
      </c>
      <c r="C863" s="3" t="s">
        <v>114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63"/>
        <v>24</v>
      </c>
      <c r="R863" s="53" t="str">
        <f t="shared" si="64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73">
        <f t="shared" si="65"/>
        <v>48</v>
      </c>
      <c r="Z863" s="18">
        <v>46155</v>
      </c>
      <c r="AA863" s="15"/>
      <c r="AB863" s="15"/>
      <c r="AF863" t="str">
        <f t="shared" si="66"/>
        <v>Closed in May</v>
      </c>
    </row>
    <row r="864" spans="1:32" hidden="1">
      <c r="A864" s="6">
        <v>46107</v>
      </c>
      <c r="B864" s="3">
        <v>2026</v>
      </c>
      <c r="C864" s="3" t="s">
        <v>114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63"/>
        <v>24</v>
      </c>
      <c r="R864" s="53" t="str">
        <f t="shared" si="64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73">
        <f t="shared" si="65"/>
        <v>48</v>
      </c>
      <c r="Z864" s="18">
        <v>46155</v>
      </c>
      <c r="AA864" s="15"/>
      <c r="AB864" s="15"/>
      <c r="AF864" t="str">
        <f t="shared" si="66"/>
        <v>Closed in May</v>
      </c>
    </row>
    <row r="865" spans="1:32" hidden="1">
      <c r="A865" s="6">
        <v>46107</v>
      </c>
      <c r="B865" s="3">
        <v>2026</v>
      </c>
      <c r="C865" s="3" t="s">
        <v>114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63"/>
        <v>24</v>
      </c>
      <c r="R865" s="53" t="str">
        <f t="shared" si="64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73">
        <f t="shared" si="65"/>
        <v>48</v>
      </c>
      <c r="Z865" s="18">
        <v>46155</v>
      </c>
      <c r="AA865" s="15"/>
      <c r="AB865" s="15"/>
      <c r="AF865" t="str">
        <f t="shared" si="66"/>
        <v>Closed in May</v>
      </c>
    </row>
    <row r="866" spans="1:32" hidden="1">
      <c r="A866" s="6">
        <v>46107</v>
      </c>
      <c r="B866" s="3">
        <v>2026</v>
      </c>
      <c r="C866" s="3" t="s">
        <v>114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63"/>
        <v>24</v>
      </c>
      <c r="R866" s="53" t="str">
        <f t="shared" si="64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73">
        <f t="shared" si="65"/>
        <v>48</v>
      </c>
      <c r="Z866" s="18">
        <v>46155</v>
      </c>
      <c r="AA866" s="15"/>
      <c r="AB866" s="15"/>
      <c r="AF866" t="str">
        <f t="shared" si="66"/>
        <v>Closed in May</v>
      </c>
    </row>
    <row r="867" spans="1:32" hidden="1">
      <c r="A867" s="6">
        <v>46107</v>
      </c>
      <c r="B867" s="3">
        <v>2026</v>
      </c>
      <c r="C867" s="3" t="s">
        <v>114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63"/>
        <v>24</v>
      </c>
      <c r="R867" s="53" t="str">
        <f t="shared" si="64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73">
        <f t="shared" si="65"/>
        <v>48</v>
      </c>
      <c r="Z867" s="18">
        <v>46155</v>
      </c>
      <c r="AA867" s="15"/>
      <c r="AB867" s="15"/>
      <c r="AF867" t="str">
        <f t="shared" si="66"/>
        <v>Closed in May</v>
      </c>
    </row>
    <row r="868" spans="1:32" hidden="1">
      <c r="A868" s="6">
        <v>46107</v>
      </c>
      <c r="B868" s="3">
        <v>2026</v>
      </c>
      <c r="C868" s="3" t="s">
        <v>114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63"/>
        <v>24</v>
      </c>
      <c r="R868" s="53" t="str">
        <f t="shared" si="64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73">
        <f t="shared" si="65"/>
        <v>48</v>
      </c>
      <c r="Z868" s="18">
        <v>46155</v>
      </c>
      <c r="AA868" s="15"/>
      <c r="AB868" s="15"/>
      <c r="AF868" t="str">
        <f t="shared" si="66"/>
        <v>Closed in May</v>
      </c>
    </row>
    <row r="869" spans="1:32" hidden="1">
      <c r="A869" s="6">
        <v>46107</v>
      </c>
      <c r="B869" s="3">
        <v>2026</v>
      </c>
      <c r="C869" s="3" t="s">
        <v>114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63"/>
        <v>24</v>
      </c>
      <c r="R869" s="53" t="str">
        <f t="shared" si="64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73">
        <f t="shared" si="65"/>
        <v>48</v>
      </c>
      <c r="Z869" s="18">
        <v>46155</v>
      </c>
      <c r="AA869" s="15"/>
      <c r="AB869" s="15"/>
      <c r="AF869" t="str">
        <f t="shared" si="66"/>
        <v>Closed in May</v>
      </c>
    </row>
    <row r="870" spans="1:32" hidden="1">
      <c r="A870" s="6">
        <v>46107</v>
      </c>
      <c r="B870" s="3">
        <v>2026</v>
      </c>
      <c r="C870" s="3" t="s">
        <v>114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63"/>
        <v>24</v>
      </c>
      <c r="R870" s="53" t="str">
        <f t="shared" si="64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73">
        <f t="shared" si="65"/>
        <v>48</v>
      </c>
      <c r="Z870" s="18">
        <v>46155</v>
      </c>
      <c r="AA870" s="15"/>
      <c r="AB870" s="15"/>
      <c r="AF870" t="str">
        <f t="shared" si="66"/>
        <v>Closed in May</v>
      </c>
    </row>
    <row r="871" spans="1:32" hidden="1">
      <c r="A871" s="6">
        <v>46107</v>
      </c>
      <c r="B871" s="3">
        <v>2026</v>
      </c>
      <c r="C871" s="3" t="s">
        <v>114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67">MID(P871,5,2)</f>
        <v>24</v>
      </c>
      <c r="R871" s="53" t="str">
        <f t="shared" ref="R871:R934" si="68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73">
        <f t="shared" si="65"/>
        <v>48</v>
      </c>
      <c r="Z871" s="18">
        <v>46155</v>
      </c>
      <c r="AA871" s="15"/>
      <c r="AB871" s="15"/>
      <c r="AF871" t="str">
        <f t="shared" si="66"/>
        <v>Closed in May</v>
      </c>
    </row>
    <row r="872" spans="1:32" hidden="1">
      <c r="A872" s="6">
        <v>46107</v>
      </c>
      <c r="B872" s="3">
        <v>2026</v>
      </c>
      <c r="C872" s="3" t="s">
        <v>114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67"/>
        <v>24</v>
      </c>
      <c r="R872" s="53" t="str">
        <f t="shared" si="68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73">
        <f t="shared" si="65"/>
        <v>48</v>
      </c>
      <c r="Z872" s="18">
        <v>46155</v>
      </c>
      <c r="AA872" s="15"/>
      <c r="AB872" s="15"/>
      <c r="AF872" t="str">
        <f t="shared" si="66"/>
        <v>Closed in May</v>
      </c>
    </row>
    <row r="873" spans="1:32" hidden="1">
      <c r="A873" s="6">
        <v>46107</v>
      </c>
      <c r="B873" s="3">
        <v>2026</v>
      </c>
      <c r="C873" s="3" t="s">
        <v>114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67"/>
        <v>24</v>
      </c>
      <c r="R873" s="53" t="str">
        <f t="shared" si="68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73">
        <f t="shared" si="65"/>
        <v>48</v>
      </c>
      <c r="Z873" s="18">
        <v>46155</v>
      </c>
      <c r="AA873" s="15"/>
      <c r="AB873" s="15"/>
      <c r="AF873" t="str">
        <f t="shared" si="66"/>
        <v>Closed in May</v>
      </c>
    </row>
    <row r="874" spans="1:32" hidden="1">
      <c r="A874" s="6">
        <v>46107</v>
      </c>
      <c r="B874" s="3">
        <v>2026</v>
      </c>
      <c r="C874" s="3" t="s">
        <v>114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67"/>
        <v>24</v>
      </c>
      <c r="R874" s="53" t="str">
        <f t="shared" si="68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73">
        <f t="shared" si="65"/>
        <v>48</v>
      </c>
      <c r="Z874" s="18">
        <v>46155</v>
      </c>
      <c r="AA874" s="15"/>
      <c r="AB874" s="15"/>
      <c r="AF874" t="str">
        <f t="shared" si="66"/>
        <v>Closed in May</v>
      </c>
    </row>
    <row r="875" spans="1:32" hidden="1">
      <c r="A875" s="6">
        <v>46107</v>
      </c>
      <c r="B875" s="3">
        <v>2026</v>
      </c>
      <c r="C875" s="3" t="s">
        <v>114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67"/>
        <v>24</v>
      </c>
      <c r="R875" s="53" t="str">
        <f t="shared" si="68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73">
        <f t="shared" si="65"/>
        <v>48</v>
      </c>
      <c r="Z875" s="18">
        <v>46155</v>
      </c>
      <c r="AA875" s="15"/>
      <c r="AB875" s="15"/>
      <c r="AF875" t="str">
        <f t="shared" si="66"/>
        <v>Closed in May</v>
      </c>
    </row>
    <row r="876" spans="1:32" hidden="1">
      <c r="A876" s="6">
        <v>46107</v>
      </c>
      <c r="B876" s="3">
        <v>2026</v>
      </c>
      <c r="C876" s="3" t="s">
        <v>114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67"/>
        <v>24</v>
      </c>
      <c r="R876" s="53" t="str">
        <f t="shared" si="68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73">
        <f t="shared" si="65"/>
        <v>48</v>
      </c>
      <c r="Z876" s="18">
        <v>46155</v>
      </c>
      <c r="AA876" s="15"/>
      <c r="AB876" s="15"/>
      <c r="AF876" t="str">
        <f t="shared" si="66"/>
        <v>Closed in May</v>
      </c>
    </row>
    <row r="877" spans="1:32" hidden="1">
      <c r="A877" s="6">
        <v>46107</v>
      </c>
      <c r="B877" s="3">
        <v>2026</v>
      </c>
      <c r="C877" s="3" t="s">
        <v>114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67"/>
        <v>24</v>
      </c>
      <c r="R877" s="53" t="str">
        <f t="shared" si="68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73">
        <f t="shared" si="65"/>
        <v>48</v>
      </c>
      <c r="Z877" s="18">
        <v>46155</v>
      </c>
      <c r="AA877" s="15"/>
      <c r="AB877" s="15"/>
      <c r="AF877" t="str">
        <f t="shared" si="66"/>
        <v>Closed in May</v>
      </c>
    </row>
    <row r="878" spans="1:32" hidden="1">
      <c r="A878" s="6">
        <v>46107</v>
      </c>
      <c r="B878" s="3">
        <v>2026</v>
      </c>
      <c r="C878" s="3" t="s">
        <v>114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67"/>
        <v>24</v>
      </c>
      <c r="R878" s="53" t="str">
        <f t="shared" si="68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73">
        <f t="shared" si="65"/>
        <v>48</v>
      </c>
      <c r="Z878" s="18">
        <v>46155</v>
      </c>
      <c r="AA878" s="15"/>
      <c r="AB878" s="15"/>
      <c r="AF878" t="str">
        <f t="shared" si="66"/>
        <v>Closed in May</v>
      </c>
    </row>
    <row r="879" spans="1:32" hidden="1">
      <c r="A879" s="6">
        <v>46107</v>
      </c>
      <c r="B879" s="3">
        <v>2026</v>
      </c>
      <c r="C879" s="3" t="s">
        <v>114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67"/>
        <v>24</v>
      </c>
      <c r="R879" s="53" t="str">
        <f t="shared" si="68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73">
        <f t="shared" si="65"/>
        <v>48</v>
      </c>
      <c r="Z879" s="18">
        <v>46155</v>
      </c>
      <c r="AA879" s="15"/>
      <c r="AB879" s="15"/>
      <c r="AF879" t="str">
        <f t="shared" si="66"/>
        <v>Closed in May</v>
      </c>
    </row>
    <row r="880" spans="1:32" hidden="1">
      <c r="A880" s="6">
        <v>46107</v>
      </c>
      <c r="B880" s="3">
        <v>2026</v>
      </c>
      <c r="C880" s="3" t="s">
        <v>114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67"/>
        <v>24</v>
      </c>
      <c r="R880" s="53" t="str">
        <f t="shared" si="68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73">
        <f t="shared" si="65"/>
        <v>48</v>
      </c>
      <c r="Z880" s="18">
        <v>46155</v>
      </c>
      <c r="AA880" s="15"/>
      <c r="AB880" s="15"/>
      <c r="AF880" t="str">
        <f t="shared" si="66"/>
        <v>Closed in May</v>
      </c>
    </row>
    <row r="881" spans="1:32" hidden="1">
      <c r="A881" s="6">
        <v>46107</v>
      </c>
      <c r="B881" s="3">
        <v>2026</v>
      </c>
      <c r="C881" s="3" t="s">
        <v>114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67"/>
        <v>24</v>
      </c>
      <c r="R881" s="53" t="str">
        <f t="shared" si="68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73">
        <f t="shared" si="65"/>
        <v>48</v>
      </c>
      <c r="Z881" s="18">
        <v>46155</v>
      </c>
      <c r="AA881" s="15"/>
      <c r="AB881" s="15"/>
      <c r="AF881" t="str">
        <f t="shared" si="66"/>
        <v>Closed in May</v>
      </c>
    </row>
    <row r="882" spans="1:32" hidden="1">
      <c r="A882" s="6">
        <v>46107</v>
      </c>
      <c r="B882" s="3">
        <v>2026</v>
      </c>
      <c r="C882" s="3" t="s">
        <v>114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67"/>
        <v>24</v>
      </c>
      <c r="R882" s="53" t="str">
        <f t="shared" si="68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73">
        <f t="shared" si="65"/>
        <v>48</v>
      </c>
      <c r="Z882" s="18">
        <v>46155</v>
      </c>
      <c r="AA882" s="15"/>
      <c r="AB882" s="15"/>
      <c r="AF882" t="str">
        <f t="shared" si="66"/>
        <v>Closed in May</v>
      </c>
    </row>
    <row r="883" spans="1:32" hidden="1">
      <c r="A883" s="6">
        <v>46107</v>
      </c>
      <c r="B883" s="3">
        <v>2026</v>
      </c>
      <c r="C883" s="3" t="s">
        <v>114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67"/>
        <v>24</v>
      </c>
      <c r="R883" s="53" t="str">
        <f t="shared" si="68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73">
        <f t="shared" si="65"/>
        <v>48</v>
      </c>
      <c r="Z883" s="18">
        <v>46155</v>
      </c>
      <c r="AA883" s="15"/>
      <c r="AB883" s="15"/>
      <c r="AF883" t="str">
        <f t="shared" si="66"/>
        <v>Closed in May</v>
      </c>
    </row>
    <row r="884" spans="1:32" hidden="1">
      <c r="A884" s="6">
        <v>46107</v>
      </c>
      <c r="B884" s="3">
        <v>2026</v>
      </c>
      <c r="C884" s="3" t="s">
        <v>114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67"/>
        <v>24</v>
      </c>
      <c r="R884" s="53" t="str">
        <f t="shared" si="68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73">
        <f t="shared" si="65"/>
        <v>48</v>
      </c>
      <c r="Z884" s="18">
        <v>46155</v>
      </c>
      <c r="AA884" s="15"/>
      <c r="AB884" s="15"/>
      <c r="AF884" t="str">
        <f t="shared" si="66"/>
        <v>Closed in May</v>
      </c>
    </row>
    <row r="885" spans="1:32" hidden="1">
      <c r="A885" s="6">
        <v>46107</v>
      </c>
      <c r="B885" s="3">
        <v>2026</v>
      </c>
      <c r="C885" s="3" t="s">
        <v>114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67"/>
        <v>24</v>
      </c>
      <c r="R885" s="53" t="str">
        <f t="shared" si="68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73">
        <f t="shared" si="65"/>
        <v>48</v>
      </c>
      <c r="Z885" s="18">
        <v>46155</v>
      </c>
      <c r="AA885" s="15"/>
      <c r="AB885" s="15"/>
      <c r="AF885" t="str">
        <f t="shared" si="66"/>
        <v>Closed in May</v>
      </c>
    </row>
    <row r="886" spans="1:32" hidden="1">
      <c r="A886" s="6">
        <v>46107</v>
      </c>
      <c r="B886" s="3">
        <v>2026</v>
      </c>
      <c r="C886" s="3" t="s">
        <v>114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67"/>
        <v>24</v>
      </c>
      <c r="R886" s="53" t="str">
        <f t="shared" si="68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73">
        <f t="shared" si="65"/>
        <v>48</v>
      </c>
      <c r="Z886" s="18">
        <v>46155</v>
      </c>
      <c r="AA886" s="15"/>
      <c r="AB886" s="15"/>
      <c r="AF886" t="str">
        <f t="shared" si="66"/>
        <v>Closed in May</v>
      </c>
    </row>
    <row r="887" spans="1:32" hidden="1">
      <c r="A887" s="6">
        <v>46107</v>
      </c>
      <c r="B887" s="3">
        <v>2026</v>
      </c>
      <c r="C887" s="3" t="s">
        <v>114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67"/>
        <v>24</v>
      </c>
      <c r="R887" s="53" t="str">
        <f t="shared" si="68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73">
        <f t="shared" si="65"/>
        <v>48</v>
      </c>
      <c r="Z887" s="18">
        <v>46155</v>
      </c>
      <c r="AA887" s="15"/>
      <c r="AB887" s="15"/>
      <c r="AF887" t="str">
        <f t="shared" si="66"/>
        <v>Closed in May</v>
      </c>
    </row>
    <row r="888" spans="1:32" hidden="1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67"/>
        <v>24</v>
      </c>
      <c r="R888" s="53" t="str">
        <f t="shared" si="68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73">
        <f t="shared" si="65"/>
        <v>12</v>
      </c>
      <c r="Z888" s="18">
        <v>46155</v>
      </c>
      <c r="AA888" s="15"/>
      <c r="AB888" s="15"/>
      <c r="AF888" t="str">
        <f t="shared" si="66"/>
        <v>Closed in May</v>
      </c>
    </row>
    <row r="889" spans="1:32" hidden="1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67"/>
        <v>24</v>
      </c>
      <c r="R889" s="53" t="str">
        <f t="shared" si="68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73">
        <f t="shared" si="65"/>
        <v>12</v>
      </c>
      <c r="Z889" s="18">
        <v>46155</v>
      </c>
      <c r="AA889" s="15"/>
      <c r="AB889" s="15"/>
      <c r="AF889" t="str">
        <f t="shared" si="66"/>
        <v>Closed in May</v>
      </c>
    </row>
    <row r="890" spans="1:32" hidden="1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67"/>
        <v>24</v>
      </c>
      <c r="R890" s="53" t="str">
        <f t="shared" si="68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73">
        <f t="shared" si="65"/>
        <v>12</v>
      </c>
      <c r="Z890" s="18">
        <v>46155</v>
      </c>
      <c r="AA890" s="15"/>
      <c r="AB890" s="15"/>
      <c r="AF890" t="str">
        <f t="shared" si="66"/>
        <v>Closed in May</v>
      </c>
    </row>
    <row r="891" spans="1:32" hidden="1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67"/>
        <v>24</v>
      </c>
      <c r="R891" s="53" t="str">
        <f t="shared" si="68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73">
        <f t="shared" si="65"/>
        <v>12</v>
      </c>
      <c r="Z891" s="18">
        <v>46155</v>
      </c>
      <c r="AA891" s="15"/>
      <c r="AB891" s="15"/>
      <c r="AF891" t="str">
        <f t="shared" si="66"/>
        <v>Closed in May</v>
      </c>
    </row>
    <row r="892" spans="1:32" hidden="1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67"/>
        <v>24</v>
      </c>
      <c r="R892" s="53" t="str">
        <f t="shared" si="68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73">
        <f t="shared" si="65"/>
        <v>12</v>
      </c>
      <c r="Z892" s="18">
        <v>46155</v>
      </c>
      <c r="AA892" s="15"/>
      <c r="AB892" s="15"/>
      <c r="AF892" t="str">
        <f t="shared" si="66"/>
        <v>Closed in May</v>
      </c>
    </row>
    <row r="893" spans="1:32" hidden="1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67"/>
        <v>24</v>
      </c>
      <c r="R893" s="53" t="str">
        <f t="shared" si="68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73">
        <f t="shared" si="65"/>
        <v>12</v>
      </c>
      <c r="Z893" s="18">
        <v>46155</v>
      </c>
      <c r="AA893" s="15"/>
      <c r="AB893" s="15"/>
      <c r="AF893" t="str">
        <f t="shared" si="66"/>
        <v>Closed in May</v>
      </c>
    </row>
    <row r="894" spans="1:32" hidden="1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67"/>
        <v>24</v>
      </c>
      <c r="R894" s="53" t="str">
        <f t="shared" si="68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73">
        <f t="shared" si="65"/>
        <v>12</v>
      </c>
      <c r="Z894" s="18">
        <v>46155</v>
      </c>
      <c r="AA894" s="15"/>
      <c r="AB894" s="15"/>
      <c r="AF894" t="str">
        <f t="shared" si="66"/>
        <v>Closed in May</v>
      </c>
    </row>
    <row r="895" spans="1:32" hidden="1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67"/>
        <v>24</v>
      </c>
      <c r="R895" s="53" t="str">
        <f t="shared" si="68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73">
        <f t="shared" si="65"/>
        <v>12</v>
      </c>
      <c r="Z895" s="18">
        <v>46155</v>
      </c>
      <c r="AA895" s="15"/>
      <c r="AB895" s="15"/>
      <c r="AF895" t="str">
        <f t="shared" si="66"/>
        <v>Closed in May</v>
      </c>
    </row>
    <row r="896" spans="1:32" hidden="1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67"/>
        <v>24</v>
      </c>
      <c r="R896" s="53" t="str">
        <f t="shared" si="68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73">
        <f t="shared" si="65"/>
        <v>12</v>
      </c>
      <c r="Z896" s="18">
        <v>46155</v>
      </c>
      <c r="AA896" s="15"/>
      <c r="AB896" s="15"/>
      <c r="AF896" t="str">
        <f t="shared" si="66"/>
        <v>Closed in May</v>
      </c>
    </row>
    <row r="897" spans="1:32" hidden="1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67"/>
        <v>24</v>
      </c>
      <c r="R897" s="53" t="str">
        <f t="shared" si="68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73">
        <f t="shared" si="65"/>
        <v>12</v>
      </c>
      <c r="Z897" s="18">
        <v>46155</v>
      </c>
      <c r="AA897" s="15"/>
      <c r="AB897" s="15"/>
      <c r="AF897" t="str">
        <f t="shared" si="66"/>
        <v>Closed in May</v>
      </c>
    </row>
    <row r="898" spans="1:32" hidden="1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67"/>
        <v>24</v>
      </c>
      <c r="R898" s="53" t="str">
        <f t="shared" si="68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73">
        <f t="shared" ref="Y898:Y961" si="69">IF(X898="","",X898-A898)</f>
        <v>12</v>
      </c>
      <c r="Z898" s="18">
        <v>46155</v>
      </c>
      <c r="AA898" s="15"/>
      <c r="AB898" s="15"/>
      <c r="AF898" t="str">
        <f t="shared" ref="AF898:AF961" si="70">IF(AND($F898="Closed",$X898&gt;=DATE(2026,5,1),$X898&lt;=DATE(2026,5,31)),"Closed in May","Other")</f>
        <v>Closed in May</v>
      </c>
    </row>
    <row r="899" spans="1:32" hidden="1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67"/>
        <v>24</v>
      </c>
      <c r="R899" s="53" t="str">
        <f t="shared" si="68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73">
        <f t="shared" si="69"/>
        <v>12</v>
      </c>
      <c r="Z899" s="18">
        <v>46155</v>
      </c>
      <c r="AA899" s="15"/>
      <c r="AB899" s="15"/>
      <c r="AF899" t="str">
        <f t="shared" si="70"/>
        <v>Closed in May</v>
      </c>
    </row>
    <row r="900" spans="1:32" hidden="1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67"/>
        <v>24</v>
      </c>
      <c r="R900" s="53" t="str">
        <f t="shared" si="68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73">
        <f t="shared" si="69"/>
        <v>12</v>
      </c>
      <c r="Z900" s="18">
        <v>46155</v>
      </c>
      <c r="AA900" s="15"/>
      <c r="AB900" s="15"/>
      <c r="AF900" t="str">
        <f t="shared" si="70"/>
        <v>Closed in May</v>
      </c>
    </row>
    <row r="901" spans="1:32" hidden="1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67"/>
        <v>24</v>
      </c>
      <c r="R901" s="53" t="str">
        <f t="shared" si="68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73">
        <f t="shared" si="69"/>
        <v>12</v>
      </c>
      <c r="Z901" s="18">
        <v>46155</v>
      </c>
      <c r="AA901" s="15"/>
      <c r="AB901" s="15"/>
      <c r="AF901" t="str">
        <f t="shared" si="70"/>
        <v>Closed in May</v>
      </c>
    </row>
    <row r="902" spans="1:32" hidden="1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67"/>
        <v>24</v>
      </c>
      <c r="R902" s="53" t="str">
        <f t="shared" si="68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73">
        <f t="shared" si="69"/>
        <v>12</v>
      </c>
      <c r="Z902" s="18">
        <v>46155</v>
      </c>
      <c r="AA902" s="15"/>
      <c r="AB902" s="15"/>
      <c r="AF902" t="str">
        <f t="shared" si="70"/>
        <v>Closed in May</v>
      </c>
    </row>
    <row r="903" spans="1:32" hidden="1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67"/>
        <v>24</v>
      </c>
      <c r="R903" s="53" t="str">
        <f t="shared" si="68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73">
        <f t="shared" si="69"/>
        <v>12</v>
      </c>
      <c r="Z903" s="18">
        <v>46155</v>
      </c>
      <c r="AA903" s="15"/>
      <c r="AB903" s="15"/>
      <c r="AF903" t="str">
        <f t="shared" si="70"/>
        <v>Closed in May</v>
      </c>
    </row>
    <row r="904" spans="1:32" hidden="1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67"/>
        <v>24</v>
      </c>
      <c r="R904" s="53" t="str">
        <f t="shared" si="68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73">
        <f t="shared" si="69"/>
        <v>12</v>
      </c>
      <c r="Z904" s="18">
        <v>46155</v>
      </c>
      <c r="AA904" s="15"/>
      <c r="AB904" s="15"/>
      <c r="AF904" t="str">
        <f t="shared" si="70"/>
        <v>Closed in May</v>
      </c>
    </row>
    <row r="905" spans="1:32" hidden="1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67"/>
        <v>24</v>
      </c>
      <c r="R905" s="53" t="str">
        <f t="shared" si="68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73">
        <f t="shared" si="69"/>
        <v>12</v>
      </c>
      <c r="Z905" s="18">
        <v>46155</v>
      </c>
      <c r="AA905" s="15"/>
      <c r="AB905" s="15"/>
      <c r="AF905" t="str">
        <f t="shared" si="70"/>
        <v>Closed in May</v>
      </c>
    </row>
    <row r="906" spans="1:32" hidden="1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67"/>
        <v>24</v>
      </c>
      <c r="R906" s="53" t="str">
        <f t="shared" si="68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73">
        <f t="shared" si="69"/>
        <v>12</v>
      </c>
      <c r="Z906" s="18">
        <v>46155</v>
      </c>
      <c r="AA906" s="15"/>
      <c r="AB906" s="15"/>
      <c r="AF906" t="str">
        <f t="shared" si="70"/>
        <v>Closed in May</v>
      </c>
    </row>
    <row r="907" spans="1:32" hidden="1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67"/>
        <v>24</v>
      </c>
      <c r="R907" s="53" t="str">
        <f t="shared" si="68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73">
        <f t="shared" si="69"/>
        <v>12</v>
      </c>
      <c r="Z907" s="18">
        <v>46155</v>
      </c>
      <c r="AA907" s="15"/>
      <c r="AB907" s="15"/>
      <c r="AF907" t="str">
        <f t="shared" si="70"/>
        <v>Closed in May</v>
      </c>
    </row>
    <row r="908" spans="1:32" hidden="1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67"/>
        <v>24</v>
      </c>
      <c r="R908" s="53" t="str">
        <f t="shared" si="68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73">
        <f t="shared" si="69"/>
        <v>12</v>
      </c>
      <c r="Z908" s="18">
        <v>46155</v>
      </c>
      <c r="AA908" s="15"/>
      <c r="AB908" s="15"/>
      <c r="AF908" t="str">
        <f t="shared" si="70"/>
        <v>Closed in May</v>
      </c>
    </row>
    <row r="909" spans="1:32" hidden="1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67"/>
        <v>24</v>
      </c>
      <c r="R909" s="53" t="str">
        <f t="shared" si="68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73">
        <f t="shared" si="69"/>
        <v>12</v>
      </c>
      <c r="Z909" s="18">
        <v>46155</v>
      </c>
      <c r="AA909" s="15"/>
      <c r="AB909" s="15"/>
      <c r="AF909" t="str">
        <f t="shared" si="70"/>
        <v>Closed in May</v>
      </c>
    </row>
    <row r="910" spans="1:32" hidden="1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67"/>
        <v>24</v>
      </c>
      <c r="R910" s="53" t="str">
        <f t="shared" si="68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73">
        <f t="shared" si="69"/>
        <v>12</v>
      </c>
      <c r="Z910" s="18">
        <v>46155</v>
      </c>
      <c r="AA910" s="15"/>
      <c r="AB910" s="15"/>
      <c r="AF910" t="str">
        <f t="shared" si="70"/>
        <v>Closed in May</v>
      </c>
    </row>
    <row r="911" spans="1:32" hidden="1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67"/>
        <v>24</v>
      </c>
      <c r="R911" s="53" t="str">
        <f t="shared" si="68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73">
        <f t="shared" si="69"/>
        <v>12</v>
      </c>
      <c r="Z911" s="18">
        <v>46155</v>
      </c>
      <c r="AA911" s="15"/>
      <c r="AB911" s="15"/>
      <c r="AF911" t="str">
        <f t="shared" si="70"/>
        <v>Closed in May</v>
      </c>
    </row>
    <row r="912" spans="1:32" hidden="1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67"/>
        <v>24</v>
      </c>
      <c r="R912" s="53" t="str">
        <f t="shared" si="68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73">
        <f t="shared" si="69"/>
        <v>12</v>
      </c>
      <c r="Z912" s="18">
        <v>46155</v>
      </c>
      <c r="AA912" s="15"/>
      <c r="AB912" s="15"/>
      <c r="AF912" t="str">
        <f t="shared" si="70"/>
        <v>Closed in May</v>
      </c>
    </row>
    <row r="913" spans="1:32" hidden="1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67"/>
        <v>24</v>
      </c>
      <c r="R913" s="53" t="str">
        <f t="shared" si="68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73">
        <f t="shared" si="69"/>
        <v>12</v>
      </c>
      <c r="Z913" s="18">
        <v>46155</v>
      </c>
      <c r="AA913" s="15"/>
      <c r="AB913" s="15"/>
      <c r="AF913" t="str">
        <f t="shared" si="70"/>
        <v>Closed in May</v>
      </c>
    </row>
    <row r="914" spans="1:32" hidden="1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67"/>
        <v>24</v>
      </c>
      <c r="R914" s="53" t="str">
        <f t="shared" si="68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73">
        <f t="shared" si="69"/>
        <v>12</v>
      </c>
      <c r="Z914" s="18">
        <v>46155</v>
      </c>
      <c r="AA914" s="15"/>
      <c r="AB914" s="15"/>
      <c r="AF914" t="str">
        <f t="shared" si="70"/>
        <v>Closed in May</v>
      </c>
    </row>
    <row r="915" spans="1:32" hidden="1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67"/>
        <v>24</v>
      </c>
      <c r="R915" s="53" t="str">
        <f t="shared" si="68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73">
        <f t="shared" si="69"/>
        <v>12</v>
      </c>
      <c r="Z915" s="18">
        <v>46155</v>
      </c>
      <c r="AA915" s="15"/>
      <c r="AB915" s="15"/>
      <c r="AF915" t="str">
        <f t="shared" si="70"/>
        <v>Closed in May</v>
      </c>
    </row>
    <row r="916" spans="1:32" hidden="1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67"/>
        <v>24</v>
      </c>
      <c r="R916" s="53" t="str">
        <f t="shared" si="68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73">
        <f t="shared" si="69"/>
        <v>12</v>
      </c>
      <c r="Z916" s="18">
        <v>46155</v>
      </c>
      <c r="AA916" s="15"/>
      <c r="AB916" s="15"/>
      <c r="AF916" t="str">
        <f t="shared" si="70"/>
        <v>Closed in May</v>
      </c>
    </row>
    <row r="917" spans="1:32" hidden="1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67"/>
        <v>24</v>
      </c>
      <c r="R917" s="53" t="str">
        <f t="shared" si="68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73">
        <f t="shared" si="69"/>
        <v>12</v>
      </c>
      <c r="Z917" s="18">
        <v>46155</v>
      </c>
      <c r="AA917" s="15"/>
      <c r="AB917" s="15"/>
      <c r="AF917" t="str">
        <f t="shared" si="70"/>
        <v>Closed in May</v>
      </c>
    </row>
    <row r="918" spans="1:32" hidden="1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67"/>
        <v>24</v>
      </c>
      <c r="R918" s="53" t="str">
        <f t="shared" si="68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73">
        <f t="shared" si="69"/>
        <v>12</v>
      </c>
      <c r="Z918" s="18">
        <v>46155</v>
      </c>
      <c r="AA918" s="15"/>
      <c r="AB918" s="15"/>
      <c r="AF918" t="str">
        <f t="shared" si="70"/>
        <v>Closed in May</v>
      </c>
    </row>
    <row r="919" spans="1:32" hidden="1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67"/>
        <v>24</v>
      </c>
      <c r="R919" s="53" t="str">
        <f t="shared" si="68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73">
        <f t="shared" si="69"/>
        <v>12</v>
      </c>
      <c r="Z919" s="18">
        <v>46155</v>
      </c>
      <c r="AA919" s="15"/>
      <c r="AB919" s="15"/>
      <c r="AF919" t="str">
        <f t="shared" si="70"/>
        <v>Closed in May</v>
      </c>
    </row>
    <row r="920" spans="1:32" hidden="1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67"/>
        <v>24</v>
      </c>
      <c r="R920" s="53" t="str">
        <f t="shared" si="68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73">
        <f t="shared" si="69"/>
        <v>12</v>
      </c>
      <c r="Z920" s="18">
        <v>46155</v>
      </c>
      <c r="AA920" s="15"/>
      <c r="AB920" s="15"/>
      <c r="AF920" t="str">
        <f t="shared" si="70"/>
        <v>Closed in May</v>
      </c>
    </row>
    <row r="921" spans="1:32" hidden="1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67"/>
        <v>24</v>
      </c>
      <c r="R921" s="53" t="str">
        <f t="shared" si="68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73">
        <f t="shared" si="69"/>
        <v>12</v>
      </c>
      <c r="Z921" s="18">
        <v>46155</v>
      </c>
      <c r="AA921" s="15"/>
      <c r="AB921" s="15"/>
      <c r="AF921" t="str">
        <f t="shared" si="70"/>
        <v>Closed in May</v>
      </c>
    </row>
    <row r="922" spans="1:32" hidden="1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67"/>
        <v>24</v>
      </c>
      <c r="R922" s="53" t="str">
        <f t="shared" si="68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73">
        <f t="shared" si="69"/>
        <v>12</v>
      </c>
      <c r="Z922" s="18">
        <v>46155</v>
      </c>
      <c r="AA922" s="15"/>
      <c r="AB922" s="15"/>
      <c r="AF922" t="str">
        <f t="shared" si="70"/>
        <v>Closed in May</v>
      </c>
    </row>
    <row r="923" spans="1:32" hidden="1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67"/>
        <v>24</v>
      </c>
      <c r="R923" s="53" t="str">
        <f t="shared" si="68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73">
        <f t="shared" si="69"/>
        <v>12</v>
      </c>
      <c r="Z923" s="18">
        <v>46155</v>
      </c>
      <c r="AA923" s="15"/>
      <c r="AB923" s="15"/>
      <c r="AF923" t="str">
        <f t="shared" si="70"/>
        <v>Closed in May</v>
      </c>
    </row>
    <row r="924" spans="1:32" hidden="1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67"/>
        <v>24</v>
      </c>
      <c r="R924" s="53" t="str">
        <f t="shared" si="68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73">
        <f t="shared" si="69"/>
        <v>12</v>
      </c>
      <c r="Z924" s="18">
        <v>46155</v>
      </c>
      <c r="AA924" s="15"/>
      <c r="AB924" s="15"/>
      <c r="AF924" t="str">
        <f t="shared" si="70"/>
        <v>Closed in May</v>
      </c>
    </row>
    <row r="925" spans="1:32" hidden="1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67"/>
        <v>22</v>
      </c>
      <c r="R925" s="53" t="str">
        <f t="shared" si="68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73">
        <f t="shared" si="69"/>
        <v>17</v>
      </c>
      <c r="Z925" s="18">
        <v>46156</v>
      </c>
      <c r="AA925" s="15"/>
      <c r="AB925" s="15"/>
      <c r="AF925" t="str">
        <f t="shared" si="70"/>
        <v>Closed in May</v>
      </c>
    </row>
    <row r="926" spans="1:32" hidden="1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67"/>
        <v>22</v>
      </c>
      <c r="R926" s="53" t="str">
        <f t="shared" si="68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73">
        <f t="shared" si="69"/>
        <v>17</v>
      </c>
      <c r="Z926" s="18">
        <v>46156</v>
      </c>
      <c r="AA926" s="15"/>
      <c r="AB926" s="15"/>
      <c r="AF926" t="str">
        <f t="shared" si="70"/>
        <v>Closed in May</v>
      </c>
    </row>
    <row r="927" spans="1:32" hidden="1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67"/>
        <v>22</v>
      </c>
      <c r="R927" s="53" t="str">
        <f t="shared" si="68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73">
        <f t="shared" si="69"/>
        <v>17</v>
      </c>
      <c r="Z927" s="18">
        <v>46156</v>
      </c>
      <c r="AA927" s="15"/>
      <c r="AB927" s="15"/>
      <c r="AF927" t="str">
        <f t="shared" si="70"/>
        <v>Closed in May</v>
      </c>
    </row>
    <row r="928" spans="1:32" hidden="1">
      <c r="A928" s="6">
        <v>46107</v>
      </c>
      <c r="B928" s="3">
        <v>2026</v>
      </c>
      <c r="C928" s="3" t="s">
        <v>114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67"/>
        <v>24</v>
      </c>
      <c r="R928" s="53" t="str">
        <f t="shared" si="68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73">
        <f t="shared" si="69"/>
        <v>49</v>
      </c>
      <c r="Z928" s="18">
        <v>46156</v>
      </c>
      <c r="AA928" s="15"/>
      <c r="AB928" s="15"/>
      <c r="AF928" t="str">
        <f t="shared" si="70"/>
        <v>Closed in May</v>
      </c>
    </row>
    <row r="929" spans="1:32" hidden="1">
      <c r="A929" s="6">
        <v>46107</v>
      </c>
      <c r="B929" s="3">
        <v>2026</v>
      </c>
      <c r="C929" s="3" t="s">
        <v>114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67"/>
        <v>24</v>
      </c>
      <c r="R929" s="53" t="str">
        <f t="shared" si="68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73">
        <f t="shared" si="69"/>
        <v>49</v>
      </c>
      <c r="Z929" s="18">
        <v>46156</v>
      </c>
      <c r="AA929" s="15"/>
      <c r="AB929" s="15"/>
      <c r="AF929" t="str">
        <f t="shared" si="70"/>
        <v>Closed in May</v>
      </c>
    </row>
    <row r="930" spans="1:32" hidden="1">
      <c r="A930" s="6">
        <v>46107</v>
      </c>
      <c r="B930" s="3">
        <v>2026</v>
      </c>
      <c r="C930" s="3" t="s">
        <v>114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67"/>
        <v>24</v>
      </c>
      <c r="R930" s="53" t="str">
        <f t="shared" si="68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73">
        <f t="shared" si="69"/>
        <v>49</v>
      </c>
      <c r="Z930" s="18">
        <v>46156</v>
      </c>
      <c r="AA930" s="15"/>
      <c r="AB930" s="15"/>
      <c r="AF930" t="str">
        <f t="shared" si="70"/>
        <v>Closed in May</v>
      </c>
    </row>
    <row r="931" spans="1:32" hidden="1">
      <c r="A931" s="6">
        <v>46107</v>
      </c>
      <c r="B931" s="3">
        <v>2026</v>
      </c>
      <c r="C931" s="3" t="s">
        <v>114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67"/>
        <v>24</v>
      </c>
      <c r="R931" s="53" t="str">
        <f t="shared" si="68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73">
        <f t="shared" si="69"/>
        <v>49</v>
      </c>
      <c r="Z931" s="18">
        <v>46156</v>
      </c>
      <c r="AA931" s="15"/>
      <c r="AB931" s="15"/>
      <c r="AF931" t="str">
        <f t="shared" si="70"/>
        <v>Closed in May</v>
      </c>
    </row>
    <row r="932" spans="1:32" hidden="1">
      <c r="A932" s="6">
        <v>46107</v>
      </c>
      <c r="B932" s="3">
        <v>2026</v>
      </c>
      <c r="C932" s="3" t="s">
        <v>114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67"/>
        <v>24</v>
      </c>
      <c r="R932" s="53" t="str">
        <f t="shared" si="68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73">
        <f t="shared" si="69"/>
        <v>49</v>
      </c>
      <c r="Z932" s="18">
        <v>46156</v>
      </c>
      <c r="AA932" s="15"/>
      <c r="AB932" s="15"/>
      <c r="AF932" t="str">
        <f t="shared" si="70"/>
        <v>Closed in May</v>
      </c>
    </row>
    <row r="933" spans="1:32" hidden="1">
      <c r="A933" s="6">
        <v>46107</v>
      </c>
      <c r="B933" s="3">
        <v>2026</v>
      </c>
      <c r="C933" s="3" t="s">
        <v>114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67"/>
        <v>24</v>
      </c>
      <c r="R933" s="53" t="str">
        <f t="shared" si="68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73">
        <f t="shared" si="69"/>
        <v>49</v>
      </c>
      <c r="Z933" s="18">
        <v>46156</v>
      </c>
      <c r="AA933" s="15"/>
      <c r="AB933" s="15"/>
      <c r="AF933" t="str">
        <f t="shared" si="70"/>
        <v>Closed in May</v>
      </c>
    </row>
    <row r="934" spans="1:32" hidden="1">
      <c r="A934" s="6">
        <v>46107</v>
      </c>
      <c r="B934" s="3">
        <v>2026</v>
      </c>
      <c r="C934" s="3" t="s">
        <v>114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67"/>
        <v>24</v>
      </c>
      <c r="R934" s="53" t="str">
        <f t="shared" si="68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73">
        <f t="shared" si="69"/>
        <v>49</v>
      </c>
      <c r="Z934" s="18">
        <v>46156</v>
      </c>
      <c r="AA934" s="15"/>
      <c r="AB934" s="15"/>
      <c r="AF934" t="str">
        <f t="shared" si="70"/>
        <v>Closed in May</v>
      </c>
    </row>
    <row r="935" spans="1:32" hidden="1">
      <c r="A935" s="6">
        <v>46107</v>
      </c>
      <c r="B935" s="3">
        <v>2026</v>
      </c>
      <c r="C935" s="3" t="s">
        <v>114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71">MID(P935,5,2)</f>
        <v>24</v>
      </c>
      <c r="R935" s="53" t="str">
        <f t="shared" ref="R935:R998" si="72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73">
        <f t="shared" si="69"/>
        <v>49</v>
      </c>
      <c r="Z935" s="18">
        <v>46156</v>
      </c>
      <c r="AA935" s="15"/>
      <c r="AB935" s="15"/>
      <c r="AF935" t="str">
        <f t="shared" si="70"/>
        <v>Closed in May</v>
      </c>
    </row>
    <row r="936" spans="1:32" hidden="1">
      <c r="A936" s="6">
        <v>46107</v>
      </c>
      <c r="B936" s="3">
        <v>2026</v>
      </c>
      <c r="C936" s="3" t="s">
        <v>114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71"/>
        <v>24</v>
      </c>
      <c r="R936" s="53" t="str">
        <f t="shared" si="72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73">
        <f t="shared" si="69"/>
        <v>49</v>
      </c>
      <c r="Z936" s="18">
        <v>46156</v>
      </c>
      <c r="AA936" s="15"/>
      <c r="AB936" s="15"/>
      <c r="AF936" t="str">
        <f t="shared" si="70"/>
        <v>Closed in May</v>
      </c>
    </row>
    <row r="937" spans="1:32" hidden="1">
      <c r="A937" s="6">
        <v>46107</v>
      </c>
      <c r="B937" s="3">
        <v>2026</v>
      </c>
      <c r="C937" s="3" t="s">
        <v>114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71"/>
        <v>24</v>
      </c>
      <c r="R937" s="53" t="str">
        <f t="shared" si="72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73">
        <f t="shared" si="69"/>
        <v>49</v>
      </c>
      <c r="Z937" s="18">
        <v>46156</v>
      </c>
      <c r="AA937" s="15"/>
      <c r="AB937" s="15"/>
      <c r="AF937" t="str">
        <f t="shared" si="70"/>
        <v>Closed in May</v>
      </c>
    </row>
    <row r="938" spans="1:32" hidden="1">
      <c r="A938" s="6">
        <v>46107</v>
      </c>
      <c r="B938" s="3">
        <v>2026</v>
      </c>
      <c r="C938" s="3" t="s">
        <v>114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71"/>
        <v>24</v>
      </c>
      <c r="R938" s="53" t="str">
        <f t="shared" si="72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73">
        <f t="shared" si="69"/>
        <v>49</v>
      </c>
      <c r="Z938" s="18">
        <v>46156</v>
      </c>
      <c r="AA938" s="15"/>
      <c r="AB938" s="15"/>
      <c r="AF938" t="str">
        <f t="shared" si="70"/>
        <v>Closed in May</v>
      </c>
    </row>
    <row r="939" spans="1:32" hidden="1">
      <c r="A939" s="6">
        <v>46107</v>
      </c>
      <c r="B939" s="3">
        <v>2026</v>
      </c>
      <c r="C939" s="3" t="s">
        <v>114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71"/>
        <v>24</v>
      </c>
      <c r="R939" s="53" t="str">
        <f t="shared" si="72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73">
        <f t="shared" si="69"/>
        <v>49</v>
      </c>
      <c r="Z939" s="18">
        <v>46156</v>
      </c>
      <c r="AA939" s="15"/>
      <c r="AB939" s="15"/>
      <c r="AF939" t="str">
        <f t="shared" si="70"/>
        <v>Closed in May</v>
      </c>
    </row>
    <row r="940" spans="1:32" hidden="1">
      <c r="A940" s="6">
        <v>46107</v>
      </c>
      <c r="B940" s="3">
        <v>2026</v>
      </c>
      <c r="C940" s="3" t="s">
        <v>114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71"/>
        <v>24</v>
      </c>
      <c r="R940" s="53" t="str">
        <f t="shared" si="72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73">
        <f t="shared" si="69"/>
        <v>49</v>
      </c>
      <c r="Z940" s="18">
        <v>46156</v>
      </c>
      <c r="AA940" s="15"/>
      <c r="AB940" s="15"/>
      <c r="AF940" t="str">
        <f t="shared" si="70"/>
        <v>Closed in May</v>
      </c>
    </row>
    <row r="941" spans="1:32" hidden="1">
      <c r="A941" s="6">
        <v>46107</v>
      </c>
      <c r="B941" s="3">
        <v>2026</v>
      </c>
      <c r="C941" s="3" t="s">
        <v>114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71"/>
        <v>24</v>
      </c>
      <c r="R941" s="53" t="str">
        <f t="shared" si="72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73">
        <f t="shared" si="69"/>
        <v>49</v>
      </c>
      <c r="Z941" s="18">
        <v>46156</v>
      </c>
      <c r="AA941" s="15"/>
      <c r="AB941" s="15"/>
      <c r="AF941" t="str">
        <f t="shared" si="70"/>
        <v>Closed in May</v>
      </c>
    </row>
    <row r="942" spans="1:32" hidden="1">
      <c r="A942" s="6">
        <v>46107</v>
      </c>
      <c r="B942" s="3">
        <v>2026</v>
      </c>
      <c r="C942" s="3" t="s">
        <v>114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71"/>
        <v>24</v>
      </c>
      <c r="R942" s="53" t="str">
        <f t="shared" si="72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73">
        <f t="shared" si="69"/>
        <v>49</v>
      </c>
      <c r="Z942" s="18">
        <v>46156</v>
      </c>
      <c r="AA942" s="15"/>
      <c r="AB942" s="15"/>
      <c r="AF942" t="str">
        <f t="shared" si="70"/>
        <v>Closed in May</v>
      </c>
    </row>
    <row r="943" spans="1:32" hidden="1">
      <c r="A943" s="6">
        <v>46107</v>
      </c>
      <c r="B943" s="3">
        <v>2026</v>
      </c>
      <c r="C943" s="3" t="s">
        <v>114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71"/>
        <v>24</v>
      </c>
      <c r="R943" s="53" t="str">
        <f t="shared" si="72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73">
        <f t="shared" si="69"/>
        <v>49</v>
      </c>
      <c r="Z943" s="18">
        <v>46156</v>
      </c>
      <c r="AA943" s="15"/>
      <c r="AB943" s="15"/>
      <c r="AF943" t="str">
        <f t="shared" si="70"/>
        <v>Closed in May</v>
      </c>
    </row>
    <row r="944" spans="1:32" hidden="1">
      <c r="A944" s="6">
        <v>46107</v>
      </c>
      <c r="B944" s="3">
        <v>2026</v>
      </c>
      <c r="C944" s="3" t="s">
        <v>114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71"/>
        <v>24</v>
      </c>
      <c r="R944" s="53" t="str">
        <f t="shared" si="72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73">
        <f t="shared" si="69"/>
        <v>49</v>
      </c>
      <c r="Z944" s="18">
        <v>46156</v>
      </c>
      <c r="AA944" s="15"/>
      <c r="AB944" s="15"/>
      <c r="AF944" t="str">
        <f t="shared" si="70"/>
        <v>Closed in May</v>
      </c>
    </row>
    <row r="945" spans="1:32" hidden="1">
      <c r="A945" s="6">
        <v>46107</v>
      </c>
      <c r="B945" s="3">
        <v>2026</v>
      </c>
      <c r="C945" s="3" t="s">
        <v>114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71"/>
        <v>24</v>
      </c>
      <c r="R945" s="53" t="str">
        <f t="shared" si="72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73">
        <f t="shared" si="69"/>
        <v>49</v>
      </c>
      <c r="Z945" s="18">
        <v>46156</v>
      </c>
      <c r="AA945" s="15"/>
      <c r="AB945" s="15"/>
      <c r="AF945" t="str">
        <f t="shared" si="70"/>
        <v>Closed in May</v>
      </c>
    </row>
    <row r="946" spans="1:32" hidden="1">
      <c r="A946" s="6">
        <v>46107</v>
      </c>
      <c r="B946" s="3">
        <v>2026</v>
      </c>
      <c r="C946" s="3" t="s">
        <v>114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71"/>
        <v>24</v>
      </c>
      <c r="R946" s="53" t="str">
        <f t="shared" si="72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73">
        <f t="shared" si="69"/>
        <v>49</v>
      </c>
      <c r="Z946" s="18">
        <v>46156</v>
      </c>
      <c r="AA946" s="15"/>
      <c r="AB946" s="15"/>
      <c r="AF946" t="str">
        <f t="shared" si="70"/>
        <v>Closed in May</v>
      </c>
    </row>
    <row r="947" spans="1:32" hidden="1">
      <c r="A947" s="6">
        <v>46107</v>
      </c>
      <c r="B947" s="3">
        <v>2026</v>
      </c>
      <c r="C947" s="3" t="s">
        <v>114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71"/>
        <v>24</v>
      </c>
      <c r="R947" s="53" t="str">
        <f t="shared" si="72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73">
        <f t="shared" si="69"/>
        <v>49</v>
      </c>
      <c r="Z947" s="18">
        <v>46156</v>
      </c>
      <c r="AA947" s="15"/>
      <c r="AB947" s="15"/>
      <c r="AF947" t="str">
        <f t="shared" si="70"/>
        <v>Closed in May</v>
      </c>
    </row>
    <row r="948" spans="1:32" hidden="1">
      <c r="A948" s="6">
        <v>46107</v>
      </c>
      <c r="B948" s="3">
        <v>2026</v>
      </c>
      <c r="C948" s="3" t="s">
        <v>114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71"/>
        <v>24</v>
      </c>
      <c r="R948" s="53" t="str">
        <f t="shared" si="72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73">
        <f t="shared" si="69"/>
        <v>49</v>
      </c>
      <c r="Z948" s="18">
        <v>46156</v>
      </c>
      <c r="AA948" s="15"/>
      <c r="AB948" s="15"/>
      <c r="AF948" t="str">
        <f t="shared" si="70"/>
        <v>Closed in May</v>
      </c>
    </row>
    <row r="949" spans="1:32" hidden="1">
      <c r="A949" s="6">
        <v>46107</v>
      </c>
      <c r="B949" s="3">
        <v>2026</v>
      </c>
      <c r="C949" s="3" t="s">
        <v>114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71"/>
        <v>24</v>
      </c>
      <c r="R949" s="53" t="str">
        <f t="shared" si="72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73">
        <f t="shared" si="69"/>
        <v>49</v>
      </c>
      <c r="Z949" s="18">
        <v>46156</v>
      </c>
      <c r="AA949" s="15"/>
      <c r="AB949" s="15"/>
      <c r="AF949" t="str">
        <f t="shared" si="70"/>
        <v>Closed in May</v>
      </c>
    </row>
    <row r="950" spans="1:32" hidden="1">
      <c r="A950" s="6">
        <v>46107</v>
      </c>
      <c r="B950" s="3">
        <v>2026</v>
      </c>
      <c r="C950" s="3" t="s">
        <v>114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71"/>
        <v>24</v>
      </c>
      <c r="R950" s="53" t="str">
        <f t="shared" si="72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73">
        <f t="shared" si="69"/>
        <v>49</v>
      </c>
      <c r="Z950" s="18">
        <v>46156</v>
      </c>
      <c r="AA950" s="15"/>
      <c r="AB950" s="15"/>
      <c r="AF950" t="str">
        <f t="shared" si="70"/>
        <v>Closed in May</v>
      </c>
    </row>
    <row r="951" spans="1:32" hidden="1">
      <c r="A951" s="6">
        <v>46107</v>
      </c>
      <c r="B951" s="3">
        <v>2026</v>
      </c>
      <c r="C951" s="3" t="s">
        <v>114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71"/>
        <v>24</v>
      </c>
      <c r="R951" s="53" t="str">
        <f t="shared" si="72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73">
        <f t="shared" si="69"/>
        <v>49</v>
      </c>
      <c r="Z951" s="18">
        <v>46156</v>
      </c>
      <c r="AA951" s="15"/>
      <c r="AB951" s="15"/>
      <c r="AF951" t="str">
        <f t="shared" si="70"/>
        <v>Closed in May</v>
      </c>
    </row>
    <row r="952" spans="1:32" hidden="1">
      <c r="A952" s="6">
        <v>46107</v>
      </c>
      <c r="B952" s="3">
        <v>2026</v>
      </c>
      <c r="C952" s="3" t="s">
        <v>114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71"/>
        <v>24</v>
      </c>
      <c r="R952" s="53" t="str">
        <f t="shared" si="72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73">
        <f t="shared" si="69"/>
        <v>49</v>
      </c>
      <c r="Z952" s="18">
        <v>46156</v>
      </c>
      <c r="AA952" s="15"/>
      <c r="AB952" s="15"/>
      <c r="AF952" t="str">
        <f t="shared" si="70"/>
        <v>Closed in May</v>
      </c>
    </row>
    <row r="953" spans="1:32" hidden="1">
      <c r="A953" s="6">
        <v>46107</v>
      </c>
      <c r="B953" s="3">
        <v>2026</v>
      </c>
      <c r="C953" s="3" t="s">
        <v>114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71"/>
        <v>24</v>
      </c>
      <c r="R953" s="53" t="str">
        <f t="shared" si="72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73">
        <f t="shared" si="69"/>
        <v>49</v>
      </c>
      <c r="Z953" s="18">
        <v>46156</v>
      </c>
      <c r="AA953" s="15"/>
      <c r="AB953" s="15"/>
      <c r="AF953" t="str">
        <f t="shared" si="70"/>
        <v>Closed in May</v>
      </c>
    </row>
    <row r="954" spans="1:32" hidden="1">
      <c r="A954" s="6">
        <v>46107</v>
      </c>
      <c r="B954" s="3">
        <v>2026</v>
      </c>
      <c r="C954" s="3" t="s">
        <v>114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71"/>
        <v>24</v>
      </c>
      <c r="R954" s="53" t="str">
        <f t="shared" si="72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73">
        <f t="shared" si="69"/>
        <v>49</v>
      </c>
      <c r="Z954" s="18">
        <v>46156</v>
      </c>
      <c r="AA954" s="15"/>
      <c r="AB954" s="15"/>
      <c r="AF954" t="str">
        <f t="shared" si="70"/>
        <v>Closed in May</v>
      </c>
    </row>
    <row r="955" spans="1:32" hidden="1">
      <c r="A955" s="6">
        <v>46107</v>
      </c>
      <c r="B955" s="3">
        <v>2026</v>
      </c>
      <c r="C955" s="3" t="s">
        <v>114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71"/>
        <v>24</v>
      </c>
      <c r="R955" s="53" t="str">
        <f t="shared" si="72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73">
        <f t="shared" si="69"/>
        <v>49</v>
      </c>
      <c r="Z955" s="18">
        <v>46156</v>
      </c>
      <c r="AA955" s="15"/>
      <c r="AB955" s="15"/>
      <c r="AF955" t="str">
        <f t="shared" si="70"/>
        <v>Closed in May</v>
      </c>
    </row>
    <row r="956" spans="1:32" hidden="1">
      <c r="A956" s="6">
        <v>46107</v>
      </c>
      <c r="B956" s="3">
        <v>2026</v>
      </c>
      <c r="C956" s="3" t="s">
        <v>114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71"/>
        <v>24</v>
      </c>
      <c r="R956" s="53" t="str">
        <f t="shared" si="72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73">
        <f t="shared" si="69"/>
        <v>49</v>
      </c>
      <c r="Z956" s="18">
        <v>46156</v>
      </c>
      <c r="AA956" s="15"/>
      <c r="AB956" s="15"/>
      <c r="AF956" t="str">
        <f t="shared" si="70"/>
        <v>Closed in May</v>
      </c>
    </row>
    <row r="957" spans="1:32" hidden="1">
      <c r="A957" s="6">
        <v>46107</v>
      </c>
      <c r="B957" s="3">
        <v>2026</v>
      </c>
      <c r="C957" s="3" t="s">
        <v>114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71"/>
        <v>24</v>
      </c>
      <c r="R957" s="53" t="str">
        <f t="shared" si="72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73">
        <f t="shared" si="69"/>
        <v>49</v>
      </c>
      <c r="Z957" s="18">
        <v>46156</v>
      </c>
      <c r="AA957" s="15"/>
      <c r="AB957" s="15"/>
      <c r="AF957" t="str">
        <f t="shared" si="70"/>
        <v>Closed in May</v>
      </c>
    </row>
    <row r="958" spans="1:32" hidden="1">
      <c r="A958" s="6">
        <v>46107</v>
      </c>
      <c r="B958" s="3">
        <v>2026</v>
      </c>
      <c r="C958" s="3" t="s">
        <v>114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71"/>
        <v>24</v>
      </c>
      <c r="R958" s="53" t="str">
        <f t="shared" si="72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73">
        <f t="shared" si="69"/>
        <v>49</v>
      </c>
      <c r="Z958" s="18">
        <v>46156</v>
      </c>
      <c r="AA958" s="15"/>
      <c r="AB958" s="15"/>
      <c r="AF958" t="str">
        <f t="shared" si="70"/>
        <v>Closed in May</v>
      </c>
    </row>
    <row r="959" spans="1:32" hidden="1">
      <c r="A959" s="6">
        <v>46107</v>
      </c>
      <c r="B959" s="3">
        <v>2026</v>
      </c>
      <c r="C959" s="3" t="s">
        <v>114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71"/>
        <v>24</v>
      </c>
      <c r="R959" s="53" t="str">
        <f t="shared" si="72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73">
        <f t="shared" si="69"/>
        <v>49</v>
      </c>
      <c r="Z959" s="18">
        <v>46156</v>
      </c>
      <c r="AA959" s="15"/>
      <c r="AB959" s="15"/>
      <c r="AF959" t="str">
        <f t="shared" si="70"/>
        <v>Closed in May</v>
      </c>
    </row>
    <row r="960" spans="1:32" hidden="1">
      <c r="A960" s="6">
        <v>46107</v>
      </c>
      <c r="B960" s="3">
        <v>2026</v>
      </c>
      <c r="C960" s="3" t="s">
        <v>114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71"/>
        <v>24</v>
      </c>
      <c r="R960" s="53" t="str">
        <f t="shared" si="72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73">
        <f t="shared" si="69"/>
        <v>49</v>
      </c>
      <c r="Z960" s="18">
        <v>46156</v>
      </c>
      <c r="AA960" s="15"/>
      <c r="AB960" s="15"/>
      <c r="AF960" t="str">
        <f t="shared" si="70"/>
        <v>Closed in May</v>
      </c>
    </row>
    <row r="961" spans="1:32" hidden="1">
      <c r="A961" s="6">
        <v>46107</v>
      </c>
      <c r="B961" s="3">
        <v>2026</v>
      </c>
      <c r="C961" s="3" t="s">
        <v>114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71"/>
        <v>24</v>
      </c>
      <c r="R961" s="53" t="str">
        <f t="shared" si="72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73">
        <f t="shared" si="69"/>
        <v>49</v>
      </c>
      <c r="Z961" s="18">
        <v>46156</v>
      </c>
      <c r="AA961" s="15"/>
      <c r="AB961" s="15"/>
      <c r="AF961" t="str">
        <f t="shared" si="70"/>
        <v>Closed in May</v>
      </c>
    </row>
    <row r="962" spans="1:32" hidden="1">
      <c r="A962" s="6">
        <v>46107</v>
      </c>
      <c r="B962" s="3">
        <v>2026</v>
      </c>
      <c r="C962" s="3" t="s">
        <v>114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71"/>
        <v>24</v>
      </c>
      <c r="R962" s="53" t="str">
        <f t="shared" si="72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73">
        <f t="shared" ref="Y962:Y1025" si="73">IF(X962="","",X962-A962)</f>
        <v>49</v>
      </c>
      <c r="Z962" s="18">
        <v>46156</v>
      </c>
      <c r="AA962" s="15"/>
      <c r="AB962" s="15"/>
      <c r="AF962" t="str">
        <f t="shared" ref="AF962:AF1025" si="74">IF(AND($F962="Closed",$X962&gt;=DATE(2026,5,1),$X962&lt;=DATE(2026,5,31)),"Closed in May","Other")</f>
        <v>Closed in May</v>
      </c>
    </row>
    <row r="963" spans="1:32" hidden="1">
      <c r="A963" s="6">
        <v>46107</v>
      </c>
      <c r="B963" s="3">
        <v>2026</v>
      </c>
      <c r="C963" s="3" t="s">
        <v>114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71"/>
        <v>24</v>
      </c>
      <c r="R963" s="53" t="str">
        <f t="shared" si="72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73">
        <f t="shared" si="73"/>
        <v>49</v>
      </c>
      <c r="Z963" s="18">
        <v>46156</v>
      </c>
      <c r="AA963" s="15"/>
      <c r="AB963" s="15"/>
      <c r="AF963" t="str">
        <f t="shared" si="74"/>
        <v>Closed in May</v>
      </c>
    </row>
    <row r="964" spans="1:32" hidden="1">
      <c r="A964" s="6">
        <v>46107</v>
      </c>
      <c r="B964" s="3">
        <v>2026</v>
      </c>
      <c r="C964" s="3" t="s">
        <v>114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71"/>
        <v>24</v>
      </c>
      <c r="R964" s="53" t="str">
        <f t="shared" si="72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73">
        <f t="shared" si="73"/>
        <v>49</v>
      </c>
      <c r="Z964" s="18">
        <v>46156</v>
      </c>
      <c r="AA964" s="15"/>
      <c r="AB964" s="15"/>
      <c r="AF964" t="str">
        <f t="shared" si="74"/>
        <v>Closed in May</v>
      </c>
    </row>
    <row r="965" spans="1:32" hidden="1">
      <c r="A965" s="6">
        <v>46107</v>
      </c>
      <c r="B965" s="3">
        <v>2026</v>
      </c>
      <c r="C965" s="3" t="s">
        <v>114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71"/>
        <v>24</v>
      </c>
      <c r="R965" s="53" t="str">
        <f t="shared" si="72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73">
        <f t="shared" si="73"/>
        <v>49</v>
      </c>
      <c r="Z965" s="18">
        <v>46156</v>
      </c>
      <c r="AA965" s="15"/>
      <c r="AB965" s="15"/>
      <c r="AF965" t="str">
        <f t="shared" si="74"/>
        <v>Closed in May</v>
      </c>
    </row>
    <row r="966" spans="1:32" hidden="1">
      <c r="A966" s="6">
        <v>46107</v>
      </c>
      <c r="B966" s="3">
        <v>2026</v>
      </c>
      <c r="C966" s="3" t="s">
        <v>114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71"/>
        <v>24</v>
      </c>
      <c r="R966" s="53" t="str">
        <f t="shared" si="72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73">
        <f t="shared" si="73"/>
        <v>49</v>
      </c>
      <c r="Z966" s="18">
        <v>46156</v>
      </c>
      <c r="AA966" s="15"/>
      <c r="AB966" s="15"/>
      <c r="AF966" t="str">
        <f t="shared" si="74"/>
        <v>Closed in May</v>
      </c>
    </row>
    <row r="967" spans="1:32" hidden="1">
      <c r="A967" s="6">
        <v>46107</v>
      </c>
      <c r="B967" s="3">
        <v>2026</v>
      </c>
      <c r="C967" s="3" t="s">
        <v>114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71"/>
        <v>24</v>
      </c>
      <c r="R967" s="53" t="str">
        <f t="shared" si="72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73">
        <f t="shared" si="73"/>
        <v>49</v>
      </c>
      <c r="Z967" s="18">
        <v>46156</v>
      </c>
      <c r="AA967" s="15"/>
      <c r="AB967" s="15"/>
      <c r="AF967" t="str">
        <f t="shared" si="74"/>
        <v>Closed in May</v>
      </c>
    </row>
    <row r="968" spans="1:32" hidden="1">
      <c r="A968" s="6">
        <v>46107</v>
      </c>
      <c r="B968" s="3">
        <v>2026</v>
      </c>
      <c r="C968" s="3" t="s">
        <v>114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71"/>
        <v>24</v>
      </c>
      <c r="R968" s="53" t="str">
        <f t="shared" si="72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73">
        <f t="shared" si="73"/>
        <v>49</v>
      </c>
      <c r="Z968" s="18">
        <v>46156</v>
      </c>
      <c r="AA968" s="15"/>
      <c r="AB968" s="15"/>
      <c r="AF968" t="str">
        <f t="shared" si="74"/>
        <v>Closed in May</v>
      </c>
    </row>
    <row r="969" spans="1:32" hidden="1">
      <c r="A969" s="6">
        <v>46107</v>
      </c>
      <c r="B969" s="3">
        <v>2026</v>
      </c>
      <c r="C969" s="3" t="s">
        <v>114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71"/>
        <v>24</v>
      </c>
      <c r="R969" s="53" t="str">
        <f t="shared" si="72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73">
        <f t="shared" si="73"/>
        <v>49</v>
      </c>
      <c r="Z969" s="18">
        <v>46156</v>
      </c>
      <c r="AA969" s="15"/>
      <c r="AB969" s="15"/>
      <c r="AF969" t="str">
        <f t="shared" si="74"/>
        <v>Closed in May</v>
      </c>
    </row>
    <row r="970" spans="1:32" hidden="1">
      <c r="A970" s="6">
        <v>46107</v>
      </c>
      <c r="B970" s="3">
        <v>2026</v>
      </c>
      <c r="C970" s="3" t="s">
        <v>114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71"/>
        <v>24</v>
      </c>
      <c r="R970" s="53" t="str">
        <f t="shared" si="72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73">
        <f t="shared" si="73"/>
        <v>49</v>
      </c>
      <c r="Z970" s="18">
        <v>46156</v>
      </c>
      <c r="AA970" s="15"/>
      <c r="AB970" s="15"/>
      <c r="AF970" t="str">
        <f t="shared" si="74"/>
        <v>Closed in May</v>
      </c>
    </row>
    <row r="971" spans="1:32" hidden="1">
      <c r="A971" s="6">
        <v>46107</v>
      </c>
      <c r="B971" s="3">
        <v>2026</v>
      </c>
      <c r="C971" s="3" t="s">
        <v>114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71"/>
        <v>24</v>
      </c>
      <c r="R971" s="53" t="str">
        <f t="shared" si="72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73">
        <f t="shared" si="73"/>
        <v>49</v>
      </c>
      <c r="Z971" s="18">
        <v>46156</v>
      </c>
      <c r="AA971" s="15"/>
      <c r="AB971" s="15"/>
      <c r="AF971" t="str">
        <f t="shared" si="74"/>
        <v>Closed in May</v>
      </c>
    </row>
    <row r="972" spans="1:32" hidden="1">
      <c r="A972" s="6">
        <v>46107</v>
      </c>
      <c r="B972" s="3">
        <v>2026</v>
      </c>
      <c r="C972" s="3" t="s">
        <v>114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71"/>
        <v>24</v>
      </c>
      <c r="R972" s="53" t="str">
        <f t="shared" si="72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73">
        <f t="shared" si="73"/>
        <v>49</v>
      </c>
      <c r="Z972" s="18">
        <v>46156</v>
      </c>
      <c r="AA972" s="15"/>
      <c r="AB972" s="15"/>
      <c r="AF972" t="str">
        <f t="shared" si="74"/>
        <v>Closed in May</v>
      </c>
    </row>
    <row r="973" spans="1:32" hidden="1">
      <c r="A973" s="6">
        <v>46107</v>
      </c>
      <c r="B973" s="3">
        <v>2026</v>
      </c>
      <c r="C973" s="3" t="s">
        <v>114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71"/>
        <v>24</v>
      </c>
      <c r="R973" s="53" t="str">
        <f t="shared" si="72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73">
        <f t="shared" si="73"/>
        <v>49</v>
      </c>
      <c r="Z973" s="18">
        <v>46156</v>
      </c>
      <c r="AA973" s="15"/>
      <c r="AB973" s="15"/>
      <c r="AF973" t="str">
        <f t="shared" si="74"/>
        <v>Closed in May</v>
      </c>
    </row>
    <row r="974" spans="1:32" hidden="1">
      <c r="A974" s="6">
        <v>46107</v>
      </c>
      <c r="B974" s="3">
        <v>2026</v>
      </c>
      <c r="C974" s="3" t="s">
        <v>114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71"/>
        <v>24</v>
      </c>
      <c r="R974" s="53" t="str">
        <f t="shared" si="72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73">
        <f t="shared" si="73"/>
        <v>49</v>
      </c>
      <c r="Z974" s="18">
        <v>46156</v>
      </c>
      <c r="AA974" s="15"/>
      <c r="AB974" s="15"/>
      <c r="AF974" t="str">
        <f t="shared" si="74"/>
        <v>Closed in May</v>
      </c>
    </row>
    <row r="975" spans="1:32" hidden="1">
      <c r="A975" s="6">
        <v>46107</v>
      </c>
      <c r="B975" s="3">
        <v>2026</v>
      </c>
      <c r="C975" s="3" t="s">
        <v>114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71"/>
        <v>24</v>
      </c>
      <c r="R975" s="53" t="str">
        <f t="shared" si="72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73">
        <f t="shared" si="73"/>
        <v>49</v>
      </c>
      <c r="Z975" s="18">
        <v>46156</v>
      </c>
      <c r="AA975" s="15"/>
      <c r="AB975" s="15"/>
      <c r="AF975" t="str">
        <f t="shared" si="74"/>
        <v>Closed in May</v>
      </c>
    </row>
    <row r="976" spans="1:32" hidden="1">
      <c r="A976" s="6">
        <v>46107</v>
      </c>
      <c r="B976" s="3">
        <v>2026</v>
      </c>
      <c r="C976" s="3" t="s">
        <v>114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71"/>
        <v>24</v>
      </c>
      <c r="R976" s="53" t="str">
        <f t="shared" si="72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73">
        <f t="shared" si="73"/>
        <v>49</v>
      </c>
      <c r="Z976" s="18">
        <v>46156</v>
      </c>
      <c r="AA976" s="15"/>
      <c r="AB976" s="15"/>
      <c r="AF976" t="str">
        <f t="shared" si="74"/>
        <v>Closed in May</v>
      </c>
    </row>
    <row r="977" spans="1:32" hidden="1">
      <c r="A977" s="6">
        <v>46107</v>
      </c>
      <c r="B977" s="3">
        <v>2026</v>
      </c>
      <c r="C977" s="3" t="s">
        <v>114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71"/>
        <v>24</v>
      </c>
      <c r="R977" s="53" t="str">
        <f t="shared" si="72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73">
        <f t="shared" si="73"/>
        <v>49</v>
      </c>
      <c r="Z977" s="18">
        <v>46156</v>
      </c>
      <c r="AA977" s="15"/>
      <c r="AB977" s="15"/>
      <c r="AF977" t="str">
        <f t="shared" si="74"/>
        <v>Closed in May</v>
      </c>
    </row>
    <row r="978" spans="1:32" hidden="1">
      <c r="A978" s="6">
        <v>46107</v>
      </c>
      <c r="B978" s="3">
        <v>2026</v>
      </c>
      <c r="C978" s="3" t="s">
        <v>114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71"/>
        <v>24</v>
      </c>
      <c r="R978" s="53" t="str">
        <f t="shared" si="72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73">
        <f t="shared" si="73"/>
        <v>49</v>
      </c>
      <c r="Z978" s="18">
        <v>46156</v>
      </c>
      <c r="AA978" s="15"/>
      <c r="AB978" s="15"/>
      <c r="AF978" t="str">
        <f t="shared" si="74"/>
        <v>Closed in May</v>
      </c>
    </row>
    <row r="979" spans="1:32" hidden="1">
      <c r="A979" s="6">
        <v>46107</v>
      </c>
      <c r="B979" s="3">
        <v>2026</v>
      </c>
      <c r="C979" s="3" t="s">
        <v>114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71"/>
        <v>24</v>
      </c>
      <c r="R979" s="53" t="str">
        <f t="shared" si="72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73">
        <f t="shared" si="73"/>
        <v>49</v>
      </c>
      <c r="Z979" s="18">
        <v>46156</v>
      </c>
      <c r="AA979" s="15"/>
      <c r="AB979" s="15"/>
      <c r="AF979" t="str">
        <f t="shared" si="74"/>
        <v>Closed in May</v>
      </c>
    </row>
    <row r="980" spans="1:32" hidden="1">
      <c r="A980" s="6">
        <v>46107</v>
      </c>
      <c r="B980" s="3">
        <v>2026</v>
      </c>
      <c r="C980" s="3" t="s">
        <v>114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71"/>
        <v>24</v>
      </c>
      <c r="R980" s="53" t="str">
        <f t="shared" si="72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73">
        <f t="shared" si="73"/>
        <v>49</v>
      </c>
      <c r="Z980" s="18">
        <v>46156</v>
      </c>
      <c r="AA980" s="15"/>
      <c r="AB980" s="15"/>
      <c r="AF980" t="str">
        <f t="shared" si="74"/>
        <v>Closed in May</v>
      </c>
    </row>
    <row r="981" spans="1:32" hidden="1">
      <c r="A981" s="6">
        <v>46107</v>
      </c>
      <c r="B981" s="3">
        <v>2026</v>
      </c>
      <c r="C981" s="3" t="s">
        <v>114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71"/>
        <v>24</v>
      </c>
      <c r="R981" s="53" t="str">
        <f t="shared" si="72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73">
        <f t="shared" si="73"/>
        <v>49</v>
      </c>
      <c r="Z981" s="18">
        <v>46156</v>
      </c>
      <c r="AA981" s="15"/>
      <c r="AB981" s="15"/>
      <c r="AF981" t="str">
        <f t="shared" si="74"/>
        <v>Closed in May</v>
      </c>
    </row>
    <row r="982" spans="1:32" hidden="1">
      <c r="A982" s="6">
        <v>46107</v>
      </c>
      <c r="B982" s="3">
        <v>2026</v>
      </c>
      <c r="C982" s="3" t="s">
        <v>114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71"/>
        <v>24</v>
      </c>
      <c r="R982" s="53" t="str">
        <f t="shared" si="72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73">
        <f t="shared" si="73"/>
        <v>49</v>
      </c>
      <c r="Z982" s="18">
        <v>46156</v>
      </c>
      <c r="AA982" s="15"/>
      <c r="AB982" s="15"/>
      <c r="AF982" t="str">
        <f t="shared" si="74"/>
        <v>Closed in May</v>
      </c>
    </row>
    <row r="983" spans="1:32" hidden="1">
      <c r="A983" s="6">
        <v>46107</v>
      </c>
      <c r="B983" s="3">
        <v>2026</v>
      </c>
      <c r="C983" s="3" t="s">
        <v>114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71"/>
        <v>24</v>
      </c>
      <c r="R983" s="53" t="str">
        <f t="shared" si="72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73">
        <f t="shared" si="73"/>
        <v>49</v>
      </c>
      <c r="Z983" s="18">
        <v>46156</v>
      </c>
      <c r="AA983" s="15"/>
      <c r="AB983" s="15"/>
      <c r="AF983" t="str">
        <f t="shared" si="74"/>
        <v>Closed in May</v>
      </c>
    </row>
    <row r="984" spans="1:32" hidden="1">
      <c r="A984" s="6">
        <v>46107</v>
      </c>
      <c r="B984" s="3">
        <v>2026</v>
      </c>
      <c r="C984" s="3" t="s">
        <v>114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71"/>
        <v>24</v>
      </c>
      <c r="R984" s="53" t="str">
        <f t="shared" si="72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73">
        <f t="shared" si="73"/>
        <v>49</v>
      </c>
      <c r="Z984" s="18">
        <v>46156</v>
      </c>
      <c r="AA984" s="15"/>
      <c r="AB984" s="15"/>
      <c r="AF984" t="str">
        <f t="shared" si="74"/>
        <v>Closed in May</v>
      </c>
    </row>
    <row r="985" spans="1:32" hidden="1">
      <c r="A985" s="6">
        <v>46107</v>
      </c>
      <c r="B985" s="3">
        <v>2026</v>
      </c>
      <c r="C985" s="3" t="s">
        <v>114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71"/>
        <v>24</v>
      </c>
      <c r="R985" s="53" t="str">
        <f t="shared" si="72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73">
        <f t="shared" si="73"/>
        <v>49</v>
      </c>
      <c r="Z985" s="18">
        <v>46156</v>
      </c>
      <c r="AA985" s="15"/>
      <c r="AB985" s="15"/>
      <c r="AF985" t="str">
        <f t="shared" si="74"/>
        <v>Closed in May</v>
      </c>
    </row>
    <row r="986" spans="1:32" hidden="1">
      <c r="A986" s="6">
        <v>46107</v>
      </c>
      <c r="B986" s="3">
        <v>2026</v>
      </c>
      <c r="C986" s="3" t="s">
        <v>114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71"/>
        <v>24</v>
      </c>
      <c r="R986" s="53" t="str">
        <f t="shared" si="72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73">
        <f t="shared" si="73"/>
        <v>49</v>
      </c>
      <c r="Z986" s="18">
        <v>46156</v>
      </c>
      <c r="AA986" s="15"/>
      <c r="AB986" s="15"/>
      <c r="AF986" t="str">
        <f t="shared" si="74"/>
        <v>Closed in May</v>
      </c>
    </row>
    <row r="987" spans="1:32" hidden="1">
      <c r="A987" s="6">
        <v>46107</v>
      </c>
      <c r="B987" s="3">
        <v>2026</v>
      </c>
      <c r="C987" s="3" t="s">
        <v>114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71"/>
        <v>24</v>
      </c>
      <c r="R987" s="53" t="str">
        <f t="shared" si="72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73">
        <f t="shared" si="73"/>
        <v>49</v>
      </c>
      <c r="Z987" s="18">
        <v>46156</v>
      </c>
      <c r="AA987" s="15"/>
      <c r="AB987" s="15"/>
      <c r="AF987" t="str">
        <f t="shared" si="74"/>
        <v>Closed in May</v>
      </c>
    </row>
    <row r="988" spans="1:32" hidden="1">
      <c r="A988" s="6">
        <v>46107</v>
      </c>
      <c r="B988" s="3">
        <v>2026</v>
      </c>
      <c r="C988" s="3" t="s">
        <v>114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71"/>
        <v>24</v>
      </c>
      <c r="R988" s="53" t="str">
        <f t="shared" si="72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73">
        <f t="shared" si="73"/>
        <v>49</v>
      </c>
      <c r="Z988" s="18">
        <v>46156</v>
      </c>
      <c r="AA988" s="15"/>
      <c r="AB988" s="15"/>
      <c r="AF988" t="str">
        <f t="shared" si="74"/>
        <v>Closed in May</v>
      </c>
    </row>
    <row r="989" spans="1:32" hidden="1">
      <c r="A989" s="6">
        <v>46107</v>
      </c>
      <c r="B989" s="3">
        <v>2026</v>
      </c>
      <c r="C989" s="3" t="s">
        <v>114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71"/>
        <v>24</v>
      </c>
      <c r="R989" s="53" t="str">
        <f t="shared" si="72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73">
        <f t="shared" si="73"/>
        <v>49</v>
      </c>
      <c r="Z989" s="18">
        <v>46156</v>
      </c>
      <c r="AA989" s="15"/>
      <c r="AB989" s="15"/>
      <c r="AF989" t="str">
        <f t="shared" si="74"/>
        <v>Closed in May</v>
      </c>
    </row>
    <row r="990" spans="1:32" hidden="1">
      <c r="A990" s="6">
        <v>46107</v>
      </c>
      <c r="B990" s="3">
        <v>2026</v>
      </c>
      <c r="C990" s="3" t="s">
        <v>114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71"/>
        <v>24</v>
      </c>
      <c r="R990" s="53" t="str">
        <f t="shared" si="72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73">
        <f t="shared" si="73"/>
        <v>49</v>
      </c>
      <c r="Z990" s="18">
        <v>46156</v>
      </c>
      <c r="AA990" s="15"/>
      <c r="AB990" s="15"/>
      <c r="AF990" t="str">
        <f t="shared" si="74"/>
        <v>Closed in May</v>
      </c>
    </row>
    <row r="991" spans="1:32" hidden="1">
      <c r="A991" s="6">
        <v>46107</v>
      </c>
      <c r="B991" s="3">
        <v>2026</v>
      </c>
      <c r="C991" s="3" t="s">
        <v>114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71"/>
        <v>24</v>
      </c>
      <c r="R991" s="53" t="str">
        <f t="shared" si="72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73">
        <f t="shared" si="73"/>
        <v>49</v>
      </c>
      <c r="Z991" s="18">
        <v>46156</v>
      </c>
      <c r="AA991" s="15"/>
      <c r="AB991" s="15"/>
      <c r="AF991" t="str">
        <f t="shared" si="74"/>
        <v>Closed in May</v>
      </c>
    </row>
    <row r="992" spans="1:32" hidden="1">
      <c r="A992" s="6">
        <v>46107</v>
      </c>
      <c r="B992" s="3">
        <v>2026</v>
      </c>
      <c r="C992" s="3" t="s">
        <v>114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71"/>
        <v>24</v>
      </c>
      <c r="R992" s="53" t="str">
        <f t="shared" si="72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73">
        <f t="shared" si="73"/>
        <v>49</v>
      </c>
      <c r="Z992" s="18">
        <v>46156</v>
      </c>
      <c r="AA992" s="15"/>
      <c r="AB992" s="15"/>
      <c r="AF992" t="str">
        <f t="shared" si="74"/>
        <v>Closed in May</v>
      </c>
    </row>
    <row r="993" spans="1:32" hidden="1">
      <c r="A993" s="6">
        <v>46107</v>
      </c>
      <c r="B993" s="3">
        <v>2026</v>
      </c>
      <c r="C993" s="3" t="s">
        <v>114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71"/>
        <v>24</v>
      </c>
      <c r="R993" s="53" t="str">
        <f t="shared" si="72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73">
        <f t="shared" si="73"/>
        <v>49</v>
      </c>
      <c r="Z993" s="18">
        <v>46156</v>
      </c>
      <c r="AA993" s="15"/>
      <c r="AB993" s="15"/>
      <c r="AF993" t="str">
        <f t="shared" si="74"/>
        <v>Closed in May</v>
      </c>
    </row>
    <row r="994" spans="1:32" hidden="1">
      <c r="A994" s="6">
        <v>46107</v>
      </c>
      <c r="B994" s="3">
        <v>2026</v>
      </c>
      <c r="C994" s="3" t="s">
        <v>114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71"/>
        <v>24</v>
      </c>
      <c r="R994" s="53" t="str">
        <f t="shared" si="72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73">
        <f t="shared" si="73"/>
        <v>49</v>
      </c>
      <c r="Z994" s="18">
        <v>46156</v>
      </c>
      <c r="AA994" s="15"/>
      <c r="AB994" s="15"/>
      <c r="AF994" t="str">
        <f t="shared" si="74"/>
        <v>Closed in May</v>
      </c>
    </row>
    <row r="995" spans="1:32" hidden="1">
      <c r="A995" s="6">
        <v>46107</v>
      </c>
      <c r="B995" s="3">
        <v>2026</v>
      </c>
      <c r="C995" s="3" t="s">
        <v>114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71"/>
        <v>24</v>
      </c>
      <c r="R995" s="53" t="str">
        <f t="shared" si="72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73">
        <f t="shared" si="73"/>
        <v>49</v>
      </c>
      <c r="Z995" s="18">
        <v>46156</v>
      </c>
      <c r="AA995" s="15"/>
      <c r="AB995" s="15"/>
      <c r="AF995" t="str">
        <f t="shared" si="74"/>
        <v>Closed in May</v>
      </c>
    </row>
    <row r="996" spans="1:32" hidden="1">
      <c r="A996" s="6">
        <v>46107</v>
      </c>
      <c r="B996" s="3">
        <v>2026</v>
      </c>
      <c r="C996" s="3" t="s">
        <v>114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71"/>
        <v>24</v>
      </c>
      <c r="R996" s="53" t="str">
        <f t="shared" si="72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73">
        <f t="shared" si="73"/>
        <v>49</v>
      </c>
      <c r="Z996" s="18">
        <v>46156</v>
      </c>
      <c r="AA996" s="15"/>
      <c r="AB996" s="15"/>
      <c r="AF996" t="str">
        <f t="shared" si="74"/>
        <v>Closed in May</v>
      </c>
    </row>
    <row r="997" spans="1:32" hidden="1">
      <c r="A997" s="6">
        <v>46107</v>
      </c>
      <c r="B997" s="3">
        <v>2026</v>
      </c>
      <c r="C997" s="3" t="s">
        <v>114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71"/>
        <v>24</v>
      </c>
      <c r="R997" s="53" t="str">
        <f t="shared" si="72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73">
        <f t="shared" si="73"/>
        <v>49</v>
      </c>
      <c r="Z997" s="18">
        <v>46156</v>
      </c>
      <c r="AA997" s="15"/>
      <c r="AB997" s="15"/>
      <c r="AF997" t="str">
        <f t="shared" si="74"/>
        <v>Closed in May</v>
      </c>
    </row>
    <row r="998" spans="1:32" hidden="1">
      <c r="A998" s="6">
        <v>46107</v>
      </c>
      <c r="B998" s="3">
        <v>2026</v>
      </c>
      <c r="C998" s="3" t="s">
        <v>114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71"/>
        <v>24</v>
      </c>
      <c r="R998" s="53" t="str">
        <f t="shared" si="72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73">
        <f t="shared" si="73"/>
        <v>49</v>
      </c>
      <c r="Z998" s="18">
        <v>46156</v>
      </c>
      <c r="AA998" s="15"/>
      <c r="AB998" s="15"/>
      <c r="AF998" t="str">
        <f t="shared" si="74"/>
        <v>Closed in May</v>
      </c>
    </row>
    <row r="999" spans="1:32" hidden="1">
      <c r="A999" s="6">
        <v>46107</v>
      </c>
      <c r="B999" s="3">
        <v>2026</v>
      </c>
      <c r="C999" s="3" t="s">
        <v>114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75">MID(P999,5,2)</f>
        <v>24</v>
      </c>
      <c r="R999" s="53" t="str">
        <f t="shared" ref="R999:R1062" si="76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73">
        <f t="shared" si="73"/>
        <v>49</v>
      </c>
      <c r="Z999" s="18">
        <v>46156</v>
      </c>
      <c r="AA999" s="15"/>
      <c r="AB999" s="15"/>
      <c r="AF999" t="str">
        <f t="shared" si="74"/>
        <v>Closed in May</v>
      </c>
    </row>
    <row r="1000" spans="1:32" hidden="1">
      <c r="A1000" s="6">
        <v>46107</v>
      </c>
      <c r="B1000" s="3">
        <v>2026</v>
      </c>
      <c r="C1000" s="3" t="s">
        <v>114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75"/>
        <v>24</v>
      </c>
      <c r="R1000" s="53" t="str">
        <f t="shared" si="76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73">
        <f t="shared" si="73"/>
        <v>49</v>
      </c>
      <c r="Z1000" s="18">
        <v>46156</v>
      </c>
      <c r="AA1000" s="15"/>
      <c r="AB1000" s="15"/>
      <c r="AF1000" t="str">
        <f t="shared" si="74"/>
        <v>Closed in May</v>
      </c>
    </row>
    <row r="1001" spans="1:32" hidden="1">
      <c r="A1001" s="6">
        <v>46107</v>
      </c>
      <c r="B1001" s="3">
        <v>2026</v>
      </c>
      <c r="C1001" s="3" t="s">
        <v>114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75"/>
        <v>24</v>
      </c>
      <c r="R1001" s="53" t="str">
        <f t="shared" si="76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73">
        <f t="shared" si="73"/>
        <v>49</v>
      </c>
      <c r="Z1001" s="18">
        <v>46156</v>
      </c>
      <c r="AA1001" s="15"/>
      <c r="AB1001" s="15"/>
      <c r="AF1001" t="str">
        <f t="shared" si="74"/>
        <v>Closed in May</v>
      </c>
    </row>
    <row r="1002" spans="1:32" hidden="1">
      <c r="A1002" s="6">
        <v>46107</v>
      </c>
      <c r="B1002" s="3">
        <v>2026</v>
      </c>
      <c r="C1002" s="3" t="s">
        <v>114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75"/>
        <v>24</v>
      </c>
      <c r="R1002" s="53" t="str">
        <f t="shared" si="76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73">
        <f t="shared" si="73"/>
        <v>49</v>
      </c>
      <c r="Z1002" s="18">
        <v>46156</v>
      </c>
      <c r="AA1002" s="15"/>
      <c r="AB1002" s="15"/>
      <c r="AF1002" t="str">
        <f t="shared" si="74"/>
        <v>Closed in May</v>
      </c>
    </row>
    <row r="1003" spans="1:32" hidden="1">
      <c r="A1003" s="6">
        <v>46107</v>
      </c>
      <c r="B1003" s="3">
        <v>2026</v>
      </c>
      <c r="C1003" s="3" t="s">
        <v>114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75"/>
        <v>24</v>
      </c>
      <c r="R1003" s="53" t="str">
        <f t="shared" si="76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73">
        <f t="shared" si="73"/>
        <v>49</v>
      </c>
      <c r="Z1003" s="18">
        <v>46156</v>
      </c>
      <c r="AA1003" s="15"/>
      <c r="AB1003" s="15"/>
      <c r="AF1003" t="str">
        <f t="shared" si="74"/>
        <v>Closed in May</v>
      </c>
    </row>
    <row r="1004" spans="1:32" hidden="1">
      <c r="A1004" s="6">
        <v>46107</v>
      </c>
      <c r="B1004" s="3">
        <v>2026</v>
      </c>
      <c r="C1004" s="3" t="s">
        <v>114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75"/>
        <v>24</v>
      </c>
      <c r="R1004" s="53" t="str">
        <f t="shared" si="76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73">
        <f t="shared" si="73"/>
        <v>49</v>
      </c>
      <c r="Z1004" s="18">
        <v>46156</v>
      </c>
      <c r="AA1004" s="15"/>
      <c r="AB1004" s="15"/>
      <c r="AF1004" t="str">
        <f t="shared" si="74"/>
        <v>Closed in May</v>
      </c>
    </row>
    <row r="1005" spans="1:32" hidden="1">
      <c r="A1005" s="6">
        <v>46107</v>
      </c>
      <c r="B1005" s="3">
        <v>2026</v>
      </c>
      <c r="C1005" s="3" t="s">
        <v>114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75"/>
        <v>24</v>
      </c>
      <c r="R1005" s="53" t="str">
        <f t="shared" si="76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73">
        <f t="shared" si="73"/>
        <v>49</v>
      </c>
      <c r="Z1005" s="18">
        <v>46156</v>
      </c>
      <c r="AA1005" s="15"/>
      <c r="AB1005" s="15"/>
      <c r="AF1005" t="str">
        <f t="shared" si="74"/>
        <v>Closed in May</v>
      </c>
    </row>
    <row r="1006" spans="1:32" hidden="1">
      <c r="A1006" s="6">
        <v>46107</v>
      </c>
      <c r="B1006" s="3">
        <v>2026</v>
      </c>
      <c r="C1006" s="3" t="s">
        <v>114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75"/>
        <v>24</v>
      </c>
      <c r="R1006" s="53" t="str">
        <f t="shared" si="76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73">
        <f t="shared" si="73"/>
        <v>49</v>
      </c>
      <c r="Z1006" s="18">
        <v>46156</v>
      </c>
      <c r="AA1006" s="15"/>
      <c r="AB1006" s="15"/>
      <c r="AF1006" t="str">
        <f t="shared" si="74"/>
        <v>Closed in May</v>
      </c>
    </row>
    <row r="1007" spans="1:32" hidden="1">
      <c r="A1007" s="6">
        <v>46107</v>
      </c>
      <c r="B1007" s="3">
        <v>2026</v>
      </c>
      <c r="C1007" s="3" t="s">
        <v>114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75"/>
        <v>24</v>
      </c>
      <c r="R1007" s="53" t="str">
        <f t="shared" si="76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73">
        <f t="shared" si="73"/>
        <v>49</v>
      </c>
      <c r="Z1007" s="18">
        <v>46156</v>
      </c>
      <c r="AA1007" s="15"/>
      <c r="AB1007" s="15"/>
      <c r="AF1007" t="str">
        <f t="shared" si="74"/>
        <v>Closed in May</v>
      </c>
    </row>
    <row r="1008" spans="1:32" hidden="1">
      <c r="A1008" s="6">
        <v>46107</v>
      </c>
      <c r="B1008" s="3">
        <v>2026</v>
      </c>
      <c r="C1008" s="3" t="s">
        <v>114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75"/>
        <v>24</v>
      </c>
      <c r="R1008" s="53" t="str">
        <f t="shared" si="76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73">
        <f t="shared" si="73"/>
        <v>49</v>
      </c>
      <c r="Z1008" s="18">
        <v>46156</v>
      </c>
      <c r="AA1008" s="15"/>
      <c r="AB1008" s="15"/>
      <c r="AF1008" t="str">
        <f t="shared" si="74"/>
        <v>Closed in May</v>
      </c>
    </row>
    <row r="1009" spans="1:32" hidden="1">
      <c r="A1009" s="6">
        <v>46107</v>
      </c>
      <c r="B1009" s="3">
        <v>2026</v>
      </c>
      <c r="C1009" s="3" t="s">
        <v>114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75"/>
        <v>24</v>
      </c>
      <c r="R1009" s="53" t="str">
        <f t="shared" si="76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73">
        <f t="shared" si="73"/>
        <v>49</v>
      </c>
      <c r="Z1009" s="18">
        <v>46156</v>
      </c>
      <c r="AA1009" s="15"/>
      <c r="AB1009" s="15"/>
      <c r="AF1009" t="str">
        <f t="shared" si="74"/>
        <v>Closed in May</v>
      </c>
    </row>
    <row r="1010" spans="1:32" hidden="1">
      <c r="A1010" s="6">
        <v>46107</v>
      </c>
      <c r="B1010" s="3">
        <v>2026</v>
      </c>
      <c r="C1010" s="3" t="s">
        <v>114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75"/>
        <v>24</v>
      </c>
      <c r="R1010" s="53" t="str">
        <f t="shared" si="76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73">
        <f t="shared" si="73"/>
        <v>49</v>
      </c>
      <c r="Z1010" s="18">
        <v>46156</v>
      </c>
      <c r="AA1010" s="15"/>
      <c r="AB1010" s="15"/>
      <c r="AF1010" t="str">
        <f t="shared" si="74"/>
        <v>Closed in May</v>
      </c>
    </row>
    <row r="1011" spans="1:32" hidden="1">
      <c r="A1011" s="6">
        <v>46107</v>
      </c>
      <c r="B1011" s="3">
        <v>2026</v>
      </c>
      <c r="C1011" s="3" t="s">
        <v>114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75"/>
        <v>24</v>
      </c>
      <c r="R1011" s="53" t="str">
        <f t="shared" si="76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73">
        <f t="shared" si="73"/>
        <v>49</v>
      </c>
      <c r="Z1011" s="18">
        <v>46156</v>
      </c>
      <c r="AA1011" s="15"/>
      <c r="AB1011" s="15"/>
      <c r="AF1011" t="str">
        <f t="shared" si="74"/>
        <v>Closed in May</v>
      </c>
    </row>
    <row r="1012" spans="1:32" hidden="1">
      <c r="A1012" s="6">
        <v>46107</v>
      </c>
      <c r="B1012" s="3">
        <v>2026</v>
      </c>
      <c r="C1012" s="3" t="s">
        <v>114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75"/>
        <v>24</v>
      </c>
      <c r="R1012" s="53" t="str">
        <f t="shared" si="76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73">
        <f t="shared" si="73"/>
        <v>49</v>
      </c>
      <c r="Z1012" s="18">
        <v>46156</v>
      </c>
      <c r="AA1012" s="15"/>
      <c r="AB1012" s="15"/>
      <c r="AF1012" t="str">
        <f t="shared" si="74"/>
        <v>Closed in May</v>
      </c>
    </row>
    <row r="1013" spans="1:32" hidden="1">
      <c r="A1013" s="6">
        <v>46107</v>
      </c>
      <c r="B1013" s="3">
        <v>2026</v>
      </c>
      <c r="C1013" s="3" t="s">
        <v>114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75"/>
        <v>24</v>
      </c>
      <c r="R1013" s="53" t="str">
        <f t="shared" si="76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73">
        <f t="shared" si="73"/>
        <v>49</v>
      </c>
      <c r="Z1013" s="18">
        <v>46156</v>
      </c>
      <c r="AA1013" s="15"/>
      <c r="AB1013" s="15"/>
      <c r="AF1013" t="str">
        <f t="shared" si="74"/>
        <v>Closed in May</v>
      </c>
    </row>
    <row r="1014" spans="1:32" hidden="1">
      <c r="A1014" s="6">
        <v>46107</v>
      </c>
      <c r="B1014" s="3">
        <v>2026</v>
      </c>
      <c r="C1014" s="3" t="s">
        <v>114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75"/>
        <v>24</v>
      </c>
      <c r="R1014" s="53" t="str">
        <f t="shared" si="76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73">
        <f t="shared" si="73"/>
        <v>49</v>
      </c>
      <c r="Z1014" s="18">
        <v>46156</v>
      </c>
      <c r="AA1014" s="15"/>
      <c r="AB1014" s="15"/>
      <c r="AF1014" t="str">
        <f t="shared" si="74"/>
        <v>Closed in May</v>
      </c>
    </row>
    <row r="1015" spans="1:32" hidden="1">
      <c r="A1015" s="6">
        <v>46107</v>
      </c>
      <c r="B1015" s="3">
        <v>2026</v>
      </c>
      <c r="C1015" s="3" t="s">
        <v>114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75"/>
        <v>24</v>
      </c>
      <c r="R1015" s="53" t="str">
        <f t="shared" si="76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73">
        <f t="shared" si="73"/>
        <v>49</v>
      </c>
      <c r="Z1015" s="18">
        <v>46156</v>
      </c>
      <c r="AA1015" s="15"/>
      <c r="AB1015" s="15"/>
      <c r="AF1015" t="str">
        <f t="shared" si="74"/>
        <v>Closed in May</v>
      </c>
    </row>
    <row r="1016" spans="1:32" hidden="1">
      <c r="A1016" s="6">
        <v>46107</v>
      </c>
      <c r="B1016" s="3">
        <v>2026</v>
      </c>
      <c r="C1016" s="3" t="s">
        <v>114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75"/>
        <v>24</v>
      </c>
      <c r="R1016" s="53" t="str">
        <f t="shared" si="76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73">
        <f t="shared" si="73"/>
        <v>49</v>
      </c>
      <c r="Z1016" s="18">
        <v>46156</v>
      </c>
      <c r="AA1016" s="15"/>
      <c r="AB1016" s="15"/>
      <c r="AF1016" t="str">
        <f t="shared" si="74"/>
        <v>Closed in May</v>
      </c>
    </row>
    <row r="1017" spans="1:32" hidden="1">
      <c r="A1017" s="6">
        <v>46107</v>
      </c>
      <c r="B1017" s="3">
        <v>2026</v>
      </c>
      <c r="C1017" s="3" t="s">
        <v>114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75"/>
        <v>24</v>
      </c>
      <c r="R1017" s="53" t="str">
        <f t="shared" si="76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73">
        <f t="shared" si="73"/>
        <v>49</v>
      </c>
      <c r="Z1017" s="18">
        <v>46156</v>
      </c>
      <c r="AA1017" s="15"/>
      <c r="AB1017" s="15"/>
      <c r="AF1017" t="str">
        <f t="shared" si="74"/>
        <v>Closed in May</v>
      </c>
    </row>
    <row r="1018" spans="1:32" hidden="1">
      <c r="A1018" s="6">
        <v>46107</v>
      </c>
      <c r="B1018" s="3">
        <v>2026</v>
      </c>
      <c r="C1018" s="3" t="s">
        <v>114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75"/>
        <v>24</v>
      </c>
      <c r="R1018" s="53" t="str">
        <f t="shared" si="76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73">
        <f t="shared" si="73"/>
        <v>49</v>
      </c>
      <c r="Z1018" s="18">
        <v>46156</v>
      </c>
      <c r="AA1018" s="15"/>
      <c r="AB1018" s="15"/>
      <c r="AF1018" t="str">
        <f t="shared" si="74"/>
        <v>Closed in May</v>
      </c>
    </row>
    <row r="1019" spans="1:32" hidden="1">
      <c r="A1019" s="6">
        <v>46107</v>
      </c>
      <c r="B1019" s="3">
        <v>2026</v>
      </c>
      <c r="C1019" s="3" t="s">
        <v>114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75"/>
        <v>24</v>
      </c>
      <c r="R1019" s="53" t="str">
        <f t="shared" si="76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73">
        <f t="shared" si="73"/>
        <v>49</v>
      </c>
      <c r="Z1019" s="18">
        <v>46156</v>
      </c>
      <c r="AA1019" s="15"/>
      <c r="AB1019" s="15"/>
      <c r="AF1019" t="str">
        <f t="shared" si="74"/>
        <v>Closed in May</v>
      </c>
    </row>
    <row r="1020" spans="1:32" hidden="1">
      <c r="A1020" s="6">
        <v>46107</v>
      </c>
      <c r="B1020" s="3">
        <v>2026</v>
      </c>
      <c r="C1020" s="3" t="s">
        <v>114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75"/>
        <v>24</v>
      </c>
      <c r="R1020" s="53" t="str">
        <f t="shared" si="76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73">
        <f t="shared" si="73"/>
        <v>49</v>
      </c>
      <c r="Z1020" s="18">
        <v>46156</v>
      </c>
      <c r="AA1020" s="15"/>
      <c r="AB1020" s="15"/>
      <c r="AF1020" t="str">
        <f t="shared" si="74"/>
        <v>Closed in May</v>
      </c>
    </row>
    <row r="1021" spans="1:32" hidden="1">
      <c r="A1021" s="6">
        <v>46107</v>
      </c>
      <c r="B1021" s="3">
        <v>2026</v>
      </c>
      <c r="C1021" s="3" t="s">
        <v>114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75"/>
        <v>24</v>
      </c>
      <c r="R1021" s="53" t="str">
        <f t="shared" si="76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73">
        <f t="shared" si="73"/>
        <v>49</v>
      </c>
      <c r="Z1021" s="18">
        <v>46156</v>
      </c>
      <c r="AA1021" s="15"/>
      <c r="AB1021" s="15"/>
      <c r="AF1021" t="str">
        <f t="shared" si="74"/>
        <v>Closed in May</v>
      </c>
    </row>
    <row r="1022" spans="1:32" hidden="1">
      <c r="A1022" s="6">
        <v>46107</v>
      </c>
      <c r="B1022" s="3">
        <v>2026</v>
      </c>
      <c r="C1022" s="3" t="s">
        <v>114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75"/>
        <v>24</v>
      </c>
      <c r="R1022" s="53" t="str">
        <f t="shared" si="76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73">
        <f t="shared" si="73"/>
        <v>49</v>
      </c>
      <c r="Z1022" s="18">
        <v>46156</v>
      </c>
      <c r="AA1022" s="15"/>
      <c r="AB1022" s="15"/>
      <c r="AF1022" t="str">
        <f t="shared" si="74"/>
        <v>Closed in May</v>
      </c>
    </row>
    <row r="1023" spans="1:32" hidden="1">
      <c r="A1023" s="6">
        <v>46107</v>
      </c>
      <c r="B1023" s="3">
        <v>2026</v>
      </c>
      <c r="C1023" s="3" t="s">
        <v>114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75"/>
        <v>24</v>
      </c>
      <c r="R1023" s="53" t="str">
        <f t="shared" si="76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73">
        <f t="shared" si="73"/>
        <v>49</v>
      </c>
      <c r="Z1023" s="18">
        <v>46156</v>
      </c>
      <c r="AA1023" s="15"/>
      <c r="AB1023" s="15"/>
      <c r="AF1023" t="str">
        <f t="shared" si="74"/>
        <v>Closed in May</v>
      </c>
    </row>
    <row r="1024" spans="1:32" hidden="1">
      <c r="A1024" s="6">
        <v>46107</v>
      </c>
      <c r="B1024" s="3">
        <v>2026</v>
      </c>
      <c r="C1024" s="3" t="s">
        <v>114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75"/>
        <v>24</v>
      </c>
      <c r="R1024" s="53" t="str">
        <f t="shared" si="76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73">
        <f t="shared" si="73"/>
        <v>49</v>
      </c>
      <c r="Z1024" s="18">
        <v>46156</v>
      </c>
      <c r="AA1024" s="15"/>
      <c r="AB1024" s="15"/>
      <c r="AF1024" t="str">
        <f t="shared" si="74"/>
        <v>Closed in May</v>
      </c>
    </row>
    <row r="1025" spans="1:32" hidden="1">
      <c r="A1025" s="6">
        <v>46107</v>
      </c>
      <c r="B1025" s="3">
        <v>2026</v>
      </c>
      <c r="C1025" s="3" t="s">
        <v>114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75"/>
        <v>24</v>
      </c>
      <c r="R1025" s="53" t="str">
        <f t="shared" si="76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73">
        <f t="shared" si="73"/>
        <v>49</v>
      </c>
      <c r="Z1025" s="18">
        <v>46156</v>
      </c>
      <c r="AA1025" s="15"/>
      <c r="AB1025" s="15"/>
      <c r="AF1025" t="str">
        <f t="shared" si="74"/>
        <v>Closed in May</v>
      </c>
    </row>
    <row r="1026" spans="1:32" hidden="1">
      <c r="A1026" s="6">
        <v>46107</v>
      </c>
      <c r="B1026" s="3">
        <v>2026</v>
      </c>
      <c r="C1026" s="3" t="s">
        <v>114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75"/>
        <v>24</v>
      </c>
      <c r="R1026" s="53" t="str">
        <f t="shared" si="76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73">
        <f t="shared" ref="Y1026:Y1089" si="77">IF(X1026="","",X1026-A1026)</f>
        <v>49</v>
      </c>
      <c r="Z1026" s="18">
        <v>46156</v>
      </c>
      <c r="AA1026" s="15"/>
      <c r="AB1026" s="15"/>
      <c r="AF1026" t="str">
        <f t="shared" ref="AF1026:AF1089" si="78">IF(AND($F1026="Closed",$X1026&gt;=DATE(2026,5,1),$X1026&lt;=DATE(2026,5,31)),"Closed in May","Other")</f>
        <v>Closed in May</v>
      </c>
    </row>
    <row r="1027" spans="1:32" hidden="1">
      <c r="A1027" s="6">
        <v>46107</v>
      </c>
      <c r="B1027" s="3">
        <v>2026</v>
      </c>
      <c r="C1027" s="3" t="s">
        <v>114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75"/>
        <v>24</v>
      </c>
      <c r="R1027" s="53" t="str">
        <f t="shared" si="76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73">
        <f t="shared" si="77"/>
        <v>49</v>
      </c>
      <c r="Z1027" s="18">
        <v>46156</v>
      </c>
      <c r="AA1027" s="15"/>
      <c r="AB1027" s="15"/>
      <c r="AF1027" t="str">
        <f t="shared" si="78"/>
        <v>Closed in May</v>
      </c>
    </row>
    <row r="1028" spans="1:32" hidden="1">
      <c r="A1028" s="6">
        <v>46107</v>
      </c>
      <c r="B1028" s="3">
        <v>2026</v>
      </c>
      <c r="C1028" s="3" t="s">
        <v>114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75"/>
        <v>24</v>
      </c>
      <c r="R1028" s="53" t="str">
        <f t="shared" si="76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73">
        <f t="shared" si="77"/>
        <v>49</v>
      </c>
      <c r="Z1028" s="18">
        <v>46156</v>
      </c>
      <c r="AA1028" s="15"/>
      <c r="AB1028" s="15"/>
      <c r="AF1028" t="str">
        <f t="shared" si="78"/>
        <v>Closed in May</v>
      </c>
    </row>
    <row r="1029" spans="1:32" hidden="1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75"/>
        <v>24</v>
      </c>
      <c r="R1029" s="53" t="str">
        <f t="shared" si="76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73">
        <f t="shared" si="77"/>
        <v>13</v>
      </c>
      <c r="Z1029" s="18">
        <v>46156</v>
      </c>
      <c r="AA1029" s="15"/>
      <c r="AB1029" s="15"/>
      <c r="AF1029" t="str">
        <f t="shared" si="78"/>
        <v>Closed in May</v>
      </c>
    </row>
    <row r="1030" spans="1:32" hidden="1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75"/>
        <v>24</v>
      </c>
      <c r="R1030" s="53" t="str">
        <f t="shared" si="76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73">
        <f t="shared" si="77"/>
        <v>13</v>
      </c>
      <c r="Z1030" s="18">
        <v>46156</v>
      </c>
      <c r="AA1030" s="15"/>
      <c r="AB1030" s="15"/>
      <c r="AF1030" t="str">
        <f t="shared" si="78"/>
        <v>Closed in May</v>
      </c>
    </row>
    <row r="1031" spans="1:32" hidden="1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75"/>
        <v>24</v>
      </c>
      <c r="R1031" s="53" t="str">
        <f t="shared" si="76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73">
        <f t="shared" si="77"/>
        <v>13</v>
      </c>
      <c r="Z1031" s="18">
        <v>46156</v>
      </c>
      <c r="AA1031" s="15"/>
      <c r="AB1031" s="15"/>
      <c r="AF1031" t="str">
        <f t="shared" si="78"/>
        <v>Closed in May</v>
      </c>
    </row>
    <row r="1032" spans="1:32" hidden="1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75"/>
        <v>24</v>
      </c>
      <c r="R1032" s="53" t="str">
        <f t="shared" si="76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73">
        <f t="shared" si="77"/>
        <v>13</v>
      </c>
      <c r="Z1032" s="18">
        <v>46156</v>
      </c>
      <c r="AA1032" s="15"/>
      <c r="AB1032" s="15"/>
      <c r="AF1032" t="str">
        <f t="shared" si="78"/>
        <v>Closed in May</v>
      </c>
    </row>
    <row r="1033" spans="1:32" hidden="1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75"/>
        <v>24</v>
      </c>
      <c r="R1033" s="53" t="str">
        <f t="shared" si="76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73">
        <f t="shared" si="77"/>
        <v>13</v>
      </c>
      <c r="Z1033" s="18">
        <v>46156</v>
      </c>
      <c r="AA1033" s="15"/>
      <c r="AB1033" s="15"/>
      <c r="AF1033" t="str">
        <f t="shared" si="78"/>
        <v>Closed in May</v>
      </c>
    </row>
    <row r="1034" spans="1:32" hidden="1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75"/>
        <v>24</v>
      </c>
      <c r="R1034" s="53" t="str">
        <f t="shared" si="76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73">
        <f t="shared" si="77"/>
        <v>13</v>
      </c>
      <c r="Z1034" s="18">
        <v>46156</v>
      </c>
      <c r="AA1034" s="15"/>
      <c r="AB1034" s="15"/>
      <c r="AF1034" t="str">
        <f t="shared" si="78"/>
        <v>Closed in May</v>
      </c>
    </row>
    <row r="1035" spans="1:32" hidden="1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75"/>
        <v>24</v>
      </c>
      <c r="R1035" s="53" t="str">
        <f t="shared" si="76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73">
        <f t="shared" si="77"/>
        <v>13</v>
      </c>
      <c r="Z1035" s="18">
        <v>46156</v>
      </c>
      <c r="AA1035" s="15"/>
      <c r="AB1035" s="15"/>
      <c r="AF1035" t="str">
        <f t="shared" si="78"/>
        <v>Closed in May</v>
      </c>
    </row>
    <row r="1036" spans="1:32" hidden="1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75"/>
        <v>24</v>
      </c>
      <c r="R1036" s="53" t="str">
        <f t="shared" si="76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73">
        <f t="shared" si="77"/>
        <v>13</v>
      </c>
      <c r="Z1036" s="18">
        <v>46156</v>
      </c>
      <c r="AA1036" s="15"/>
      <c r="AB1036" s="15"/>
      <c r="AF1036" t="str">
        <f t="shared" si="78"/>
        <v>Closed in May</v>
      </c>
    </row>
    <row r="1037" spans="1:32" hidden="1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75"/>
        <v>24</v>
      </c>
      <c r="R1037" s="53" t="str">
        <f t="shared" si="76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73">
        <f t="shared" si="77"/>
        <v>13</v>
      </c>
      <c r="Z1037" s="18">
        <v>46156</v>
      </c>
      <c r="AA1037" s="15"/>
      <c r="AB1037" s="15"/>
      <c r="AF1037" t="str">
        <f t="shared" si="78"/>
        <v>Closed in May</v>
      </c>
    </row>
    <row r="1038" spans="1:32" hidden="1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75"/>
        <v>24</v>
      </c>
      <c r="R1038" s="53" t="str">
        <f t="shared" si="76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73">
        <f t="shared" si="77"/>
        <v>13</v>
      </c>
      <c r="Z1038" s="18">
        <v>46156</v>
      </c>
      <c r="AA1038" s="15"/>
      <c r="AB1038" s="15"/>
      <c r="AF1038" t="str">
        <f t="shared" si="78"/>
        <v>Closed in May</v>
      </c>
    </row>
    <row r="1039" spans="1:32" hidden="1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75"/>
        <v>24</v>
      </c>
      <c r="R1039" s="53" t="str">
        <f t="shared" si="76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73">
        <f t="shared" si="77"/>
        <v>13</v>
      </c>
      <c r="Z1039" s="18">
        <v>46156</v>
      </c>
      <c r="AA1039" s="15"/>
      <c r="AB1039" s="15"/>
      <c r="AF1039" t="str">
        <f t="shared" si="78"/>
        <v>Closed in May</v>
      </c>
    </row>
    <row r="1040" spans="1:32" hidden="1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75"/>
        <v>24</v>
      </c>
      <c r="R1040" s="53" t="str">
        <f t="shared" si="76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73">
        <f t="shared" si="77"/>
        <v>13</v>
      </c>
      <c r="Z1040" s="18">
        <v>46156</v>
      </c>
      <c r="AA1040" s="15"/>
      <c r="AB1040" s="15"/>
      <c r="AF1040" t="str">
        <f t="shared" si="78"/>
        <v>Closed in May</v>
      </c>
    </row>
    <row r="1041" spans="1:32" hidden="1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75"/>
        <v>24</v>
      </c>
      <c r="R1041" s="53" t="str">
        <f t="shared" si="76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73">
        <f t="shared" si="77"/>
        <v>13</v>
      </c>
      <c r="Z1041" s="18">
        <v>46156</v>
      </c>
      <c r="AA1041" s="15"/>
      <c r="AB1041" s="15"/>
      <c r="AF1041" t="str">
        <f t="shared" si="78"/>
        <v>Closed in May</v>
      </c>
    </row>
    <row r="1042" spans="1:32" hidden="1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75"/>
        <v>24</v>
      </c>
      <c r="R1042" s="53" t="str">
        <f t="shared" si="76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73">
        <f t="shared" si="77"/>
        <v>13</v>
      </c>
      <c r="Z1042" s="18">
        <v>46156</v>
      </c>
      <c r="AA1042" s="15"/>
      <c r="AB1042" s="15"/>
      <c r="AF1042" t="str">
        <f t="shared" si="78"/>
        <v>Closed in May</v>
      </c>
    </row>
    <row r="1043" spans="1:32" hidden="1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75"/>
        <v>24</v>
      </c>
      <c r="R1043" s="53" t="str">
        <f t="shared" si="76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73">
        <f t="shared" si="77"/>
        <v>13</v>
      </c>
      <c r="Z1043" s="18">
        <v>46156</v>
      </c>
      <c r="AA1043" s="15"/>
      <c r="AB1043" s="15"/>
      <c r="AF1043" t="str">
        <f t="shared" si="78"/>
        <v>Closed in May</v>
      </c>
    </row>
    <row r="1044" spans="1:32" hidden="1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75"/>
        <v>24</v>
      </c>
      <c r="R1044" s="53" t="str">
        <f t="shared" si="76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73">
        <f t="shared" si="77"/>
        <v>13</v>
      </c>
      <c r="Z1044" s="18">
        <v>46156</v>
      </c>
      <c r="AA1044" s="15"/>
      <c r="AB1044" s="15"/>
      <c r="AF1044" t="str">
        <f t="shared" si="78"/>
        <v>Closed in May</v>
      </c>
    </row>
    <row r="1045" spans="1:32" hidden="1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75"/>
        <v>24</v>
      </c>
      <c r="R1045" s="53" t="str">
        <f t="shared" si="76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73">
        <f t="shared" si="77"/>
        <v>13</v>
      </c>
      <c r="Z1045" s="18">
        <v>46156</v>
      </c>
      <c r="AA1045" s="15"/>
      <c r="AB1045" s="15"/>
      <c r="AF1045" t="str">
        <f t="shared" si="78"/>
        <v>Closed in May</v>
      </c>
    </row>
    <row r="1046" spans="1:32" hidden="1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75"/>
        <v>24</v>
      </c>
      <c r="R1046" s="53" t="str">
        <f t="shared" si="76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73">
        <f t="shared" si="77"/>
        <v>13</v>
      </c>
      <c r="Z1046" s="18">
        <v>46156</v>
      </c>
      <c r="AA1046" s="15"/>
      <c r="AB1046" s="15"/>
      <c r="AF1046" t="str">
        <f t="shared" si="78"/>
        <v>Closed in May</v>
      </c>
    </row>
    <row r="1047" spans="1:32" hidden="1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75"/>
        <v>24</v>
      </c>
      <c r="R1047" s="53" t="str">
        <f t="shared" si="76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73">
        <f t="shared" si="77"/>
        <v>13</v>
      </c>
      <c r="Z1047" s="18">
        <v>46156</v>
      </c>
      <c r="AA1047" s="15"/>
      <c r="AB1047" s="15"/>
      <c r="AF1047" t="str">
        <f t="shared" si="78"/>
        <v>Closed in May</v>
      </c>
    </row>
    <row r="1048" spans="1:32" hidden="1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75"/>
        <v>24</v>
      </c>
      <c r="R1048" s="53" t="str">
        <f t="shared" si="76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73">
        <f t="shared" si="77"/>
        <v>13</v>
      </c>
      <c r="Z1048" s="18">
        <v>46156</v>
      </c>
      <c r="AA1048" s="15"/>
      <c r="AB1048" s="15"/>
      <c r="AF1048" t="str">
        <f t="shared" si="78"/>
        <v>Closed in May</v>
      </c>
    </row>
    <row r="1049" spans="1:32" hidden="1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75"/>
        <v>24</v>
      </c>
      <c r="R1049" s="53" t="str">
        <f t="shared" si="76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73">
        <f t="shared" si="77"/>
        <v>13</v>
      </c>
      <c r="Z1049" s="18">
        <v>46156</v>
      </c>
      <c r="AA1049" s="15"/>
      <c r="AB1049" s="15"/>
      <c r="AF1049" t="str">
        <f t="shared" si="78"/>
        <v>Closed in May</v>
      </c>
    </row>
    <row r="1050" spans="1:32" hidden="1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75"/>
        <v>24</v>
      </c>
      <c r="R1050" s="53" t="str">
        <f t="shared" si="76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73">
        <f t="shared" si="77"/>
        <v>13</v>
      </c>
      <c r="Z1050" s="18">
        <v>46156</v>
      </c>
      <c r="AA1050" s="15"/>
      <c r="AB1050" s="15"/>
      <c r="AF1050" t="str">
        <f t="shared" si="78"/>
        <v>Closed in May</v>
      </c>
    </row>
    <row r="1051" spans="1:32" hidden="1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75"/>
        <v>24</v>
      </c>
      <c r="R1051" s="53" t="str">
        <f t="shared" si="76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73">
        <f t="shared" si="77"/>
        <v>13</v>
      </c>
      <c r="Z1051" s="18">
        <v>46156</v>
      </c>
      <c r="AA1051" s="15"/>
      <c r="AB1051" s="15"/>
      <c r="AF1051" t="str">
        <f t="shared" si="78"/>
        <v>Closed in May</v>
      </c>
    </row>
    <row r="1052" spans="1:32" hidden="1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75"/>
        <v>24</v>
      </c>
      <c r="R1052" s="53" t="str">
        <f t="shared" si="76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73">
        <f t="shared" si="77"/>
        <v>13</v>
      </c>
      <c r="Z1052" s="18">
        <v>46156</v>
      </c>
      <c r="AA1052" s="15"/>
      <c r="AB1052" s="15"/>
      <c r="AF1052" t="str">
        <f t="shared" si="78"/>
        <v>Closed in May</v>
      </c>
    </row>
    <row r="1053" spans="1:32" hidden="1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75"/>
        <v>24</v>
      </c>
      <c r="R1053" s="53" t="str">
        <f t="shared" si="76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73">
        <f t="shared" si="77"/>
        <v>13</v>
      </c>
      <c r="Z1053" s="18">
        <v>46156</v>
      </c>
      <c r="AA1053" s="15"/>
      <c r="AB1053" s="15"/>
      <c r="AF1053" t="str">
        <f t="shared" si="78"/>
        <v>Closed in May</v>
      </c>
    </row>
    <row r="1054" spans="1:32" hidden="1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75"/>
        <v>24</v>
      </c>
      <c r="R1054" s="53" t="str">
        <f t="shared" si="76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73">
        <f t="shared" si="77"/>
        <v>13</v>
      </c>
      <c r="Z1054" s="18">
        <v>46156</v>
      </c>
      <c r="AA1054" s="15"/>
      <c r="AB1054" s="15"/>
      <c r="AF1054" t="str">
        <f t="shared" si="78"/>
        <v>Closed in May</v>
      </c>
    </row>
    <row r="1055" spans="1:32" hidden="1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75"/>
        <v>24</v>
      </c>
      <c r="R1055" s="53" t="str">
        <f t="shared" si="76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73">
        <f t="shared" si="77"/>
        <v>13</v>
      </c>
      <c r="Z1055" s="18">
        <v>46156</v>
      </c>
      <c r="AA1055" s="15"/>
      <c r="AB1055" s="15"/>
      <c r="AF1055" t="str">
        <f t="shared" si="78"/>
        <v>Closed in May</v>
      </c>
    </row>
    <row r="1056" spans="1:32" hidden="1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75"/>
        <v>24</v>
      </c>
      <c r="R1056" s="53" t="str">
        <f t="shared" si="76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73">
        <f t="shared" si="77"/>
        <v>13</v>
      </c>
      <c r="Z1056" s="18">
        <v>46156</v>
      </c>
      <c r="AA1056" s="15"/>
      <c r="AB1056" s="15"/>
      <c r="AF1056" t="str">
        <f t="shared" si="78"/>
        <v>Closed in May</v>
      </c>
    </row>
    <row r="1057" spans="1:32" hidden="1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75"/>
        <v>24</v>
      </c>
      <c r="R1057" s="53" t="str">
        <f t="shared" si="76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73">
        <f t="shared" si="77"/>
        <v>13</v>
      </c>
      <c r="Z1057" s="18">
        <v>46156</v>
      </c>
      <c r="AA1057" s="15"/>
      <c r="AB1057" s="15"/>
      <c r="AF1057" t="str">
        <f t="shared" si="78"/>
        <v>Closed in May</v>
      </c>
    </row>
    <row r="1058" spans="1:32" hidden="1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75"/>
        <v>24</v>
      </c>
      <c r="R1058" s="53" t="str">
        <f t="shared" si="76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73">
        <f t="shared" si="77"/>
        <v>13</v>
      </c>
      <c r="Z1058" s="18">
        <v>46156</v>
      </c>
      <c r="AA1058" s="15"/>
      <c r="AB1058" s="15"/>
      <c r="AF1058" t="str">
        <f t="shared" si="78"/>
        <v>Closed in May</v>
      </c>
    </row>
    <row r="1059" spans="1:32" hidden="1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75"/>
        <v>24</v>
      </c>
      <c r="R1059" s="53" t="str">
        <f t="shared" si="76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73">
        <f t="shared" si="77"/>
        <v>13</v>
      </c>
      <c r="Z1059" s="18">
        <v>46156</v>
      </c>
      <c r="AA1059" s="15"/>
      <c r="AB1059" s="15"/>
      <c r="AF1059" t="str">
        <f t="shared" si="78"/>
        <v>Closed in May</v>
      </c>
    </row>
    <row r="1060" spans="1:32" hidden="1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75"/>
        <v>24</v>
      </c>
      <c r="R1060" s="53" t="str">
        <f t="shared" si="76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73">
        <f t="shared" si="77"/>
        <v>13</v>
      </c>
      <c r="Z1060" s="18">
        <v>46156</v>
      </c>
      <c r="AA1060" s="15"/>
      <c r="AB1060" s="15"/>
      <c r="AF1060" t="str">
        <f t="shared" si="78"/>
        <v>Closed in May</v>
      </c>
    </row>
    <row r="1061" spans="1:32" hidden="1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75"/>
        <v>24</v>
      </c>
      <c r="R1061" s="53" t="str">
        <f t="shared" si="76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73">
        <f t="shared" si="77"/>
        <v>13</v>
      </c>
      <c r="Z1061" s="18">
        <v>46156</v>
      </c>
      <c r="AA1061" s="15"/>
      <c r="AB1061" s="15"/>
      <c r="AF1061" t="str">
        <f t="shared" si="78"/>
        <v>Closed in May</v>
      </c>
    </row>
    <row r="1062" spans="1:32" hidden="1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75"/>
        <v>24</v>
      </c>
      <c r="R1062" s="53" t="str">
        <f t="shared" si="76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73">
        <f t="shared" si="77"/>
        <v>13</v>
      </c>
      <c r="Z1062" s="18">
        <v>46156</v>
      </c>
      <c r="AA1062" s="15"/>
      <c r="AB1062" s="15"/>
      <c r="AF1062" t="str">
        <f t="shared" si="78"/>
        <v>Closed in May</v>
      </c>
    </row>
    <row r="1063" spans="1:32" hidden="1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79">MID(P1063,5,2)</f>
        <v>24</v>
      </c>
      <c r="R1063" s="53" t="str">
        <f t="shared" ref="R1063:R1126" si="80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73">
        <f t="shared" si="77"/>
        <v>13</v>
      </c>
      <c r="Z1063" s="18">
        <v>46156</v>
      </c>
      <c r="AA1063" s="15"/>
      <c r="AB1063" s="15"/>
      <c r="AF1063" t="str">
        <f t="shared" si="78"/>
        <v>Closed in May</v>
      </c>
    </row>
    <row r="1064" spans="1:32" hidden="1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79"/>
        <v>24</v>
      </c>
      <c r="R1064" s="53" t="str">
        <f t="shared" si="80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73">
        <f t="shared" si="77"/>
        <v>13</v>
      </c>
      <c r="Z1064" s="18">
        <v>46156</v>
      </c>
      <c r="AA1064" s="15"/>
      <c r="AB1064" s="15"/>
      <c r="AF1064" t="str">
        <f t="shared" si="78"/>
        <v>Closed in May</v>
      </c>
    </row>
    <row r="1065" spans="1:32" hidden="1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79"/>
        <v>24</v>
      </c>
      <c r="R1065" s="53" t="str">
        <f t="shared" si="80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73">
        <f t="shared" si="77"/>
        <v>13</v>
      </c>
      <c r="Z1065" s="18">
        <v>46156</v>
      </c>
      <c r="AA1065" s="15"/>
      <c r="AB1065" s="15"/>
      <c r="AF1065" t="str">
        <f t="shared" si="78"/>
        <v>Closed in May</v>
      </c>
    </row>
    <row r="1066" spans="1:32" hidden="1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79"/>
        <v>24</v>
      </c>
      <c r="R1066" s="53" t="str">
        <f t="shared" si="80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73">
        <f t="shared" si="77"/>
        <v>13</v>
      </c>
      <c r="Z1066" s="18">
        <v>46156</v>
      </c>
      <c r="AA1066" s="15"/>
      <c r="AB1066" s="15"/>
      <c r="AF1066" t="str">
        <f t="shared" si="78"/>
        <v>Closed in May</v>
      </c>
    </row>
    <row r="1067" spans="1:32" hidden="1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79"/>
        <v>24</v>
      </c>
      <c r="R1067" s="53" t="str">
        <f t="shared" si="80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73">
        <f t="shared" si="77"/>
        <v>13</v>
      </c>
      <c r="Z1067" s="18">
        <v>46156</v>
      </c>
      <c r="AA1067" s="15"/>
      <c r="AB1067" s="15"/>
      <c r="AF1067" t="str">
        <f t="shared" si="78"/>
        <v>Closed in May</v>
      </c>
    </row>
    <row r="1068" spans="1:32" hidden="1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79"/>
        <v>24</v>
      </c>
      <c r="R1068" s="53" t="str">
        <f t="shared" si="80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73">
        <f t="shared" si="77"/>
        <v>13</v>
      </c>
      <c r="Z1068" s="18">
        <v>46156</v>
      </c>
      <c r="AA1068" s="15"/>
      <c r="AB1068" s="15"/>
      <c r="AF1068" t="str">
        <f t="shared" si="78"/>
        <v>Closed in May</v>
      </c>
    </row>
    <row r="1069" spans="1:32" hidden="1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79"/>
        <v>24</v>
      </c>
      <c r="R1069" s="53" t="str">
        <f t="shared" si="80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73">
        <f t="shared" si="77"/>
        <v>13</v>
      </c>
      <c r="Z1069" s="18">
        <v>46156</v>
      </c>
      <c r="AA1069" s="15"/>
      <c r="AB1069" s="15"/>
      <c r="AF1069" t="str">
        <f t="shared" si="78"/>
        <v>Closed in May</v>
      </c>
    </row>
    <row r="1070" spans="1:32" hidden="1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79"/>
        <v>24</v>
      </c>
      <c r="R1070" s="53" t="str">
        <f t="shared" si="80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73">
        <f t="shared" si="77"/>
        <v>13</v>
      </c>
      <c r="Z1070" s="18">
        <v>46156</v>
      </c>
      <c r="AA1070" s="15"/>
      <c r="AB1070" s="15"/>
      <c r="AF1070" t="str">
        <f t="shared" si="78"/>
        <v>Closed in May</v>
      </c>
    </row>
    <row r="1071" spans="1:32" hidden="1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79"/>
        <v>24</v>
      </c>
      <c r="R1071" s="53" t="str">
        <f t="shared" si="80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73">
        <f t="shared" si="77"/>
        <v>13</v>
      </c>
      <c r="Z1071" s="18">
        <v>46156</v>
      </c>
      <c r="AA1071" s="15"/>
      <c r="AB1071" s="15"/>
      <c r="AF1071" t="str">
        <f t="shared" si="78"/>
        <v>Closed in May</v>
      </c>
    </row>
    <row r="1072" spans="1:32" hidden="1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79"/>
        <v>24</v>
      </c>
      <c r="R1072" s="53" t="str">
        <f t="shared" si="80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73">
        <f t="shared" si="77"/>
        <v>13</v>
      </c>
      <c r="Z1072" s="18">
        <v>46156</v>
      </c>
      <c r="AA1072" s="15"/>
      <c r="AB1072" s="15"/>
      <c r="AF1072" t="str">
        <f t="shared" si="78"/>
        <v>Closed in May</v>
      </c>
    </row>
    <row r="1073" spans="1:32" hidden="1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79"/>
        <v>24</v>
      </c>
      <c r="R1073" s="53" t="str">
        <f t="shared" si="80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73">
        <f t="shared" si="77"/>
        <v>13</v>
      </c>
      <c r="Z1073" s="18">
        <v>46156</v>
      </c>
      <c r="AA1073" s="15"/>
      <c r="AB1073" s="15"/>
      <c r="AF1073" t="str">
        <f t="shared" si="78"/>
        <v>Closed in May</v>
      </c>
    </row>
    <row r="1074" spans="1:32" hidden="1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79"/>
        <v>24</v>
      </c>
      <c r="R1074" s="53" t="str">
        <f t="shared" si="80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73">
        <f t="shared" si="77"/>
        <v>13</v>
      </c>
      <c r="Z1074" s="18">
        <v>46156</v>
      </c>
      <c r="AA1074" s="15"/>
      <c r="AB1074" s="15"/>
      <c r="AF1074" t="str">
        <f t="shared" si="78"/>
        <v>Closed in May</v>
      </c>
    </row>
    <row r="1075" spans="1:32" hidden="1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79"/>
        <v>24</v>
      </c>
      <c r="R1075" s="53" t="str">
        <f t="shared" si="80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73">
        <f t="shared" si="77"/>
        <v>13</v>
      </c>
      <c r="Z1075" s="18">
        <v>46156</v>
      </c>
      <c r="AA1075" s="15"/>
      <c r="AB1075" s="15"/>
      <c r="AF1075" t="str">
        <f t="shared" si="78"/>
        <v>Closed in May</v>
      </c>
    </row>
    <row r="1076" spans="1:32" hidden="1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79"/>
        <v>24</v>
      </c>
      <c r="R1076" s="53" t="str">
        <f t="shared" si="80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73">
        <f t="shared" si="77"/>
        <v>13</v>
      </c>
      <c r="Z1076" s="18">
        <v>46156</v>
      </c>
      <c r="AA1076" s="15"/>
      <c r="AB1076" s="15"/>
      <c r="AF1076" t="str">
        <f t="shared" si="78"/>
        <v>Closed in May</v>
      </c>
    </row>
    <row r="1077" spans="1:32" hidden="1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79"/>
        <v>24</v>
      </c>
      <c r="R1077" s="53" t="str">
        <f t="shared" si="80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73">
        <f t="shared" si="77"/>
        <v>13</v>
      </c>
      <c r="Z1077" s="18">
        <v>46156</v>
      </c>
      <c r="AA1077" s="15"/>
      <c r="AB1077" s="15"/>
      <c r="AF1077" t="str">
        <f t="shared" si="78"/>
        <v>Closed in May</v>
      </c>
    </row>
    <row r="1078" spans="1:32" hidden="1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79"/>
        <v>24</v>
      </c>
      <c r="R1078" s="53" t="str">
        <f t="shared" si="80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73">
        <f t="shared" si="77"/>
        <v>13</v>
      </c>
      <c r="Z1078" s="18">
        <v>46156</v>
      </c>
      <c r="AA1078" s="15"/>
      <c r="AB1078" s="15"/>
      <c r="AF1078" t="str">
        <f t="shared" si="78"/>
        <v>Closed in May</v>
      </c>
    </row>
    <row r="1079" spans="1:32" hidden="1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79"/>
        <v>24</v>
      </c>
      <c r="R1079" s="53" t="str">
        <f t="shared" si="80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73">
        <f t="shared" si="77"/>
        <v>13</v>
      </c>
      <c r="Z1079" s="18">
        <v>46156</v>
      </c>
      <c r="AA1079" s="15"/>
      <c r="AB1079" s="15"/>
      <c r="AF1079" t="str">
        <f t="shared" si="78"/>
        <v>Closed in May</v>
      </c>
    </row>
    <row r="1080" spans="1:32" hidden="1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79"/>
        <v>24</v>
      </c>
      <c r="R1080" s="53" t="str">
        <f t="shared" si="80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73">
        <f t="shared" si="77"/>
        <v>13</v>
      </c>
      <c r="Z1080" s="18">
        <v>46156</v>
      </c>
      <c r="AA1080" s="15"/>
      <c r="AB1080" s="15"/>
      <c r="AF1080" t="str">
        <f t="shared" si="78"/>
        <v>Closed in May</v>
      </c>
    </row>
    <row r="1081" spans="1:32" hidden="1">
      <c r="A1081" s="6">
        <v>46107</v>
      </c>
      <c r="B1081" s="3">
        <v>2026</v>
      </c>
      <c r="C1081" s="3" t="s">
        <v>114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79"/>
        <v>24</v>
      </c>
      <c r="R1081" s="53" t="str">
        <f t="shared" si="80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73">
        <f t="shared" si="77"/>
        <v>50</v>
      </c>
      <c r="Z1081" s="18">
        <v>46157</v>
      </c>
      <c r="AA1081" s="15"/>
      <c r="AB1081" s="15"/>
      <c r="AF1081" t="str">
        <f t="shared" si="78"/>
        <v>Closed in May</v>
      </c>
    </row>
    <row r="1082" spans="1:32" hidden="1">
      <c r="A1082" s="6">
        <v>46107</v>
      </c>
      <c r="B1082" s="3">
        <v>2026</v>
      </c>
      <c r="C1082" s="3" t="s">
        <v>114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79"/>
        <v>24</v>
      </c>
      <c r="R1082" s="53" t="str">
        <f t="shared" si="80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73">
        <f t="shared" si="77"/>
        <v>50</v>
      </c>
      <c r="Z1082" s="18">
        <v>46157</v>
      </c>
      <c r="AA1082" s="15"/>
      <c r="AB1082" s="15"/>
      <c r="AF1082" t="str">
        <f t="shared" si="78"/>
        <v>Closed in May</v>
      </c>
    </row>
    <row r="1083" spans="1:32" hidden="1">
      <c r="A1083" s="6">
        <v>46107</v>
      </c>
      <c r="B1083" s="3">
        <v>2026</v>
      </c>
      <c r="C1083" s="3" t="s">
        <v>114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79"/>
        <v>24</v>
      </c>
      <c r="R1083" s="53" t="str">
        <f t="shared" si="80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73">
        <f t="shared" si="77"/>
        <v>50</v>
      </c>
      <c r="Z1083" s="18">
        <v>46157</v>
      </c>
      <c r="AA1083" s="15"/>
      <c r="AB1083" s="15"/>
      <c r="AF1083" t="str">
        <f t="shared" si="78"/>
        <v>Closed in May</v>
      </c>
    </row>
    <row r="1084" spans="1:32" hidden="1">
      <c r="A1084" s="6">
        <v>46107</v>
      </c>
      <c r="B1084" s="3">
        <v>2026</v>
      </c>
      <c r="C1084" s="3" t="s">
        <v>114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79"/>
        <v>24</v>
      </c>
      <c r="R1084" s="53" t="str">
        <f t="shared" si="80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73">
        <f t="shared" si="77"/>
        <v>50</v>
      </c>
      <c r="Z1084" s="18">
        <v>46157</v>
      </c>
      <c r="AA1084" s="15"/>
      <c r="AB1084" s="15"/>
      <c r="AF1084" t="str">
        <f t="shared" si="78"/>
        <v>Closed in May</v>
      </c>
    </row>
    <row r="1085" spans="1:32" hidden="1">
      <c r="A1085" s="6">
        <v>46107</v>
      </c>
      <c r="B1085" s="3">
        <v>2026</v>
      </c>
      <c r="C1085" s="3" t="s">
        <v>114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79"/>
        <v>24</v>
      </c>
      <c r="R1085" s="53" t="str">
        <f t="shared" si="80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73">
        <f t="shared" si="77"/>
        <v>50</v>
      </c>
      <c r="Z1085" s="18">
        <v>46157</v>
      </c>
      <c r="AA1085" s="15"/>
      <c r="AB1085" s="15"/>
      <c r="AF1085" t="str">
        <f t="shared" si="78"/>
        <v>Closed in May</v>
      </c>
    </row>
    <row r="1086" spans="1:32" hidden="1">
      <c r="A1086" s="6">
        <v>46107</v>
      </c>
      <c r="B1086" s="3">
        <v>2026</v>
      </c>
      <c r="C1086" s="3" t="s">
        <v>114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79"/>
        <v>24</v>
      </c>
      <c r="R1086" s="53" t="str">
        <f t="shared" si="80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73">
        <f t="shared" si="77"/>
        <v>50</v>
      </c>
      <c r="Z1086" s="18">
        <v>46157</v>
      </c>
      <c r="AA1086" s="15"/>
      <c r="AB1086" s="15"/>
      <c r="AF1086" t="str">
        <f t="shared" si="78"/>
        <v>Closed in May</v>
      </c>
    </row>
    <row r="1087" spans="1:32" hidden="1">
      <c r="A1087" s="6">
        <v>46107</v>
      </c>
      <c r="B1087" s="3">
        <v>2026</v>
      </c>
      <c r="C1087" s="3" t="s">
        <v>114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79"/>
        <v>24</v>
      </c>
      <c r="R1087" s="53" t="str">
        <f t="shared" si="80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73">
        <f t="shared" si="77"/>
        <v>50</v>
      </c>
      <c r="Z1087" s="18">
        <v>46157</v>
      </c>
      <c r="AA1087" s="15"/>
      <c r="AB1087" s="15"/>
      <c r="AF1087" t="str">
        <f t="shared" si="78"/>
        <v>Closed in May</v>
      </c>
    </row>
    <row r="1088" spans="1:32" hidden="1">
      <c r="A1088" s="6">
        <v>46107</v>
      </c>
      <c r="B1088" s="3">
        <v>2026</v>
      </c>
      <c r="C1088" s="3" t="s">
        <v>114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79"/>
        <v>24</v>
      </c>
      <c r="R1088" s="53" t="str">
        <f t="shared" si="80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73">
        <f t="shared" si="77"/>
        <v>50</v>
      </c>
      <c r="Z1088" s="18">
        <v>46157</v>
      </c>
      <c r="AA1088" s="15"/>
      <c r="AB1088" s="15"/>
      <c r="AF1088" t="str">
        <f t="shared" si="78"/>
        <v>Closed in May</v>
      </c>
    </row>
    <row r="1089" spans="1:32" hidden="1">
      <c r="A1089" s="6">
        <v>46107</v>
      </c>
      <c r="B1089" s="3">
        <v>2026</v>
      </c>
      <c r="C1089" s="3" t="s">
        <v>114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79"/>
        <v>24</v>
      </c>
      <c r="R1089" s="53" t="str">
        <f t="shared" si="80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73">
        <f t="shared" si="77"/>
        <v>50</v>
      </c>
      <c r="Z1089" s="18">
        <v>46157</v>
      </c>
      <c r="AA1089" s="15"/>
      <c r="AB1089" s="15"/>
      <c r="AF1089" t="str">
        <f t="shared" si="78"/>
        <v>Closed in May</v>
      </c>
    </row>
    <row r="1090" spans="1:32" hidden="1">
      <c r="A1090" s="6">
        <v>46107</v>
      </c>
      <c r="B1090" s="3">
        <v>2026</v>
      </c>
      <c r="C1090" s="3" t="s">
        <v>114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79"/>
        <v>24</v>
      </c>
      <c r="R1090" s="53" t="str">
        <f t="shared" si="80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73">
        <f t="shared" ref="Y1090:Y1153" si="81">IF(X1090="","",X1090-A1090)</f>
        <v>50</v>
      </c>
      <c r="Z1090" s="18">
        <v>46157</v>
      </c>
      <c r="AA1090" s="15"/>
      <c r="AB1090" s="15"/>
      <c r="AF1090" t="str">
        <f t="shared" ref="AF1090:AF1153" si="82">IF(AND($F1090="Closed",$X1090&gt;=DATE(2026,5,1),$X1090&lt;=DATE(2026,5,31)),"Closed in May","Other")</f>
        <v>Closed in May</v>
      </c>
    </row>
    <row r="1091" spans="1:32" hidden="1">
      <c r="A1091" s="6">
        <v>46107</v>
      </c>
      <c r="B1091" s="3">
        <v>2026</v>
      </c>
      <c r="C1091" s="3" t="s">
        <v>114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79"/>
        <v>24</v>
      </c>
      <c r="R1091" s="53" t="str">
        <f t="shared" si="80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73">
        <f t="shared" si="81"/>
        <v>50</v>
      </c>
      <c r="Z1091" s="18">
        <v>46157</v>
      </c>
      <c r="AA1091" s="15"/>
      <c r="AB1091" s="15"/>
      <c r="AF1091" t="str">
        <f t="shared" si="82"/>
        <v>Closed in May</v>
      </c>
    </row>
    <row r="1092" spans="1:32" hidden="1">
      <c r="A1092" s="6">
        <v>46107</v>
      </c>
      <c r="B1092" s="3">
        <v>2026</v>
      </c>
      <c r="C1092" s="3" t="s">
        <v>114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79"/>
        <v>24</v>
      </c>
      <c r="R1092" s="53" t="str">
        <f t="shared" si="80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73">
        <f t="shared" si="81"/>
        <v>50</v>
      </c>
      <c r="Z1092" s="18">
        <v>46157</v>
      </c>
      <c r="AA1092" s="15"/>
      <c r="AB1092" s="15"/>
      <c r="AF1092" t="str">
        <f t="shared" si="82"/>
        <v>Closed in May</v>
      </c>
    </row>
    <row r="1093" spans="1:32" hidden="1">
      <c r="A1093" s="6">
        <v>46107</v>
      </c>
      <c r="B1093" s="3">
        <v>2026</v>
      </c>
      <c r="C1093" s="3" t="s">
        <v>114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79"/>
        <v>24</v>
      </c>
      <c r="R1093" s="53" t="str">
        <f t="shared" si="80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73">
        <f t="shared" si="81"/>
        <v>50</v>
      </c>
      <c r="Z1093" s="18">
        <v>46157</v>
      </c>
      <c r="AA1093" s="15"/>
      <c r="AB1093" s="15"/>
      <c r="AF1093" t="str">
        <f t="shared" si="82"/>
        <v>Closed in May</v>
      </c>
    </row>
    <row r="1094" spans="1:32" hidden="1">
      <c r="A1094" s="6">
        <v>46107</v>
      </c>
      <c r="B1094" s="3">
        <v>2026</v>
      </c>
      <c r="C1094" s="3" t="s">
        <v>114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79"/>
        <v>24</v>
      </c>
      <c r="R1094" s="53" t="str">
        <f t="shared" si="80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73">
        <f t="shared" si="81"/>
        <v>50</v>
      </c>
      <c r="Z1094" s="18">
        <v>46157</v>
      </c>
      <c r="AA1094" s="15"/>
      <c r="AB1094" s="15"/>
      <c r="AF1094" t="str">
        <f t="shared" si="82"/>
        <v>Closed in May</v>
      </c>
    </row>
    <row r="1095" spans="1:32" hidden="1">
      <c r="A1095" s="6">
        <v>46107</v>
      </c>
      <c r="B1095" s="3">
        <v>2026</v>
      </c>
      <c r="C1095" s="3" t="s">
        <v>114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79"/>
        <v>24</v>
      </c>
      <c r="R1095" s="53" t="str">
        <f t="shared" si="80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73">
        <f t="shared" si="81"/>
        <v>50</v>
      </c>
      <c r="Z1095" s="18">
        <v>46157</v>
      </c>
      <c r="AA1095" s="15"/>
      <c r="AB1095" s="15"/>
      <c r="AF1095" t="str">
        <f t="shared" si="82"/>
        <v>Closed in May</v>
      </c>
    </row>
    <row r="1096" spans="1:32" hidden="1">
      <c r="A1096" s="6">
        <v>46107</v>
      </c>
      <c r="B1096" s="3">
        <v>2026</v>
      </c>
      <c r="C1096" s="3" t="s">
        <v>114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79"/>
        <v>24</v>
      </c>
      <c r="R1096" s="53" t="str">
        <f t="shared" si="80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73">
        <f t="shared" si="81"/>
        <v>50</v>
      </c>
      <c r="Z1096" s="18">
        <v>46157</v>
      </c>
      <c r="AA1096" s="15"/>
      <c r="AB1096" s="15"/>
      <c r="AF1096" t="str">
        <f t="shared" si="82"/>
        <v>Closed in May</v>
      </c>
    </row>
    <row r="1097" spans="1:32" hidden="1">
      <c r="A1097" s="6">
        <v>46107</v>
      </c>
      <c r="B1097" s="3">
        <v>2026</v>
      </c>
      <c r="C1097" s="3" t="s">
        <v>114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79"/>
        <v>24</v>
      </c>
      <c r="R1097" s="53" t="str">
        <f t="shared" si="80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73">
        <f t="shared" si="81"/>
        <v>50</v>
      </c>
      <c r="Z1097" s="18">
        <v>46157</v>
      </c>
      <c r="AA1097" s="15"/>
      <c r="AB1097" s="15"/>
      <c r="AF1097" t="str">
        <f t="shared" si="82"/>
        <v>Closed in May</v>
      </c>
    </row>
    <row r="1098" spans="1:32" hidden="1">
      <c r="A1098" s="6">
        <v>46107</v>
      </c>
      <c r="B1098" s="3">
        <v>2026</v>
      </c>
      <c r="C1098" s="3" t="s">
        <v>114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79"/>
        <v>24</v>
      </c>
      <c r="R1098" s="53" t="str">
        <f t="shared" si="80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73">
        <f t="shared" si="81"/>
        <v>50</v>
      </c>
      <c r="Z1098" s="18">
        <v>46157</v>
      </c>
      <c r="AA1098" s="15"/>
      <c r="AB1098" s="15"/>
      <c r="AF1098" t="str">
        <f t="shared" si="82"/>
        <v>Closed in May</v>
      </c>
    </row>
    <row r="1099" spans="1:32" hidden="1">
      <c r="A1099" s="6">
        <v>46107</v>
      </c>
      <c r="B1099" s="3">
        <v>2026</v>
      </c>
      <c r="C1099" s="3" t="s">
        <v>114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79"/>
        <v>24</v>
      </c>
      <c r="R1099" s="53" t="str">
        <f t="shared" si="80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73">
        <f t="shared" si="81"/>
        <v>50</v>
      </c>
      <c r="Z1099" s="18">
        <v>46157</v>
      </c>
      <c r="AA1099" s="15"/>
      <c r="AB1099" s="15"/>
      <c r="AF1099" t="str">
        <f t="shared" si="82"/>
        <v>Closed in May</v>
      </c>
    </row>
    <row r="1100" spans="1:32" hidden="1">
      <c r="A1100" s="6">
        <v>46107</v>
      </c>
      <c r="B1100" s="3">
        <v>2026</v>
      </c>
      <c r="C1100" s="3" t="s">
        <v>114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79"/>
        <v>24</v>
      </c>
      <c r="R1100" s="53" t="str">
        <f t="shared" si="80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73">
        <f t="shared" si="81"/>
        <v>50</v>
      </c>
      <c r="Z1100" s="18">
        <v>46157</v>
      </c>
      <c r="AA1100" s="15"/>
      <c r="AB1100" s="15"/>
      <c r="AF1100" t="str">
        <f t="shared" si="82"/>
        <v>Closed in May</v>
      </c>
    </row>
    <row r="1101" spans="1:32" hidden="1">
      <c r="A1101" s="6">
        <v>46107</v>
      </c>
      <c r="B1101" s="3">
        <v>2026</v>
      </c>
      <c r="C1101" s="3" t="s">
        <v>114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79"/>
        <v>24</v>
      </c>
      <c r="R1101" s="53" t="str">
        <f t="shared" si="80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73">
        <f t="shared" si="81"/>
        <v>50</v>
      </c>
      <c r="Z1101" s="18">
        <v>46157</v>
      </c>
      <c r="AA1101" s="15"/>
      <c r="AB1101" s="15"/>
      <c r="AF1101" t="str">
        <f t="shared" si="82"/>
        <v>Closed in May</v>
      </c>
    </row>
    <row r="1102" spans="1:32" hidden="1">
      <c r="A1102" s="6">
        <v>46107</v>
      </c>
      <c r="B1102" s="3">
        <v>2026</v>
      </c>
      <c r="C1102" s="3" t="s">
        <v>114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79"/>
        <v>24</v>
      </c>
      <c r="R1102" s="53" t="str">
        <f t="shared" si="80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73">
        <f t="shared" si="81"/>
        <v>50</v>
      </c>
      <c r="Z1102" s="18">
        <v>46157</v>
      </c>
      <c r="AA1102" s="15"/>
      <c r="AB1102" s="15"/>
      <c r="AF1102" t="str">
        <f t="shared" si="82"/>
        <v>Closed in May</v>
      </c>
    </row>
    <row r="1103" spans="1:32" hidden="1">
      <c r="A1103" s="6">
        <v>46107</v>
      </c>
      <c r="B1103" s="3">
        <v>2026</v>
      </c>
      <c r="C1103" s="3" t="s">
        <v>114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79"/>
        <v>24</v>
      </c>
      <c r="R1103" s="53" t="str">
        <f t="shared" si="80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73">
        <f t="shared" si="81"/>
        <v>50</v>
      </c>
      <c r="Z1103" s="18">
        <v>46157</v>
      </c>
      <c r="AA1103" s="15"/>
      <c r="AB1103" s="15"/>
      <c r="AF1103" t="str">
        <f t="shared" si="82"/>
        <v>Closed in May</v>
      </c>
    </row>
    <row r="1104" spans="1:32" hidden="1">
      <c r="A1104" s="6">
        <v>46107</v>
      </c>
      <c r="B1104" s="3">
        <v>2026</v>
      </c>
      <c r="C1104" s="3" t="s">
        <v>114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79"/>
        <v>24</v>
      </c>
      <c r="R1104" s="53" t="str">
        <f t="shared" si="80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73">
        <f t="shared" si="81"/>
        <v>50</v>
      </c>
      <c r="Z1104" s="18">
        <v>46157</v>
      </c>
      <c r="AA1104" s="15"/>
      <c r="AB1104" s="15"/>
      <c r="AF1104" t="str">
        <f t="shared" si="82"/>
        <v>Closed in May</v>
      </c>
    </row>
    <row r="1105" spans="1:32" hidden="1">
      <c r="A1105" s="6">
        <v>46107</v>
      </c>
      <c r="B1105" s="3">
        <v>2026</v>
      </c>
      <c r="C1105" s="3" t="s">
        <v>114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79"/>
        <v>24</v>
      </c>
      <c r="R1105" s="53" t="str">
        <f t="shared" si="80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73">
        <f t="shared" si="81"/>
        <v>50</v>
      </c>
      <c r="Z1105" s="18">
        <v>46157</v>
      </c>
      <c r="AA1105" s="15"/>
      <c r="AB1105" s="15"/>
      <c r="AF1105" t="str">
        <f t="shared" si="82"/>
        <v>Closed in May</v>
      </c>
    </row>
    <row r="1106" spans="1:32" hidden="1">
      <c r="A1106" s="6">
        <v>46107</v>
      </c>
      <c r="B1106" s="3">
        <v>2026</v>
      </c>
      <c r="C1106" s="3" t="s">
        <v>114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79"/>
        <v>24</v>
      </c>
      <c r="R1106" s="53" t="str">
        <f t="shared" si="80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73">
        <f t="shared" si="81"/>
        <v>50</v>
      </c>
      <c r="Z1106" s="18">
        <v>46157</v>
      </c>
      <c r="AA1106" s="15"/>
      <c r="AB1106" s="15"/>
      <c r="AF1106" t="str">
        <f t="shared" si="82"/>
        <v>Closed in May</v>
      </c>
    </row>
    <row r="1107" spans="1:32" hidden="1">
      <c r="A1107" s="6">
        <v>46107</v>
      </c>
      <c r="B1107" s="3">
        <v>2026</v>
      </c>
      <c r="C1107" s="3" t="s">
        <v>114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79"/>
        <v>24</v>
      </c>
      <c r="R1107" s="53" t="str">
        <f t="shared" si="80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73">
        <f t="shared" si="81"/>
        <v>50</v>
      </c>
      <c r="Z1107" s="18">
        <v>46157</v>
      </c>
      <c r="AA1107" s="15"/>
      <c r="AB1107" s="15"/>
      <c r="AF1107" t="str">
        <f t="shared" si="82"/>
        <v>Closed in May</v>
      </c>
    </row>
    <row r="1108" spans="1:32" hidden="1">
      <c r="A1108" s="6">
        <v>46107</v>
      </c>
      <c r="B1108" s="3">
        <v>2026</v>
      </c>
      <c r="C1108" s="3" t="s">
        <v>114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79"/>
        <v>24</v>
      </c>
      <c r="R1108" s="53" t="str">
        <f t="shared" si="80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73">
        <f t="shared" si="81"/>
        <v>50</v>
      </c>
      <c r="Z1108" s="18">
        <v>46157</v>
      </c>
      <c r="AA1108" s="15"/>
      <c r="AB1108" s="15"/>
      <c r="AF1108" t="str">
        <f t="shared" si="82"/>
        <v>Closed in May</v>
      </c>
    </row>
    <row r="1109" spans="1:32" hidden="1">
      <c r="A1109" s="6">
        <v>46107</v>
      </c>
      <c r="B1109" s="3">
        <v>2026</v>
      </c>
      <c r="C1109" s="3" t="s">
        <v>114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79"/>
        <v>24</v>
      </c>
      <c r="R1109" s="53" t="str">
        <f t="shared" si="80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73">
        <f t="shared" si="81"/>
        <v>50</v>
      </c>
      <c r="Z1109" s="18">
        <v>46157</v>
      </c>
      <c r="AA1109" s="15"/>
      <c r="AB1109" s="15"/>
      <c r="AF1109" t="str">
        <f t="shared" si="82"/>
        <v>Closed in May</v>
      </c>
    </row>
    <row r="1110" spans="1:32" hidden="1">
      <c r="A1110" s="6">
        <v>46107</v>
      </c>
      <c r="B1110" s="3">
        <v>2026</v>
      </c>
      <c r="C1110" s="3" t="s">
        <v>114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79"/>
        <v>24</v>
      </c>
      <c r="R1110" s="53" t="str">
        <f t="shared" si="80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73">
        <f t="shared" si="81"/>
        <v>50</v>
      </c>
      <c r="Z1110" s="18">
        <v>46157</v>
      </c>
      <c r="AA1110" s="15"/>
      <c r="AB1110" s="15"/>
      <c r="AF1110" t="str">
        <f t="shared" si="82"/>
        <v>Closed in May</v>
      </c>
    </row>
    <row r="1111" spans="1:32" hidden="1">
      <c r="A1111" s="6">
        <v>46107</v>
      </c>
      <c r="B1111" s="3">
        <v>2026</v>
      </c>
      <c r="C1111" s="3" t="s">
        <v>114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79"/>
        <v>24</v>
      </c>
      <c r="R1111" s="53" t="str">
        <f t="shared" si="80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73">
        <f t="shared" si="81"/>
        <v>50</v>
      </c>
      <c r="Z1111" s="18">
        <v>46157</v>
      </c>
      <c r="AA1111" s="15"/>
      <c r="AB1111" s="15"/>
      <c r="AF1111" t="str">
        <f t="shared" si="82"/>
        <v>Closed in May</v>
      </c>
    </row>
    <row r="1112" spans="1:32" hidden="1">
      <c r="A1112" s="6">
        <v>46107</v>
      </c>
      <c r="B1112" s="3">
        <v>2026</v>
      </c>
      <c r="C1112" s="3" t="s">
        <v>114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79"/>
        <v>24</v>
      </c>
      <c r="R1112" s="53" t="str">
        <f t="shared" si="80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73">
        <f t="shared" si="81"/>
        <v>50</v>
      </c>
      <c r="Z1112" s="18">
        <v>46157</v>
      </c>
      <c r="AA1112" s="15"/>
      <c r="AB1112" s="15"/>
      <c r="AF1112" t="str">
        <f t="shared" si="82"/>
        <v>Closed in May</v>
      </c>
    </row>
    <row r="1113" spans="1:32" hidden="1">
      <c r="A1113" s="6">
        <v>46107</v>
      </c>
      <c r="B1113" s="3">
        <v>2026</v>
      </c>
      <c r="C1113" s="3" t="s">
        <v>114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79"/>
        <v>24</v>
      </c>
      <c r="R1113" s="53" t="str">
        <f t="shared" si="80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73">
        <f t="shared" si="81"/>
        <v>50</v>
      </c>
      <c r="Z1113" s="18">
        <v>46157</v>
      </c>
      <c r="AA1113" s="15"/>
      <c r="AB1113" s="15"/>
      <c r="AF1113" t="str">
        <f t="shared" si="82"/>
        <v>Closed in May</v>
      </c>
    </row>
    <row r="1114" spans="1:32" hidden="1">
      <c r="A1114" s="6">
        <v>46107</v>
      </c>
      <c r="B1114" s="3">
        <v>2026</v>
      </c>
      <c r="C1114" s="3" t="s">
        <v>114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79"/>
        <v>24</v>
      </c>
      <c r="R1114" s="53" t="str">
        <f t="shared" si="80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73">
        <f t="shared" si="81"/>
        <v>50</v>
      </c>
      <c r="Z1114" s="18">
        <v>46157</v>
      </c>
      <c r="AA1114" s="15"/>
      <c r="AB1114" s="15"/>
      <c r="AF1114" t="str">
        <f t="shared" si="82"/>
        <v>Closed in May</v>
      </c>
    </row>
    <row r="1115" spans="1:32" hidden="1">
      <c r="A1115" s="6">
        <v>46107</v>
      </c>
      <c r="B1115" s="3">
        <v>2026</v>
      </c>
      <c r="C1115" s="3" t="s">
        <v>114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79"/>
        <v>24</v>
      </c>
      <c r="R1115" s="53" t="str">
        <f t="shared" si="80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73">
        <f t="shared" si="81"/>
        <v>50</v>
      </c>
      <c r="Z1115" s="18">
        <v>46157</v>
      </c>
      <c r="AA1115" s="15"/>
      <c r="AB1115" s="15"/>
      <c r="AF1115" t="str">
        <f t="shared" si="82"/>
        <v>Closed in May</v>
      </c>
    </row>
    <row r="1116" spans="1:32" hidden="1">
      <c r="A1116" s="6">
        <v>46107</v>
      </c>
      <c r="B1116" s="3">
        <v>2026</v>
      </c>
      <c r="C1116" s="3" t="s">
        <v>114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79"/>
        <v>24</v>
      </c>
      <c r="R1116" s="53" t="str">
        <f t="shared" si="80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73">
        <f t="shared" si="81"/>
        <v>50</v>
      </c>
      <c r="Z1116" s="18">
        <v>46157</v>
      </c>
      <c r="AA1116" s="15"/>
      <c r="AB1116" s="15"/>
      <c r="AF1116" t="str">
        <f t="shared" si="82"/>
        <v>Closed in May</v>
      </c>
    </row>
    <row r="1117" spans="1:32" hidden="1">
      <c r="A1117" s="6">
        <v>46107</v>
      </c>
      <c r="B1117" s="3">
        <v>2026</v>
      </c>
      <c r="C1117" s="3" t="s">
        <v>114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79"/>
        <v>24</v>
      </c>
      <c r="R1117" s="53" t="str">
        <f t="shared" si="80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73">
        <f t="shared" si="81"/>
        <v>50</v>
      </c>
      <c r="Z1117" s="18">
        <v>46157</v>
      </c>
      <c r="AA1117" s="15"/>
      <c r="AB1117" s="15"/>
      <c r="AF1117" t="str">
        <f t="shared" si="82"/>
        <v>Closed in May</v>
      </c>
    </row>
    <row r="1118" spans="1:32" hidden="1">
      <c r="A1118" s="6">
        <v>46107</v>
      </c>
      <c r="B1118" s="3">
        <v>2026</v>
      </c>
      <c r="C1118" s="3" t="s">
        <v>114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79"/>
        <v>24</v>
      </c>
      <c r="R1118" s="53" t="str">
        <f t="shared" si="80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73">
        <f t="shared" si="81"/>
        <v>50</v>
      </c>
      <c r="Z1118" s="18">
        <v>46157</v>
      </c>
      <c r="AA1118" s="15"/>
      <c r="AB1118" s="15"/>
      <c r="AF1118" t="str">
        <f t="shared" si="82"/>
        <v>Closed in May</v>
      </c>
    </row>
    <row r="1119" spans="1:32" hidden="1">
      <c r="A1119" s="6">
        <v>46107</v>
      </c>
      <c r="B1119" s="3">
        <v>2026</v>
      </c>
      <c r="C1119" s="3" t="s">
        <v>114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79"/>
        <v>24</v>
      </c>
      <c r="R1119" s="53" t="str">
        <f t="shared" si="80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73">
        <f t="shared" si="81"/>
        <v>50</v>
      </c>
      <c r="Z1119" s="18">
        <v>46157</v>
      </c>
      <c r="AA1119" s="15"/>
      <c r="AB1119" s="15"/>
      <c r="AF1119" t="str">
        <f t="shared" si="82"/>
        <v>Closed in May</v>
      </c>
    </row>
    <row r="1120" spans="1:32" hidden="1">
      <c r="A1120" s="6">
        <v>46107</v>
      </c>
      <c r="B1120" s="3">
        <v>2026</v>
      </c>
      <c r="C1120" s="3" t="s">
        <v>114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79"/>
        <v>24</v>
      </c>
      <c r="R1120" s="53" t="str">
        <f t="shared" si="80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73">
        <f t="shared" si="81"/>
        <v>50</v>
      </c>
      <c r="Z1120" s="18">
        <v>46157</v>
      </c>
      <c r="AA1120" s="15"/>
      <c r="AB1120" s="15"/>
      <c r="AF1120" t="str">
        <f t="shared" si="82"/>
        <v>Closed in May</v>
      </c>
    </row>
    <row r="1121" spans="1:32" hidden="1">
      <c r="A1121" s="6">
        <v>46107</v>
      </c>
      <c r="B1121" s="3">
        <v>2026</v>
      </c>
      <c r="C1121" s="3" t="s">
        <v>114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79"/>
        <v>24</v>
      </c>
      <c r="R1121" s="53" t="str">
        <f t="shared" si="80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73">
        <f t="shared" si="81"/>
        <v>50</v>
      </c>
      <c r="Z1121" s="18">
        <v>46157</v>
      </c>
      <c r="AA1121" s="15"/>
      <c r="AB1121" s="15"/>
      <c r="AF1121" t="str">
        <f t="shared" si="82"/>
        <v>Closed in May</v>
      </c>
    </row>
    <row r="1122" spans="1:32" hidden="1">
      <c r="A1122" s="6">
        <v>46107</v>
      </c>
      <c r="B1122" s="3">
        <v>2026</v>
      </c>
      <c r="C1122" s="3" t="s">
        <v>114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79"/>
        <v>24</v>
      </c>
      <c r="R1122" s="53" t="str">
        <f t="shared" si="80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73">
        <f t="shared" si="81"/>
        <v>50</v>
      </c>
      <c r="Z1122" s="18">
        <v>46157</v>
      </c>
      <c r="AA1122" s="15"/>
      <c r="AB1122" s="15"/>
      <c r="AF1122" t="str">
        <f t="shared" si="82"/>
        <v>Closed in May</v>
      </c>
    </row>
    <row r="1123" spans="1:32" hidden="1">
      <c r="A1123" s="6">
        <v>46107</v>
      </c>
      <c r="B1123" s="3">
        <v>2026</v>
      </c>
      <c r="C1123" s="3" t="s">
        <v>114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79"/>
        <v>24</v>
      </c>
      <c r="R1123" s="53" t="str">
        <f t="shared" si="80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73">
        <f t="shared" si="81"/>
        <v>50</v>
      </c>
      <c r="Z1123" s="18">
        <v>46157</v>
      </c>
      <c r="AA1123" s="15"/>
      <c r="AB1123" s="15"/>
      <c r="AF1123" t="str">
        <f t="shared" si="82"/>
        <v>Closed in May</v>
      </c>
    </row>
    <row r="1124" spans="1:32" hidden="1">
      <c r="A1124" s="6">
        <v>46107</v>
      </c>
      <c r="B1124" s="3">
        <v>2026</v>
      </c>
      <c r="C1124" s="3" t="s">
        <v>114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79"/>
        <v>24</v>
      </c>
      <c r="R1124" s="53" t="str">
        <f t="shared" si="80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73">
        <f t="shared" si="81"/>
        <v>50</v>
      </c>
      <c r="Z1124" s="18">
        <v>46157</v>
      </c>
      <c r="AA1124" s="15"/>
      <c r="AB1124" s="15"/>
      <c r="AF1124" t="str">
        <f t="shared" si="82"/>
        <v>Closed in May</v>
      </c>
    </row>
    <row r="1125" spans="1:32" hidden="1">
      <c r="A1125" s="6">
        <v>46107</v>
      </c>
      <c r="B1125" s="3">
        <v>2026</v>
      </c>
      <c r="C1125" s="3" t="s">
        <v>114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79"/>
        <v>24</v>
      </c>
      <c r="R1125" s="53" t="str">
        <f t="shared" si="80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73">
        <f t="shared" si="81"/>
        <v>50</v>
      </c>
      <c r="Z1125" s="18">
        <v>46157</v>
      </c>
      <c r="AA1125" s="15"/>
      <c r="AB1125" s="15"/>
      <c r="AF1125" t="str">
        <f t="shared" si="82"/>
        <v>Closed in May</v>
      </c>
    </row>
    <row r="1126" spans="1:32" hidden="1">
      <c r="A1126" s="6">
        <v>46107</v>
      </c>
      <c r="B1126" s="3">
        <v>2026</v>
      </c>
      <c r="C1126" s="3" t="s">
        <v>114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79"/>
        <v>24</v>
      </c>
      <c r="R1126" s="53" t="str">
        <f t="shared" si="80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73">
        <f t="shared" si="81"/>
        <v>50</v>
      </c>
      <c r="Z1126" s="18">
        <v>46157</v>
      </c>
      <c r="AA1126" s="15"/>
      <c r="AB1126" s="15"/>
      <c r="AF1126" t="str">
        <f t="shared" si="82"/>
        <v>Closed in May</v>
      </c>
    </row>
    <row r="1127" spans="1:32" hidden="1">
      <c r="A1127" s="6">
        <v>46107</v>
      </c>
      <c r="B1127" s="3">
        <v>2026</v>
      </c>
      <c r="C1127" s="3" t="s">
        <v>114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83">MID(P1127,5,2)</f>
        <v>24</v>
      </c>
      <c r="R1127" s="53" t="str">
        <f t="shared" ref="R1127:R1190" si="84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73">
        <f t="shared" si="81"/>
        <v>50</v>
      </c>
      <c r="Z1127" s="18">
        <v>46157</v>
      </c>
      <c r="AA1127" s="15"/>
      <c r="AB1127" s="15"/>
      <c r="AF1127" t="str">
        <f t="shared" si="82"/>
        <v>Closed in May</v>
      </c>
    </row>
    <row r="1128" spans="1:32" hidden="1">
      <c r="A1128" s="6">
        <v>46107</v>
      </c>
      <c r="B1128" s="3">
        <v>2026</v>
      </c>
      <c r="C1128" s="3" t="s">
        <v>114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83"/>
        <v>24</v>
      </c>
      <c r="R1128" s="53" t="str">
        <f t="shared" si="84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73">
        <f t="shared" si="81"/>
        <v>50</v>
      </c>
      <c r="Z1128" s="18">
        <v>46157</v>
      </c>
      <c r="AA1128" s="15"/>
      <c r="AB1128" s="15"/>
      <c r="AF1128" t="str">
        <f t="shared" si="82"/>
        <v>Closed in May</v>
      </c>
    </row>
    <row r="1129" spans="1:32" hidden="1">
      <c r="A1129" s="6">
        <v>46107</v>
      </c>
      <c r="B1129" s="3">
        <v>2026</v>
      </c>
      <c r="C1129" s="3" t="s">
        <v>114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83"/>
        <v>24</v>
      </c>
      <c r="R1129" s="53" t="str">
        <f t="shared" si="84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73">
        <f t="shared" si="81"/>
        <v>50</v>
      </c>
      <c r="Z1129" s="18">
        <v>46157</v>
      </c>
      <c r="AA1129" s="15"/>
      <c r="AB1129" s="15"/>
      <c r="AF1129" t="str">
        <f t="shared" si="82"/>
        <v>Closed in May</v>
      </c>
    </row>
    <row r="1130" spans="1:32" hidden="1">
      <c r="A1130" s="6">
        <v>46107</v>
      </c>
      <c r="B1130" s="3">
        <v>2026</v>
      </c>
      <c r="C1130" s="3" t="s">
        <v>114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83"/>
        <v>24</v>
      </c>
      <c r="R1130" s="53" t="str">
        <f t="shared" si="84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73">
        <f t="shared" si="81"/>
        <v>50</v>
      </c>
      <c r="Z1130" s="18">
        <v>46157</v>
      </c>
      <c r="AA1130" s="15"/>
      <c r="AB1130" s="15"/>
      <c r="AF1130" t="str">
        <f t="shared" si="82"/>
        <v>Closed in May</v>
      </c>
    </row>
    <row r="1131" spans="1:32" hidden="1">
      <c r="A1131" s="6">
        <v>46107</v>
      </c>
      <c r="B1131" s="3">
        <v>2026</v>
      </c>
      <c r="C1131" s="3" t="s">
        <v>114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83"/>
        <v>24</v>
      </c>
      <c r="R1131" s="53" t="str">
        <f t="shared" si="84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73">
        <f t="shared" si="81"/>
        <v>50</v>
      </c>
      <c r="Z1131" s="18">
        <v>46157</v>
      </c>
      <c r="AA1131" s="15"/>
      <c r="AB1131" s="15"/>
      <c r="AF1131" t="str">
        <f t="shared" si="82"/>
        <v>Closed in May</v>
      </c>
    </row>
    <row r="1132" spans="1:32" hidden="1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83"/>
        <v>24</v>
      </c>
      <c r="R1132" s="53" t="str">
        <f t="shared" si="84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73">
        <f t="shared" si="81"/>
        <v>14</v>
      </c>
      <c r="Z1132" s="18">
        <v>46157</v>
      </c>
      <c r="AA1132" s="15"/>
      <c r="AB1132" s="15"/>
      <c r="AF1132" t="str">
        <f t="shared" si="82"/>
        <v>Closed in May</v>
      </c>
    </row>
    <row r="1133" spans="1:32" hidden="1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83"/>
        <v>24</v>
      </c>
      <c r="R1133" s="53" t="str">
        <f t="shared" si="84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73">
        <f t="shared" si="81"/>
        <v>14</v>
      </c>
      <c r="Z1133" s="18">
        <v>46157</v>
      </c>
      <c r="AA1133" s="15"/>
      <c r="AB1133" s="15"/>
      <c r="AF1133" t="str">
        <f t="shared" si="82"/>
        <v>Closed in May</v>
      </c>
    </row>
    <row r="1134" spans="1:32" hidden="1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83"/>
        <v>24</v>
      </c>
      <c r="R1134" s="53" t="str">
        <f t="shared" si="84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73">
        <f t="shared" si="81"/>
        <v>14</v>
      </c>
      <c r="Z1134" s="18">
        <v>46157</v>
      </c>
      <c r="AA1134" s="15"/>
      <c r="AB1134" s="15"/>
      <c r="AF1134" t="str">
        <f t="shared" si="82"/>
        <v>Closed in May</v>
      </c>
    </row>
    <row r="1135" spans="1:32" hidden="1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83"/>
        <v>24</v>
      </c>
      <c r="R1135" s="53" t="str">
        <f t="shared" si="84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73">
        <f t="shared" si="81"/>
        <v>14</v>
      </c>
      <c r="Z1135" s="18">
        <v>46157</v>
      </c>
      <c r="AA1135" s="15"/>
      <c r="AB1135" s="15"/>
      <c r="AF1135" t="str">
        <f t="shared" si="82"/>
        <v>Closed in May</v>
      </c>
    </row>
    <row r="1136" spans="1:32" hidden="1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83"/>
        <v>24</v>
      </c>
      <c r="R1136" s="53" t="str">
        <f t="shared" si="84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73">
        <f t="shared" si="81"/>
        <v>14</v>
      </c>
      <c r="Z1136" s="18">
        <v>46157</v>
      </c>
      <c r="AA1136" s="15"/>
      <c r="AB1136" s="15"/>
      <c r="AF1136" t="str">
        <f t="shared" si="82"/>
        <v>Closed in May</v>
      </c>
    </row>
    <row r="1137" spans="1:32" hidden="1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83"/>
        <v>24</v>
      </c>
      <c r="R1137" s="53" t="str">
        <f t="shared" si="84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73">
        <f t="shared" si="81"/>
        <v>14</v>
      </c>
      <c r="Z1137" s="18">
        <v>46157</v>
      </c>
      <c r="AA1137" s="15"/>
      <c r="AB1137" s="15"/>
      <c r="AF1137" t="str">
        <f t="shared" si="82"/>
        <v>Closed in May</v>
      </c>
    </row>
    <row r="1138" spans="1:32" hidden="1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83"/>
        <v>24</v>
      </c>
      <c r="R1138" s="53" t="str">
        <f t="shared" si="84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73">
        <f t="shared" si="81"/>
        <v>14</v>
      </c>
      <c r="Z1138" s="18">
        <v>46157</v>
      </c>
      <c r="AA1138" s="15"/>
      <c r="AB1138" s="15"/>
      <c r="AF1138" t="str">
        <f t="shared" si="82"/>
        <v>Closed in May</v>
      </c>
    </row>
    <row r="1139" spans="1:32" hidden="1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83"/>
        <v>24</v>
      </c>
      <c r="R1139" s="53" t="str">
        <f t="shared" si="84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73">
        <f t="shared" si="81"/>
        <v>14</v>
      </c>
      <c r="Z1139" s="18">
        <v>46157</v>
      </c>
      <c r="AA1139" s="15"/>
      <c r="AB1139" s="15"/>
      <c r="AF1139" t="str">
        <f t="shared" si="82"/>
        <v>Closed in May</v>
      </c>
    </row>
    <row r="1140" spans="1:32" hidden="1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83"/>
        <v>24</v>
      </c>
      <c r="R1140" s="53" t="str">
        <f t="shared" si="84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73">
        <f t="shared" si="81"/>
        <v>14</v>
      </c>
      <c r="Z1140" s="18">
        <v>46157</v>
      </c>
      <c r="AA1140" s="15"/>
      <c r="AB1140" s="15"/>
      <c r="AF1140" t="str">
        <f t="shared" si="82"/>
        <v>Closed in May</v>
      </c>
    </row>
    <row r="1141" spans="1:32" hidden="1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83"/>
        <v>24</v>
      </c>
      <c r="R1141" s="53" t="str">
        <f t="shared" si="84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73">
        <f t="shared" si="81"/>
        <v>14</v>
      </c>
      <c r="Z1141" s="18">
        <v>46157</v>
      </c>
      <c r="AA1141" s="15"/>
      <c r="AB1141" s="15"/>
      <c r="AF1141" t="str">
        <f t="shared" si="82"/>
        <v>Closed in May</v>
      </c>
    </row>
    <row r="1142" spans="1:32" hidden="1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83"/>
        <v>24</v>
      </c>
      <c r="R1142" s="53" t="str">
        <f t="shared" si="84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73">
        <f t="shared" si="81"/>
        <v>14</v>
      </c>
      <c r="Z1142" s="18">
        <v>46157</v>
      </c>
      <c r="AA1142" s="15"/>
      <c r="AB1142" s="15"/>
      <c r="AF1142" t="str">
        <f t="shared" si="82"/>
        <v>Closed in May</v>
      </c>
    </row>
    <row r="1143" spans="1:32" hidden="1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83"/>
        <v>24</v>
      </c>
      <c r="R1143" s="53" t="str">
        <f t="shared" si="84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73">
        <f t="shared" si="81"/>
        <v>14</v>
      </c>
      <c r="Z1143" s="18">
        <v>46157</v>
      </c>
      <c r="AA1143" s="15"/>
      <c r="AB1143" s="15"/>
      <c r="AF1143" t="str">
        <f t="shared" si="82"/>
        <v>Closed in May</v>
      </c>
    </row>
    <row r="1144" spans="1:32" hidden="1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83"/>
        <v>24</v>
      </c>
      <c r="R1144" s="53" t="str">
        <f t="shared" si="84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73">
        <f t="shared" si="81"/>
        <v>14</v>
      </c>
      <c r="Z1144" s="18">
        <v>46157</v>
      </c>
      <c r="AA1144" s="15"/>
      <c r="AB1144" s="15"/>
      <c r="AF1144" t="str">
        <f t="shared" si="82"/>
        <v>Closed in May</v>
      </c>
    </row>
    <row r="1145" spans="1:32" hidden="1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83"/>
        <v>24</v>
      </c>
      <c r="R1145" s="53" t="str">
        <f t="shared" si="84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73">
        <f t="shared" si="81"/>
        <v>14</v>
      </c>
      <c r="Z1145" s="18">
        <v>46157</v>
      </c>
      <c r="AA1145" s="15"/>
      <c r="AB1145" s="15"/>
      <c r="AF1145" t="str">
        <f t="shared" si="82"/>
        <v>Closed in May</v>
      </c>
    </row>
    <row r="1146" spans="1:32" hidden="1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83"/>
        <v>24</v>
      </c>
      <c r="R1146" s="53" t="str">
        <f t="shared" si="84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73">
        <f t="shared" si="81"/>
        <v>14</v>
      </c>
      <c r="Z1146" s="18">
        <v>46157</v>
      </c>
      <c r="AA1146" s="15"/>
      <c r="AB1146" s="15"/>
      <c r="AF1146" t="str">
        <f t="shared" si="82"/>
        <v>Closed in May</v>
      </c>
    </row>
    <row r="1147" spans="1:32" hidden="1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83"/>
        <v>24</v>
      </c>
      <c r="R1147" s="53" t="str">
        <f t="shared" si="84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73">
        <f t="shared" si="81"/>
        <v>14</v>
      </c>
      <c r="Z1147" s="18">
        <v>46157</v>
      </c>
      <c r="AA1147" s="15"/>
      <c r="AB1147" s="15"/>
      <c r="AF1147" t="str">
        <f t="shared" si="82"/>
        <v>Closed in May</v>
      </c>
    </row>
    <row r="1148" spans="1:32" hidden="1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83"/>
        <v>24</v>
      </c>
      <c r="R1148" s="53" t="str">
        <f t="shared" si="84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73">
        <f t="shared" si="81"/>
        <v>14</v>
      </c>
      <c r="Z1148" s="18">
        <v>46157</v>
      </c>
      <c r="AA1148" s="15"/>
      <c r="AB1148" s="15"/>
      <c r="AF1148" t="str">
        <f t="shared" si="82"/>
        <v>Closed in May</v>
      </c>
    </row>
    <row r="1149" spans="1:32" hidden="1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83"/>
        <v>24</v>
      </c>
      <c r="R1149" s="53" t="str">
        <f t="shared" si="84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73">
        <f t="shared" si="81"/>
        <v>14</v>
      </c>
      <c r="Z1149" s="18">
        <v>46157</v>
      </c>
      <c r="AA1149" s="15"/>
      <c r="AB1149" s="15"/>
      <c r="AF1149" t="str">
        <f t="shared" si="82"/>
        <v>Closed in May</v>
      </c>
    </row>
    <row r="1150" spans="1:32" hidden="1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83"/>
        <v>24</v>
      </c>
      <c r="R1150" s="53" t="str">
        <f t="shared" si="84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73">
        <f t="shared" si="81"/>
        <v>14</v>
      </c>
      <c r="Z1150" s="18">
        <v>46157</v>
      </c>
      <c r="AA1150" s="15"/>
      <c r="AB1150" s="15"/>
      <c r="AF1150" t="str">
        <f t="shared" si="82"/>
        <v>Closed in May</v>
      </c>
    </row>
    <row r="1151" spans="1:32" hidden="1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83"/>
        <v>24</v>
      </c>
      <c r="R1151" s="53" t="str">
        <f t="shared" si="84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73">
        <f t="shared" si="81"/>
        <v>14</v>
      </c>
      <c r="Z1151" s="18">
        <v>46157</v>
      </c>
      <c r="AA1151" s="15"/>
      <c r="AB1151" s="15"/>
      <c r="AF1151" t="str">
        <f t="shared" si="82"/>
        <v>Closed in May</v>
      </c>
    </row>
    <row r="1152" spans="1:32" hidden="1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83"/>
        <v>24</v>
      </c>
      <c r="R1152" s="53" t="str">
        <f t="shared" si="84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73">
        <f t="shared" si="81"/>
        <v>14</v>
      </c>
      <c r="Z1152" s="18">
        <v>46157</v>
      </c>
      <c r="AA1152" s="15"/>
      <c r="AB1152" s="15"/>
      <c r="AF1152" t="str">
        <f t="shared" si="82"/>
        <v>Closed in May</v>
      </c>
    </row>
    <row r="1153" spans="1:32" hidden="1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83"/>
        <v>24</v>
      </c>
      <c r="R1153" s="53" t="str">
        <f t="shared" si="84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73">
        <f t="shared" si="81"/>
        <v>14</v>
      </c>
      <c r="Z1153" s="18">
        <v>46157</v>
      </c>
      <c r="AA1153" s="15"/>
      <c r="AB1153" s="15"/>
      <c r="AF1153" t="str">
        <f t="shared" si="82"/>
        <v>Closed in May</v>
      </c>
    </row>
    <row r="1154" spans="1:32" hidden="1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83"/>
        <v>24</v>
      </c>
      <c r="R1154" s="53" t="str">
        <f t="shared" si="84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73">
        <f t="shared" ref="Y1154:Y1217" si="85">IF(X1154="","",X1154-A1154)</f>
        <v>14</v>
      </c>
      <c r="Z1154" s="18">
        <v>46157</v>
      </c>
      <c r="AA1154" s="15"/>
      <c r="AB1154" s="15"/>
      <c r="AF1154" t="str">
        <f t="shared" ref="AF1154:AF1217" si="86">IF(AND($F1154="Closed",$X1154&gt;=DATE(2026,5,1),$X1154&lt;=DATE(2026,5,31)),"Closed in May","Other")</f>
        <v>Closed in May</v>
      </c>
    </row>
    <row r="1155" spans="1:32" hidden="1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83"/>
        <v>24</v>
      </c>
      <c r="R1155" s="53" t="str">
        <f t="shared" si="84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73">
        <f t="shared" si="85"/>
        <v>14</v>
      </c>
      <c r="Z1155" s="18">
        <v>46157</v>
      </c>
      <c r="AA1155" s="15"/>
      <c r="AB1155" s="15"/>
      <c r="AF1155" t="str">
        <f t="shared" si="86"/>
        <v>Closed in May</v>
      </c>
    </row>
    <row r="1156" spans="1:32" hidden="1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83"/>
        <v>24</v>
      </c>
      <c r="R1156" s="53" t="str">
        <f t="shared" si="84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73">
        <f t="shared" si="85"/>
        <v>14</v>
      </c>
      <c r="Z1156" s="18">
        <v>46157</v>
      </c>
      <c r="AA1156" s="15"/>
      <c r="AB1156" s="15"/>
      <c r="AF1156" t="str">
        <f t="shared" si="86"/>
        <v>Closed in May</v>
      </c>
    </row>
    <row r="1157" spans="1:32" hidden="1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83"/>
        <v>24</v>
      </c>
      <c r="R1157" s="53" t="str">
        <f t="shared" si="84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73">
        <f t="shared" si="85"/>
        <v>14</v>
      </c>
      <c r="Z1157" s="18">
        <v>46157</v>
      </c>
      <c r="AA1157" s="15"/>
      <c r="AB1157" s="15"/>
      <c r="AF1157" t="str">
        <f t="shared" si="86"/>
        <v>Closed in May</v>
      </c>
    </row>
    <row r="1158" spans="1:32" hidden="1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83"/>
        <v>24</v>
      </c>
      <c r="R1158" s="53" t="str">
        <f t="shared" si="84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73">
        <f t="shared" si="85"/>
        <v>14</v>
      </c>
      <c r="Z1158" s="18">
        <v>46157</v>
      </c>
      <c r="AA1158" s="15"/>
      <c r="AB1158" s="15"/>
      <c r="AF1158" t="str">
        <f t="shared" si="86"/>
        <v>Closed in May</v>
      </c>
    </row>
    <row r="1159" spans="1:32" hidden="1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83"/>
        <v>24</v>
      </c>
      <c r="R1159" s="53" t="str">
        <f t="shared" si="84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73">
        <f t="shared" si="85"/>
        <v>14</v>
      </c>
      <c r="Z1159" s="18">
        <v>46157</v>
      </c>
      <c r="AA1159" s="15"/>
      <c r="AB1159" s="15"/>
      <c r="AF1159" t="str">
        <f t="shared" si="86"/>
        <v>Closed in May</v>
      </c>
    </row>
    <row r="1160" spans="1:32" hidden="1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83"/>
        <v>24</v>
      </c>
      <c r="R1160" s="53" t="str">
        <f t="shared" si="84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73">
        <f t="shared" si="85"/>
        <v>14</v>
      </c>
      <c r="Z1160" s="18">
        <v>46157</v>
      </c>
      <c r="AA1160" s="15"/>
      <c r="AB1160" s="15"/>
      <c r="AF1160" t="str">
        <f t="shared" si="86"/>
        <v>Closed in May</v>
      </c>
    </row>
    <row r="1161" spans="1:32" hidden="1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83"/>
        <v>24</v>
      </c>
      <c r="R1161" s="53" t="str">
        <f t="shared" si="84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73">
        <f t="shared" si="85"/>
        <v>14</v>
      </c>
      <c r="Z1161" s="18">
        <v>46157</v>
      </c>
      <c r="AA1161" s="15"/>
      <c r="AB1161" s="15"/>
      <c r="AF1161" t="str">
        <f t="shared" si="86"/>
        <v>Closed in May</v>
      </c>
    </row>
    <row r="1162" spans="1:32" hidden="1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83"/>
        <v>24</v>
      </c>
      <c r="R1162" s="53" t="str">
        <f t="shared" si="84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73">
        <f t="shared" si="85"/>
        <v>14</v>
      </c>
      <c r="Z1162" s="18">
        <v>46157</v>
      </c>
      <c r="AA1162" s="15"/>
      <c r="AB1162" s="15"/>
      <c r="AF1162" t="str">
        <f t="shared" si="86"/>
        <v>Closed in May</v>
      </c>
    </row>
    <row r="1163" spans="1:32" hidden="1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83"/>
        <v>24</v>
      </c>
      <c r="R1163" s="53" t="str">
        <f t="shared" si="84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73">
        <f t="shared" si="85"/>
        <v>14</v>
      </c>
      <c r="Z1163" s="18">
        <v>46157</v>
      </c>
      <c r="AA1163" s="15"/>
      <c r="AB1163" s="15"/>
      <c r="AF1163" t="str">
        <f t="shared" si="86"/>
        <v>Closed in May</v>
      </c>
    </row>
    <row r="1164" spans="1:32" hidden="1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83"/>
        <v>24</v>
      </c>
      <c r="R1164" s="53" t="str">
        <f t="shared" si="84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73">
        <f t="shared" si="85"/>
        <v>14</v>
      </c>
      <c r="Z1164" s="18">
        <v>46157</v>
      </c>
      <c r="AA1164" s="15"/>
      <c r="AB1164" s="15"/>
      <c r="AF1164" t="str">
        <f t="shared" si="86"/>
        <v>Closed in May</v>
      </c>
    </row>
    <row r="1165" spans="1:32" hidden="1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83"/>
        <v>24</v>
      </c>
      <c r="R1165" s="53" t="str">
        <f t="shared" si="84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73">
        <f t="shared" si="85"/>
        <v>14</v>
      </c>
      <c r="Z1165" s="18">
        <v>46157</v>
      </c>
      <c r="AA1165" s="15"/>
      <c r="AB1165" s="15"/>
      <c r="AF1165" t="str">
        <f t="shared" si="86"/>
        <v>Closed in May</v>
      </c>
    </row>
    <row r="1166" spans="1:32" hidden="1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83"/>
        <v>24</v>
      </c>
      <c r="R1166" s="53" t="str">
        <f t="shared" si="84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73">
        <f t="shared" si="85"/>
        <v>14</v>
      </c>
      <c r="Z1166" s="18">
        <v>46157</v>
      </c>
      <c r="AA1166" s="15"/>
      <c r="AB1166" s="15"/>
      <c r="AF1166" t="str">
        <f t="shared" si="86"/>
        <v>Closed in May</v>
      </c>
    </row>
    <row r="1167" spans="1:32" hidden="1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83"/>
        <v>24</v>
      </c>
      <c r="R1167" s="53" t="str">
        <f t="shared" si="84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73">
        <f t="shared" si="85"/>
        <v>14</v>
      </c>
      <c r="Z1167" s="18">
        <v>46157</v>
      </c>
      <c r="AA1167" s="15"/>
      <c r="AB1167" s="15"/>
      <c r="AF1167" t="str">
        <f t="shared" si="86"/>
        <v>Closed in May</v>
      </c>
    </row>
    <row r="1168" spans="1:32" hidden="1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83"/>
        <v>24</v>
      </c>
      <c r="R1168" s="53" t="str">
        <f t="shared" si="84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73">
        <f t="shared" si="85"/>
        <v>14</v>
      </c>
      <c r="Z1168" s="18">
        <v>46157</v>
      </c>
      <c r="AA1168" s="15"/>
      <c r="AB1168" s="15"/>
      <c r="AF1168" t="str">
        <f t="shared" si="86"/>
        <v>Closed in May</v>
      </c>
    </row>
    <row r="1169" spans="1:32" hidden="1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83"/>
        <v>24</v>
      </c>
      <c r="R1169" s="53" t="str">
        <f t="shared" si="84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73">
        <f t="shared" si="85"/>
        <v>14</v>
      </c>
      <c r="Z1169" s="18">
        <v>46157</v>
      </c>
      <c r="AA1169" s="15"/>
      <c r="AB1169" s="15"/>
      <c r="AF1169" t="str">
        <f t="shared" si="86"/>
        <v>Closed in May</v>
      </c>
    </row>
    <row r="1170" spans="1:32" hidden="1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83"/>
        <v>24</v>
      </c>
      <c r="R1170" s="53" t="str">
        <f t="shared" si="84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73">
        <f t="shared" si="85"/>
        <v>14</v>
      </c>
      <c r="Z1170" s="18">
        <v>46157</v>
      </c>
      <c r="AA1170" s="15"/>
      <c r="AB1170" s="15"/>
      <c r="AF1170" t="str">
        <f t="shared" si="86"/>
        <v>Closed in May</v>
      </c>
    </row>
    <row r="1171" spans="1:32" hidden="1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83"/>
        <v>24</v>
      </c>
      <c r="R1171" s="53" t="str">
        <f t="shared" si="84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73">
        <f t="shared" si="85"/>
        <v>14</v>
      </c>
      <c r="Z1171" s="18">
        <v>46157</v>
      </c>
      <c r="AA1171" s="15"/>
      <c r="AB1171" s="15"/>
      <c r="AF1171" t="str">
        <f t="shared" si="86"/>
        <v>Closed in May</v>
      </c>
    </row>
    <row r="1172" spans="1:32" hidden="1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83"/>
        <v>24</v>
      </c>
      <c r="R1172" s="53" t="str">
        <f t="shared" si="84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73">
        <f t="shared" si="85"/>
        <v>14</v>
      </c>
      <c r="Z1172" s="18">
        <v>46157</v>
      </c>
      <c r="AA1172" s="15"/>
      <c r="AB1172" s="15"/>
      <c r="AF1172" t="str">
        <f t="shared" si="86"/>
        <v>Closed in May</v>
      </c>
    </row>
    <row r="1173" spans="1:32" hidden="1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83"/>
        <v>24</v>
      </c>
      <c r="R1173" s="53" t="str">
        <f t="shared" si="84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73">
        <f t="shared" si="85"/>
        <v>14</v>
      </c>
      <c r="Z1173" s="18">
        <v>46157</v>
      </c>
      <c r="AA1173" s="15"/>
      <c r="AB1173" s="15"/>
      <c r="AF1173" t="str">
        <f t="shared" si="86"/>
        <v>Closed in May</v>
      </c>
    </row>
    <row r="1174" spans="1:32" hidden="1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83"/>
        <v>24</v>
      </c>
      <c r="R1174" s="53" t="str">
        <f t="shared" si="84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73">
        <f t="shared" si="85"/>
        <v>14</v>
      </c>
      <c r="Z1174" s="18">
        <v>46157</v>
      </c>
      <c r="AA1174" s="15"/>
      <c r="AB1174" s="15"/>
      <c r="AF1174" t="str">
        <f t="shared" si="86"/>
        <v>Closed in May</v>
      </c>
    </row>
    <row r="1175" spans="1:32" hidden="1">
      <c r="A1175" s="6">
        <v>46107</v>
      </c>
      <c r="B1175" s="3">
        <v>2026</v>
      </c>
      <c r="C1175" s="3" t="s">
        <v>114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83"/>
        <v>24</v>
      </c>
      <c r="R1175" s="53" t="str">
        <f t="shared" si="84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73">
        <f t="shared" si="85"/>
        <v>51</v>
      </c>
      <c r="Z1175" s="18">
        <v>46158</v>
      </c>
      <c r="AA1175" s="15"/>
      <c r="AB1175" s="15"/>
      <c r="AF1175" t="str">
        <f t="shared" si="86"/>
        <v>Closed in May</v>
      </c>
    </row>
    <row r="1176" spans="1:32" hidden="1">
      <c r="A1176" s="6">
        <v>46107</v>
      </c>
      <c r="B1176" s="3">
        <v>2026</v>
      </c>
      <c r="C1176" s="3" t="s">
        <v>114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83"/>
        <v>24</v>
      </c>
      <c r="R1176" s="53" t="str">
        <f t="shared" si="84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73">
        <f t="shared" si="85"/>
        <v>51</v>
      </c>
      <c r="Z1176" s="18">
        <v>46158</v>
      </c>
      <c r="AA1176" s="15"/>
      <c r="AB1176" s="15"/>
      <c r="AF1176" t="str">
        <f t="shared" si="86"/>
        <v>Closed in May</v>
      </c>
    </row>
    <row r="1177" spans="1:32" hidden="1">
      <c r="A1177" s="6">
        <v>46107</v>
      </c>
      <c r="B1177" s="3">
        <v>2026</v>
      </c>
      <c r="C1177" s="3" t="s">
        <v>114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83"/>
        <v>24</v>
      </c>
      <c r="R1177" s="53" t="str">
        <f t="shared" si="84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73">
        <f t="shared" si="85"/>
        <v>51</v>
      </c>
      <c r="Z1177" s="18">
        <v>46158</v>
      </c>
      <c r="AA1177" s="15"/>
      <c r="AB1177" s="15"/>
      <c r="AF1177" t="str">
        <f t="shared" si="86"/>
        <v>Closed in May</v>
      </c>
    </row>
    <row r="1178" spans="1:32" hidden="1">
      <c r="A1178" s="6">
        <v>46107</v>
      </c>
      <c r="B1178" s="3">
        <v>2026</v>
      </c>
      <c r="C1178" s="3" t="s">
        <v>114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83"/>
        <v>24</v>
      </c>
      <c r="R1178" s="53" t="str">
        <f t="shared" si="84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73">
        <f t="shared" si="85"/>
        <v>51</v>
      </c>
      <c r="Z1178" s="18">
        <v>46158</v>
      </c>
      <c r="AA1178" s="15"/>
      <c r="AB1178" s="15"/>
      <c r="AF1178" t="str">
        <f t="shared" si="86"/>
        <v>Closed in May</v>
      </c>
    </row>
    <row r="1179" spans="1:32" hidden="1">
      <c r="A1179" s="6">
        <v>46107</v>
      </c>
      <c r="B1179" s="3">
        <v>2026</v>
      </c>
      <c r="C1179" s="3" t="s">
        <v>114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83"/>
        <v>24</v>
      </c>
      <c r="R1179" s="53" t="str">
        <f t="shared" si="84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73">
        <f t="shared" si="85"/>
        <v>51</v>
      </c>
      <c r="Z1179" s="18">
        <v>46158</v>
      </c>
      <c r="AA1179" s="15"/>
      <c r="AB1179" s="15"/>
      <c r="AF1179" t="str">
        <f t="shared" si="86"/>
        <v>Closed in May</v>
      </c>
    </row>
    <row r="1180" spans="1:32" hidden="1">
      <c r="A1180" s="6">
        <v>46107</v>
      </c>
      <c r="B1180" s="3">
        <v>2026</v>
      </c>
      <c r="C1180" s="3" t="s">
        <v>114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83"/>
        <v>24</v>
      </c>
      <c r="R1180" s="53" t="str">
        <f t="shared" si="84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73">
        <f t="shared" si="85"/>
        <v>51</v>
      </c>
      <c r="Z1180" s="18">
        <v>46158</v>
      </c>
      <c r="AA1180" s="15"/>
      <c r="AB1180" s="15"/>
      <c r="AF1180" t="str">
        <f t="shared" si="86"/>
        <v>Closed in May</v>
      </c>
    </row>
    <row r="1181" spans="1:32" hidden="1">
      <c r="A1181" s="6">
        <v>46107</v>
      </c>
      <c r="B1181" s="3">
        <v>2026</v>
      </c>
      <c r="C1181" s="3" t="s">
        <v>114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83"/>
        <v>24</v>
      </c>
      <c r="R1181" s="53" t="str">
        <f t="shared" si="84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73">
        <f t="shared" si="85"/>
        <v>51</v>
      </c>
      <c r="Z1181" s="18">
        <v>46158</v>
      </c>
      <c r="AA1181" s="15"/>
      <c r="AB1181" s="15"/>
      <c r="AF1181" t="str">
        <f t="shared" si="86"/>
        <v>Closed in May</v>
      </c>
    </row>
    <row r="1182" spans="1:32" hidden="1">
      <c r="A1182" s="6">
        <v>46107</v>
      </c>
      <c r="B1182" s="3">
        <v>2026</v>
      </c>
      <c r="C1182" s="3" t="s">
        <v>114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83"/>
        <v>24</v>
      </c>
      <c r="R1182" s="53" t="str">
        <f t="shared" si="84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73">
        <f t="shared" si="85"/>
        <v>51</v>
      </c>
      <c r="Z1182" s="18">
        <v>46158</v>
      </c>
      <c r="AA1182" s="15"/>
      <c r="AB1182" s="15"/>
      <c r="AF1182" t="str">
        <f t="shared" si="86"/>
        <v>Closed in May</v>
      </c>
    </row>
    <row r="1183" spans="1:32" hidden="1">
      <c r="A1183" s="6">
        <v>46107</v>
      </c>
      <c r="B1183" s="3">
        <v>2026</v>
      </c>
      <c r="C1183" s="3" t="s">
        <v>114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83"/>
        <v>24</v>
      </c>
      <c r="R1183" s="53" t="str">
        <f t="shared" si="84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73">
        <f t="shared" si="85"/>
        <v>51</v>
      </c>
      <c r="Z1183" s="18">
        <v>46158</v>
      </c>
      <c r="AA1183" s="15"/>
      <c r="AB1183" s="15"/>
      <c r="AF1183" t="str">
        <f t="shared" si="86"/>
        <v>Closed in May</v>
      </c>
    </row>
    <row r="1184" spans="1:32" hidden="1">
      <c r="A1184" s="6">
        <v>46107</v>
      </c>
      <c r="B1184" s="3">
        <v>2026</v>
      </c>
      <c r="C1184" s="3" t="s">
        <v>114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83"/>
        <v>24</v>
      </c>
      <c r="R1184" s="53" t="str">
        <f t="shared" si="84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73">
        <f t="shared" si="85"/>
        <v>51</v>
      </c>
      <c r="Z1184" s="18">
        <v>46158</v>
      </c>
      <c r="AA1184" s="15"/>
      <c r="AB1184" s="15"/>
      <c r="AF1184" t="str">
        <f t="shared" si="86"/>
        <v>Closed in May</v>
      </c>
    </row>
    <row r="1185" spans="1:32" hidden="1">
      <c r="A1185" s="6">
        <v>46107</v>
      </c>
      <c r="B1185" s="3">
        <v>2026</v>
      </c>
      <c r="C1185" s="3" t="s">
        <v>114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83"/>
        <v>24</v>
      </c>
      <c r="R1185" s="53" t="str">
        <f t="shared" si="84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73">
        <f t="shared" si="85"/>
        <v>51</v>
      </c>
      <c r="Z1185" s="18">
        <v>46158</v>
      </c>
      <c r="AA1185" s="15"/>
      <c r="AB1185" s="15"/>
      <c r="AF1185" t="str">
        <f t="shared" si="86"/>
        <v>Closed in May</v>
      </c>
    </row>
    <row r="1186" spans="1:32" hidden="1">
      <c r="A1186" s="6">
        <v>46107</v>
      </c>
      <c r="B1186" s="3">
        <v>2026</v>
      </c>
      <c r="C1186" s="3" t="s">
        <v>114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83"/>
        <v>24</v>
      </c>
      <c r="R1186" s="53" t="str">
        <f t="shared" si="84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73">
        <f t="shared" si="85"/>
        <v>51</v>
      </c>
      <c r="Z1186" s="18">
        <v>46158</v>
      </c>
      <c r="AA1186" s="15"/>
      <c r="AB1186" s="15"/>
      <c r="AF1186" t="str">
        <f t="shared" si="86"/>
        <v>Closed in May</v>
      </c>
    </row>
    <row r="1187" spans="1:32" hidden="1">
      <c r="A1187" s="6">
        <v>46107</v>
      </c>
      <c r="B1187" s="3">
        <v>2026</v>
      </c>
      <c r="C1187" s="3" t="s">
        <v>114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83"/>
        <v>24</v>
      </c>
      <c r="R1187" s="53" t="str">
        <f t="shared" si="84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73">
        <f t="shared" si="85"/>
        <v>51</v>
      </c>
      <c r="Z1187" s="18">
        <v>46158</v>
      </c>
      <c r="AA1187" s="15"/>
      <c r="AB1187" s="15"/>
      <c r="AF1187" t="str">
        <f t="shared" si="86"/>
        <v>Closed in May</v>
      </c>
    </row>
    <row r="1188" spans="1:32" hidden="1">
      <c r="A1188" s="6">
        <v>46107</v>
      </c>
      <c r="B1188" s="3">
        <v>2026</v>
      </c>
      <c r="C1188" s="3" t="s">
        <v>114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83"/>
        <v>24</v>
      </c>
      <c r="R1188" s="53" t="str">
        <f t="shared" si="84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73">
        <f t="shared" si="85"/>
        <v>51</v>
      </c>
      <c r="Z1188" s="18">
        <v>46158</v>
      </c>
      <c r="AA1188" s="15"/>
      <c r="AB1188" s="15"/>
      <c r="AF1188" t="str">
        <f t="shared" si="86"/>
        <v>Closed in May</v>
      </c>
    </row>
    <row r="1189" spans="1:32" hidden="1">
      <c r="A1189" s="6">
        <v>46107</v>
      </c>
      <c r="B1189" s="3">
        <v>2026</v>
      </c>
      <c r="C1189" s="3" t="s">
        <v>114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83"/>
        <v>24</v>
      </c>
      <c r="R1189" s="53" t="str">
        <f t="shared" si="84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73">
        <f t="shared" si="85"/>
        <v>51</v>
      </c>
      <c r="Z1189" s="18">
        <v>46158</v>
      </c>
      <c r="AA1189" s="15"/>
      <c r="AB1189" s="15"/>
      <c r="AF1189" t="str">
        <f t="shared" si="86"/>
        <v>Closed in May</v>
      </c>
    </row>
    <row r="1190" spans="1:32" hidden="1">
      <c r="A1190" s="6">
        <v>46107</v>
      </c>
      <c r="B1190" s="3">
        <v>2026</v>
      </c>
      <c r="C1190" s="3" t="s">
        <v>114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83"/>
        <v>24</v>
      </c>
      <c r="R1190" s="53" t="str">
        <f t="shared" si="84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73">
        <f t="shared" si="85"/>
        <v>51</v>
      </c>
      <c r="Z1190" s="18">
        <v>46158</v>
      </c>
      <c r="AA1190" s="15"/>
      <c r="AB1190" s="15"/>
      <c r="AF1190" t="str">
        <f t="shared" si="86"/>
        <v>Closed in May</v>
      </c>
    </row>
    <row r="1191" spans="1:32" hidden="1">
      <c r="A1191" s="6">
        <v>46107</v>
      </c>
      <c r="B1191" s="3">
        <v>2026</v>
      </c>
      <c r="C1191" s="3" t="s">
        <v>114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87">MID(P1191,5,2)</f>
        <v>24</v>
      </c>
      <c r="R1191" s="53" t="str">
        <f t="shared" ref="R1191:R1254" si="88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73">
        <f t="shared" si="85"/>
        <v>51</v>
      </c>
      <c r="Z1191" s="18">
        <v>46158</v>
      </c>
      <c r="AA1191" s="15"/>
      <c r="AB1191" s="15"/>
      <c r="AF1191" t="str">
        <f t="shared" si="86"/>
        <v>Closed in May</v>
      </c>
    </row>
    <row r="1192" spans="1:32" hidden="1">
      <c r="A1192" s="6">
        <v>46107</v>
      </c>
      <c r="B1192" s="3">
        <v>2026</v>
      </c>
      <c r="C1192" s="3" t="s">
        <v>114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87"/>
        <v>24</v>
      </c>
      <c r="R1192" s="53" t="str">
        <f t="shared" si="88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73">
        <f t="shared" si="85"/>
        <v>51</v>
      </c>
      <c r="Z1192" s="18">
        <v>46158</v>
      </c>
      <c r="AA1192" s="15"/>
      <c r="AB1192" s="15"/>
      <c r="AF1192" t="str">
        <f t="shared" si="86"/>
        <v>Closed in May</v>
      </c>
    </row>
    <row r="1193" spans="1:32" hidden="1">
      <c r="A1193" s="6">
        <v>46107</v>
      </c>
      <c r="B1193" s="3">
        <v>2026</v>
      </c>
      <c r="C1193" s="3" t="s">
        <v>114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87"/>
        <v>24</v>
      </c>
      <c r="R1193" s="53" t="str">
        <f t="shared" si="88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73">
        <f t="shared" si="85"/>
        <v>51</v>
      </c>
      <c r="Z1193" s="18">
        <v>46158</v>
      </c>
      <c r="AA1193" s="15"/>
      <c r="AB1193" s="15"/>
      <c r="AF1193" t="str">
        <f t="shared" si="86"/>
        <v>Closed in May</v>
      </c>
    </row>
    <row r="1194" spans="1:32" hidden="1">
      <c r="A1194" s="6">
        <v>46107</v>
      </c>
      <c r="B1194" s="3">
        <v>2026</v>
      </c>
      <c r="C1194" s="3" t="s">
        <v>114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87"/>
        <v>24</v>
      </c>
      <c r="R1194" s="53" t="str">
        <f t="shared" si="88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73">
        <f t="shared" si="85"/>
        <v>51</v>
      </c>
      <c r="Z1194" s="18">
        <v>46158</v>
      </c>
      <c r="AA1194" s="15"/>
      <c r="AB1194" s="15"/>
      <c r="AF1194" t="str">
        <f t="shared" si="86"/>
        <v>Closed in May</v>
      </c>
    </row>
    <row r="1195" spans="1:32" hidden="1">
      <c r="A1195" s="6">
        <v>46107</v>
      </c>
      <c r="B1195" s="3">
        <v>2026</v>
      </c>
      <c r="C1195" s="3" t="s">
        <v>114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87"/>
        <v>24</v>
      </c>
      <c r="R1195" s="53" t="str">
        <f t="shared" si="88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73">
        <f t="shared" si="85"/>
        <v>51</v>
      </c>
      <c r="Z1195" s="18">
        <v>46158</v>
      </c>
      <c r="AA1195" s="15"/>
      <c r="AB1195" s="15"/>
      <c r="AF1195" t="str">
        <f t="shared" si="86"/>
        <v>Closed in May</v>
      </c>
    </row>
    <row r="1196" spans="1:32" hidden="1">
      <c r="A1196" s="6">
        <v>46107</v>
      </c>
      <c r="B1196" s="3">
        <v>2026</v>
      </c>
      <c r="C1196" s="3" t="s">
        <v>114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87"/>
        <v>24</v>
      </c>
      <c r="R1196" s="53" t="str">
        <f t="shared" si="88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73">
        <f t="shared" si="85"/>
        <v>51</v>
      </c>
      <c r="Z1196" s="18">
        <v>46158</v>
      </c>
      <c r="AA1196" s="15"/>
      <c r="AB1196" s="15"/>
      <c r="AF1196" t="str">
        <f t="shared" si="86"/>
        <v>Closed in May</v>
      </c>
    </row>
    <row r="1197" spans="1:32" hidden="1">
      <c r="A1197" s="6">
        <v>46107</v>
      </c>
      <c r="B1197" s="3">
        <v>2026</v>
      </c>
      <c r="C1197" s="3" t="s">
        <v>114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87"/>
        <v>24</v>
      </c>
      <c r="R1197" s="53" t="str">
        <f t="shared" si="88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73">
        <f t="shared" si="85"/>
        <v>51</v>
      </c>
      <c r="Z1197" s="18">
        <v>46158</v>
      </c>
      <c r="AA1197" s="15"/>
      <c r="AB1197" s="15"/>
      <c r="AF1197" t="str">
        <f t="shared" si="86"/>
        <v>Closed in May</v>
      </c>
    </row>
    <row r="1198" spans="1:32" hidden="1">
      <c r="A1198" s="6">
        <v>46107</v>
      </c>
      <c r="B1198" s="3">
        <v>2026</v>
      </c>
      <c r="C1198" s="3" t="s">
        <v>114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87"/>
        <v>24</v>
      </c>
      <c r="R1198" s="53" t="str">
        <f t="shared" si="88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73">
        <f t="shared" si="85"/>
        <v>51</v>
      </c>
      <c r="Z1198" s="18">
        <v>46158</v>
      </c>
      <c r="AA1198" s="15"/>
      <c r="AB1198" s="15"/>
      <c r="AF1198" t="str">
        <f t="shared" si="86"/>
        <v>Closed in May</v>
      </c>
    </row>
    <row r="1199" spans="1:32" hidden="1">
      <c r="A1199" s="6">
        <v>46107</v>
      </c>
      <c r="B1199" s="3">
        <v>2026</v>
      </c>
      <c r="C1199" s="3" t="s">
        <v>114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87"/>
        <v>24</v>
      </c>
      <c r="R1199" s="53" t="str">
        <f t="shared" si="88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73">
        <f t="shared" si="85"/>
        <v>51</v>
      </c>
      <c r="Z1199" s="18">
        <v>46158</v>
      </c>
      <c r="AA1199" s="15"/>
      <c r="AB1199" s="15"/>
      <c r="AF1199" t="str">
        <f t="shared" si="86"/>
        <v>Closed in May</v>
      </c>
    </row>
    <row r="1200" spans="1:32" hidden="1">
      <c r="A1200" s="6">
        <v>46107</v>
      </c>
      <c r="B1200" s="3">
        <v>2026</v>
      </c>
      <c r="C1200" s="3" t="s">
        <v>114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87"/>
        <v>24</v>
      </c>
      <c r="R1200" s="53" t="str">
        <f t="shared" si="88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73">
        <f t="shared" si="85"/>
        <v>51</v>
      </c>
      <c r="Z1200" s="18">
        <v>46158</v>
      </c>
      <c r="AA1200" s="15"/>
      <c r="AB1200" s="15"/>
      <c r="AF1200" t="str">
        <f t="shared" si="86"/>
        <v>Closed in May</v>
      </c>
    </row>
    <row r="1201" spans="1:32" hidden="1">
      <c r="A1201" s="6">
        <v>46107</v>
      </c>
      <c r="B1201" s="3">
        <v>2026</v>
      </c>
      <c r="C1201" s="3" t="s">
        <v>114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87"/>
        <v>24</v>
      </c>
      <c r="R1201" s="53" t="str">
        <f t="shared" si="88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73">
        <f t="shared" si="85"/>
        <v>51</v>
      </c>
      <c r="Z1201" s="18">
        <v>46158</v>
      </c>
      <c r="AA1201" s="15"/>
      <c r="AB1201" s="15"/>
      <c r="AF1201" t="str">
        <f t="shared" si="86"/>
        <v>Closed in May</v>
      </c>
    </row>
    <row r="1202" spans="1:32" hidden="1">
      <c r="A1202" s="6">
        <v>46107</v>
      </c>
      <c r="B1202" s="3">
        <v>2026</v>
      </c>
      <c r="C1202" s="3" t="s">
        <v>114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87"/>
        <v>24</v>
      </c>
      <c r="R1202" s="53" t="str">
        <f t="shared" si="88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73">
        <f t="shared" si="85"/>
        <v>51</v>
      </c>
      <c r="Z1202" s="18">
        <v>46158</v>
      </c>
      <c r="AA1202" s="15"/>
      <c r="AB1202" s="15"/>
      <c r="AF1202" t="str">
        <f t="shared" si="86"/>
        <v>Closed in May</v>
      </c>
    </row>
    <row r="1203" spans="1:32" hidden="1">
      <c r="A1203" s="6">
        <v>46107</v>
      </c>
      <c r="B1203" s="3">
        <v>2026</v>
      </c>
      <c r="C1203" s="3" t="s">
        <v>114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87"/>
        <v>24</v>
      </c>
      <c r="R1203" s="53" t="str">
        <f t="shared" si="88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73">
        <f t="shared" si="85"/>
        <v>51</v>
      </c>
      <c r="Z1203" s="18">
        <v>46158</v>
      </c>
      <c r="AA1203" s="15"/>
      <c r="AB1203" s="15"/>
      <c r="AF1203" t="str">
        <f t="shared" si="86"/>
        <v>Closed in May</v>
      </c>
    </row>
    <row r="1204" spans="1:32" hidden="1">
      <c r="A1204" s="6">
        <v>46107</v>
      </c>
      <c r="B1204" s="3">
        <v>2026</v>
      </c>
      <c r="C1204" s="3" t="s">
        <v>114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87"/>
        <v>24</v>
      </c>
      <c r="R1204" s="53" t="str">
        <f t="shared" si="88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73">
        <f t="shared" si="85"/>
        <v>51</v>
      </c>
      <c r="Z1204" s="18">
        <v>46158</v>
      </c>
      <c r="AA1204" s="15"/>
      <c r="AB1204" s="15"/>
      <c r="AF1204" t="str">
        <f t="shared" si="86"/>
        <v>Closed in May</v>
      </c>
    </row>
    <row r="1205" spans="1:32" hidden="1">
      <c r="A1205" s="6">
        <v>46107</v>
      </c>
      <c r="B1205" s="3">
        <v>2026</v>
      </c>
      <c r="C1205" s="3" t="s">
        <v>114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87"/>
        <v>24</v>
      </c>
      <c r="R1205" s="53" t="str">
        <f t="shared" si="88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73">
        <f t="shared" si="85"/>
        <v>51</v>
      </c>
      <c r="Z1205" s="18">
        <v>46158</v>
      </c>
      <c r="AA1205" s="15"/>
      <c r="AB1205" s="15"/>
      <c r="AF1205" t="str">
        <f t="shared" si="86"/>
        <v>Closed in May</v>
      </c>
    </row>
    <row r="1206" spans="1:32" hidden="1">
      <c r="A1206" s="6">
        <v>46107</v>
      </c>
      <c r="B1206" s="3">
        <v>2026</v>
      </c>
      <c r="C1206" s="3" t="s">
        <v>114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87"/>
        <v>24</v>
      </c>
      <c r="R1206" s="53" t="str">
        <f t="shared" si="88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73">
        <f t="shared" si="85"/>
        <v>51</v>
      </c>
      <c r="Z1206" s="18">
        <v>46158</v>
      </c>
      <c r="AA1206" s="15"/>
      <c r="AB1206" s="15"/>
      <c r="AF1206" t="str">
        <f t="shared" si="86"/>
        <v>Closed in May</v>
      </c>
    </row>
    <row r="1207" spans="1:32" hidden="1">
      <c r="A1207" s="6">
        <v>46107</v>
      </c>
      <c r="B1207" s="3">
        <v>2026</v>
      </c>
      <c r="C1207" s="3" t="s">
        <v>114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87"/>
        <v>24</v>
      </c>
      <c r="R1207" s="53" t="str">
        <f t="shared" si="88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73">
        <f t="shared" si="85"/>
        <v>51</v>
      </c>
      <c r="Z1207" s="18">
        <v>46158</v>
      </c>
      <c r="AA1207" s="15"/>
      <c r="AB1207" s="15"/>
      <c r="AF1207" t="str">
        <f t="shared" si="86"/>
        <v>Closed in May</v>
      </c>
    </row>
    <row r="1208" spans="1:32" hidden="1">
      <c r="A1208" s="6">
        <v>46107</v>
      </c>
      <c r="B1208" s="3">
        <v>2026</v>
      </c>
      <c r="C1208" s="3" t="s">
        <v>114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87"/>
        <v>24</v>
      </c>
      <c r="R1208" s="53" t="str">
        <f t="shared" si="88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73">
        <f t="shared" si="85"/>
        <v>51</v>
      </c>
      <c r="Z1208" s="18">
        <v>46158</v>
      </c>
      <c r="AA1208" s="15"/>
      <c r="AB1208" s="15"/>
      <c r="AF1208" t="str">
        <f t="shared" si="86"/>
        <v>Closed in May</v>
      </c>
    </row>
    <row r="1209" spans="1:32" hidden="1">
      <c r="A1209" s="6">
        <v>46107</v>
      </c>
      <c r="B1209" s="3">
        <v>2026</v>
      </c>
      <c r="C1209" s="3" t="s">
        <v>114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87"/>
        <v>24</v>
      </c>
      <c r="R1209" s="53" t="str">
        <f t="shared" si="88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73">
        <f t="shared" si="85"/>
        <v>51</v>
      </c>
      <c r="Z1209" s="18">
        <v>46158</v>
      </c>
      <c r="AA1209" s="15"/>
      <c r="AB1209" s="15"/>
      <c r="AF1209" t="str">
        <f t="shared" si="86"/>
        <v>Closed in May</v>
      </c>
    </row>
    <row r="1210" spans="1:32" hidden="1">
      <c r="A1210" s="6">
        <v>46107</v>
      </c>
      <c r="B1210" s="3">
        <v>2026</v>
      </c>
      <c r="C1210" s="3" t="s">
        <v>114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87"/>
        <v>24</v>
      </c>
      <c r="R1210" s="53" t="str">
        <f t="shared" si="88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73">
        <f t="shared" si="85"/>
        <v>51</v>
      </c>
      <c r="Z1210" s="18">
        <v>46158</v>
      </c>
      <c r="AA1210" s="15"/>
      <c r="AB1210" s="15"/>
      <c r="AF1210" t="str">
        <f t="shared" si="86"/>
        <v>Closed in May</v>
      </c>
    </row>
    <row r="1211" spans="1:32" hidden="1">
      <c r="A1211" s="6">
        <v>46107</v>
      </c>
      <c r="B1211" s="3">
        <v>2026</v>
      </c>
      <c r="C1211" s="3" t="s">
        <v>114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87"/>
        <v>24</v>
      </c>
      <c r="R1211" s="53" t="str">
        <f t="shared" si="88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73">
        <f t="shared" si="85"/>
        <v>51</v>
      </c>
      <c r="Z1211" s="18">
        <v>46158</v>
      </c>
      <c r="AA1211" s="15"/>
      <c r="AB1211" s="15"/>
      <c r="AF1211" t="str">
        <f t="shared" si="86"/>
        <v>Closed in May</v>
      </c>
    </row>
    <row r="1212" spans="1:32" hidden="1">
      <c r="A1212" s="6">
        <v>46107</v>
      </c>
      <c r="B1212" s="3">
        <v>2026</v>
      </c>
      <c r="C1212" s="3" t="s">
        <v>114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87"/>
        <v>24</v>
      </c>
      <c r="R1212" s="53" t="str">
        <f t="shared" si="88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73">
        <f t="shared" si="85"/>
        <v>51</v>
      </c>
      <c r="Z1212" s="18">
        <v>46158</v>
      </c>
      <c r="AA1212" s="15"/>
      <c r="AB1212" s="15"/>
      <c r="AF1212" t="str">
        <f t="shared" si="86"/>
        <v>Closed in May</v>
      </c>
    </row>
    <row r="1213" spans="1:32" hidden="1">
      <c r="A1213" s="6">
        <v>46107</v>
      </c>
      <c r="B1213" s="3">
        <v>2026</v>
      </c>
      <c r="C1213" s="3" t="s">
        <v>114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87"/>
        <v>24</v>
      </c>
      <c r="R1213" s="53" t="str">
        <f t="shared" si="88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73">
        <f t="shared" si="85"/>
        <v>51</v>
      </c>
      <c r="Z1213" s="18">
        <v>46158</v>
      </c>
      <c r="AA1213" s="15"/>
      <c r="AB1213" s="15"/>
      <c r="AF1213" t="str">
        <f t="shared" si="86"/>
        <v>Closed in May</v>
      </c>
    </row>
    <row r="1214" spans="1:32" hidden="1">
      <c r="A1214" s="6">
        <v>46107</v>
      </c>
      <c r="B1214" s="3">
        <v>2026</v>
      </c>
      <c r="C1214" s="3" t="s">
        <v>114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87"/>
        <v>24</v>
      </c>
      <c r="R1214" s="53" t="str">
        <f t="shared" si="88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73">
        <f t="shared" si="85"/>
        <v>51</v>
      </c>
      <c r="Z1214" s="18">
        <v>46158</v>
      </c>
      <c r="AA1214" s="15"/>
      <c r="AB1214" s="15"/>
      <c r="AF1214" t="str">
        <f t="shared" si="86"/>
        <v>Closed in May</v>
      </c>
    </row>
    <row r="1215" spans="1:32" hidden="1">
      <c r="A1215" s="6">
        <v>46107</v>
      </c>
      <c r="B1215" s="3">
        <v>2026</v>
      </c>
      <c r="C1215" s="3" t="s">
        <v>114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87"/>
        <v>24</v>
      </c>
      <c r="R1215" s="53" t="str">
        <f t="shared" si="88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73">
        <f t="shared" si="85"/>
        <v>51</v>
      </c>
      <c r="Z1215" s="18">
        <v>46158</v>
      </c>
      <c r="AA1215" s="15"/>
      <c r="AB1215" s="15"/>
      <c r="AF1215" t="str">
        <f t="shared" si="86"/>
        <v>Closed in May</v>
      </c>
    </row>
    <row r="1216" spans="1:32" hidden="1">
      <c r="A1216" s="6">
        <v>46107</v>
      </c>
      <c r="B1216" s="3">
        <v>2026</v>
      </c>
      <c r="C1216" s="3" t="s">
        <v>114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87"/>
        <v>24</v>
      </c>
      <c r="R1216" s="53" t="str">
        <f t="shared" si="88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73">
        <f t="shared" si="85"/>
        <v>51</v>
      </c>
      <c r="Z1216" s="18">
        <v>46158</v>
      </c>
      <c r="AA1216" s="15"/>
      <c r="AB1216" s="15"/>
      <c r="AF1216" t="str">
        <f t="shared" si="86"/>
        <v>Closed in May</v>
      </c>
    </row>
    <row r="1217" spans="1:32" hidden="1">
      <c r="A1217" s="6">
        <v>46107</v>
      </c>
      <c r="B1217" s="3">
        <v>2026</v>
      </c>
      <c r="C1217" s="3" t="s">
        <v>114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87"/>
        <v>24</v>
      </c>
      <c r="R1217" s="53" t="str">
        <f t="shared" si="88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73">
        <f t="shared" si="85"/>
        <v>51</v>
      </c>
      <c r="Z1217" s="18">
        <v>46158</v>
      </c>
      <c r="AA1217" s="15"/>
      <c r="AB1217" s="15"/>
      <c r="AF1217" t="str">
        <f t="shared" si="86"/>
        <v>Closed in May</v>
      </c>
    </row>
    <row r="1218" spans="1:32" hidden="1">
      <c r="A1218" s="6">
        <v>46107</v>
      </c>
      <c r="B1218" s="3">
        <v>2026</v>
      </c>
      <c r="C1218" s="3" t="s">
        <v>114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87"/>
        <v>24</v>
      </c>
      <c r="R1218" s="53" t="str">
        <f t="shared" si="88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73">
        <f t="shared" ref="Y1218:Y1281" si="89">IF(X1218="","",X1218-A1218)</f>
        <v>51</v>
      </c>
      <c r="Z1218" s="18">
        <v>46158</v>
      </c>
      <c r="AA1218" s="15"/>
      <c r="AB1218" s="15"/>
      <c r="AF1218" t="str">
        <f t="shared" ref="AF1218:AF1281" si="90">IF(AND($F1218="Closed",$X1218&gt;=DATE(2026,5,1),$X1218&lt;=DATE(2026,5,31)),"Closed in May","Other")</f>
        <v>Closed in May</v>
      </c>
    </row>
    <row r="1219" spans="1:32" hidden="1">
      <c r="A1219" s="6">
        <v>46107</v>
      </c>
      <c r="B1219" s="3">
        <v>2026</v>
      </c>
      <c r="C1219" s="3" t="s">
        <v>114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87"/>
        <v>24</v>
      </c>
      <c r="R1219" s="53" t="str">
        <f t="shared" si="88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73">
        <f t="shared" si="89"/>
        <v>51</v>
      </c>
      <c r="Z1219" s="18">
        <v>46158</v>
      </c>
      <c r="AA1219" s="15"/>
      <c r="AB1219" s="15"/>
      <c r="AF1219" t="str">
        <f t="shared" si="90"/>
        <v>Closed in May</v>
      </c>
    </row>
    <row r="1220" spans="1:32" hidden="1">
      <c r="A1220" s="6">
        <v>46107</v>
      </c>
      <c r="B1220" s="3">
        <v>2026</v>
      </c>
      <c r="C1220" s="3" t="s">
        <v>114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87"/>
        <v>24</v>
      </c>
      <c r="R1220" s="53" t="str">
        <f t="shared" si="88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73">
        <f t="shared" si="89"/>
        <v>51</v>
      </c>
      <c r="Z1220" s="18">
        <v>46158</v>
      </c>
      <c r="AA1220" s="15"/>
      <c r="AB1220" s="15"/>
      <c r="AF1220" t="str">
        <f t="shared" si="90"/>
        <v>Closed in May</v>
      </c>
    </row>
    <row r="1221" spans="1:32" hidden="1">
      <c r="A1221" s="6">
        <v>46107</v>
      </c>
      <c r="B1221" s="3">
        <v>2026</v>
      </c>
      <c r="C1221" s="3" t="s">
        <v>114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87"/>
        <v>24</v>
      </c>
      <c r="R1221" s="53" t="str">
        <f t="shared" si="88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73">
        <f t="shared" si="89"/>
        <v>51</v>
      </c>
      <c r="Z1221" s="18">
        <v>46158</v>
      </c>
      <c r="AA1221" s="15"/>
      <c r="AB1221" s="15"/>
      <c r="AF1221" t="str">
        <f t="shared" si="90"/>
        <v>Closed in May</v>
      </c>
    </row>
    <row r="1222" spans="1:32" hidden="1">
      <c r="A1222" s="6">
        <v>46107</v>
      </c>
      <c r="B1222" s="3">
        <v>2026</v>
      </c>
      <c r="C1222" s="3" t="s">
        <v>114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87"/>
        <v>24</v>
      </c>
      <c r="R1222" s="53" t="str">
        <f t="shared" si="88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73">
        <f t="shared" si="89"/>
        <v>51</v>
      </c>
      <c r="Z1222" s="18">
        <v>46158</v>
      </c>
      <c r="AA1222" s="15"/>
      <c r="AB1222" s="15"/>
      <c r="AF1222" t="str">
        <f t="shared" si="90"/>
        <v>Closed in May</v>
      </c>
    </row>
    <row r="1223" spans="1:32" hidden="1">
      <c r="A1223" s="6">
        <v>46107</v>
      </c>
      <c r="B1223" s="3">
        <v>2026</v>
      </c>
      <c r="C1223" s="3" t="s">
        <v>114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87"/>
        <v>24</v>
      </c>
      <c r="R1223" s="53" t="str">
        <f t="shared" si="88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73">
        <f t="shared" si="89"/>
        <v>51</v>
      </c>
      <c r="Z1223" s="18">
        <v>46158</v>
      </c>
      <c r="AA1223" s="15"/>
      <c r="AB1223" s="15"/>
      <c r="AF1223" t="str">
        <f t="shared" si="90"/>
        <v>Closed in May</v>
      </c>
    </row>
    <row r="1224" spans="1:32" hidden="1">
      <c r="A1224" s="6">
        <v>46107</v>
      </c>
      <c r="B1224" s="3">
        <v>2026</v>
      </c>
      <c r="C1224" s="3" t="s">
        <v>114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87"/>
        <v>24</v>
      </c>
      <c r="R1224" s="53" t="str">
        <f t="shared" si="88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73">
        <f t="shared" si="89"/>
        <v>51</v>
      </c>
      <c r="Z1224" s="18">
        <v>46158</v>
      </c>
      <c r="AA1224" s="15"/>
      <c r="AB1224" s="15"/>
      <c r="AF1224" t="str">
        <f t="shared" si="90"/>
        <v>Closed in May</v>
      </c>
    </row>
    <row r="1225" spans="1:32" hidden="1">
      <c r="A1225" s="6">
        <v>46107</v>
      </c>
      <c r="B1225" s="3">
        <v>2026</v>
      </c>
      <c r="C1225" s="3" t="s">
        <v>114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87"/>
        <v>24</v>
      </c>
      <c r="R1225" s="53" t="str">
        <f t="shared" si="88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73">
        <f t="shared" si="89"/>
        <v>51</v>
      </c>
      <c r="Z1225" s="18">
        <v>46158</v>
      </c>
      <c r="AA1225" s="15"/>
      <c r="AB1225" s="15"/>
      <c r="AF1225" t="str">
        <f t="shared" si="90"/>
        <v>Closed in May</v>
      </c>
    </row>
    <row r="1226" spans="1:32" hidden="1">
      <c r="A1226" s="6">
        <v>46107</v>
      </c>
      <c r="B1226" s="3">
        <v>2026</v>
      </c>
      <c r="C1226" s="3" t="s">
        <v>114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87"/>
        <v>24</v>
      </c>
      <c r="R1226" s="53" t="str">
        <f t="shared" si="88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73">
        <f t="shared" si="89"/>
        <v>51</v>
      </c>
      <c r="Z1226" s="18">
        <v>46158</v>
      </c>
      <c r="AA1226" s="15"/>
      <c r="AB1226" s="15"/>
      <c r="AF1226" t="str">
        <f t="shared" si="90"/>
        <v>Closed in May</v>
      </c>
    </row>
    <row r="1227" spans="1:32" hidden="1">
      <c r="A1227" s="6">
        <v>46107</v>
      </c>
      <c r="B1227" s="3">
        <v>2026</v>
      </c>
      <c r="C1227" s="3" t="s">
        <v>114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87"/>
        <v>24</v>
      </c>
      <c r="R1227" s="53" t="str">
        <f t="shared" si="88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73">
        <f t="shared" si="89"/>
        <v>51</v>
      </c>
      <c r="Z1227" s="18">
        <v>46158</v>
      </c>
      <c r="AA1227" s="15"/>
      <c r="AB1227" s="15"/>
      <c r="AF1227" t="str">
        <f t="shared" si="90"/>
        <v>Closed in May</v>
      </c>
    </row>
    <row r="1228" spans="1:32" hidden="1">
      <c r="A1228" s="6">
        <v>46107</v>
      </c>
      <c r="B1228" s="3">
        <v>2026</v>
      </c>
      <c r="C1228" s="3" t="s">
        <v>114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87"/>
        <v>24</v>
      </c>
      <c r="R1228" s="53" t="str">
        <f t="shared" si="88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73">
        <f t="shared" si="89"/>
        <v>51</v>
      </c>
      <c r="Z1228" s="18">
        <v>46158</v>
      </c>
      <c r="AA1228" s="15"/>
      <c r="AB1228" s="15"/>
      <c r="AF1228" t="str">
        <f t="shared" si="90"/>
        <v>Closed in May</v>
      </c>
    </row>
    <row r="1229" spans="1:32" hidden="1">
      <c r="A1229" s="6">
        <v>46107</v>
      </c>
      <c r="B1229" s="3">
        <v>2026</v>
      </c>
      <c r="C1229" s="3" t="s">
        <v>114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87"/>
        <v>24</v>
      </c>
      <c r="R1229" s="53" t="str">
        <f t="shared" si="88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73">
        <f t="shared" si="89"/>
        <v>51</v>
      </c>
      <c r="Z1229" s="18">
        <v>46158</v>
      </c>
      <c r="AA1229" s="15"/>
      <c r="AB1229" s="15"/>
      <c r="AF1229" t="str">
        <f t="shared" si="90"/>
        <v>Closed in May</v>
      </c>
    </row>
    <row r="1230" spans="1:32" hidden="1">
      <c r="A1230" s="6">
        <v>46107</v>
      </c>
      <c r="B1230" s="3">
        <v>2026</v>
      </c>
      <c r="C1230" s="3" t="s">
        <v>114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87"/>
        <v>24</v>
      </c>
      <c r="R1230" s="53" t="str">
        <f t="shared" si="88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73">
        <f t="shared" si="89"/>
        <v>51</v>
      </c>
      <c r="Z1230" s="18">
        <v>46158</v>
      </c>
      <c r="AA1230" s="15"/>
      <c r="AB1230" s="15"/>
      <c r="AF1230" t="str">
        <f t="shared" si="90"/>
        <v>Closed in May</v>
      </c>
    </row>
    <row r="1231" spans="1:32" hidden="1">
      <c r="A1231" s="6">
        <v>46107</v>
      </c>
      <c r="B1231" s="3">
        <v>2026</v>
      </c>
      <c r="C1231" s="3" t="s">
        <v>114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87"/>
        <v>24</v>
      </c>
      <c r="R1231" s="53" t="str">
        <f t="shared" si="88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73">
        <f t="shared" si="89"/>
        <v>51</v>
      </c>
      <c r="Z1231" s="18">
        <v>46158</v>
      </c>
      <c r="AA1231" s="15"/>
      <c r="AB1231" s="15"/>
      <c r="AF1231" t="str">
        <f t="shared" si="90"/>
        <v>Closed in May</v>
      </c>
    </row>
    <row r="1232" spans="1:32" hidden="1">
      <c r="A1232" s="6">
        <v>46107</v>
      </c>
      <c r="B1232" s="3">
        <v>2026</v>
      </c>
      <c r="C1232" s="3" t="s">
        <v>114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87"/>
        <v>24</v>
      </c>
      <c r="R1232" s="53" t="str">
        <f t="shared" si="88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73">
        <f t="shared" si="89"/>
        <v>51</v>
      </c>
      <c r="Z1232" s="18">
        <v>46158</v>
      </c>
      <c r="AA1232" s="15"/>
      <c r="AB1232" s="15"/>
      <c r="AF1232" t="str">
        <f t="shared" si="90"/>
        <v>Closed in May</v>
      </c>
    </row>
    <row r="1233" spans="1:32" hidden="1">
      <c r="A1233" s="6">
        <v>46107</v>
      </c>
      <c r="B1233" s="3">
        <v>2026</v>
      </c>
      <c r="C1233" s="3" t="s">
        <v>114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87"/>
        <v>24</v>
      </c>
      <c r="R1233" s="53" t="str">
        <f t="shared" si="88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73">
        <f t="shared" si="89"/>
        <v>51</v>
      </c>
      <c r="Z1233" s="18">
        <v>46158</v>
      </c>
      <c r="AA1233" s="15"/>
      <c r="AB1233" s="15"/>
      <c r="AF1233" t="str">
        <f t="shared" si="90"/>
        <v>Closed in May</v>
      </c>
    </row>
    <row r="1234" spans="1:32" hidden="1">
      <c r="A1234" s="6">
        <v>46107</v>
      </c>
      <c r="B1234" s="3">
        <v>2026</v>
      </c>
      <c r="C1234" s="3" t="s">
        <v>114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87"/>
        <v>24</v>
      </c>
      <c r="R1234" s="53" t="str">
        <f t="shared" si="88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73">
        <f t="shared" si="89"/>
        <v>51</v>
      </c>
      <c r="Z1234" s="18">
        <v>46158</v>
      </c>
      <c r="AA1234" s="15"/>
      <c r="AB1234" s="15"/>
      <c r="AF1234" t="str">
        <f t="shared" si="90"/>
        <v>Closed in May</v>
      </c>
    </row>
    <row r="1235" spans="1:32" hidden="1">
      <c r="A1235" s="6">
        <v>46107</v>
      </c>
      <c r="B1235" s="3">
        <v>2026</v>
      </c>
      <c r="C1235" s="3" t="s">
        <v>114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87"/>
        <v>24</v>
      </c>
      <c r="R1235" s="53" t="str">
        <f t="shared" si="88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73">
        <f t="shared" si="89"/>
        <v>51</v>
      </c>
      <c r="Z1235" s="18">
        <v>46158</v>
      </c>
      <c r="AA1235" s="15"/>
      <c r="AB1235" s="15"/>
      <c r="AF1235" t="str">
        <f t="shared" si="90"/>
        <v>Closed in May</v>
      </c>
    </row>
    <row r="1236" spans="1:32" hidden="1">
      <c r="A1236" s="6">
        <v>46107</v>
      </c>
      <c r="B1236" s="3">
        <v>2026</v>
      </c>
      <c r="C1236" s="3" t="s">
        <v>114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87"/>
        <v>24</v>
      </c>
      <c r="R1236" s="53" t="str">
        <f t="shared" si="88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73">
        <f t="shared" si="89"/>
        <v>51</v>
      </c>
      <c r="Z1236" s="18">
        <v>46158</v>
      </c>
      <c r="AA1236" s="15"/>
      <c r="AB1236" s="15"/>
      <c r="AF1236" t="str">
        <f t="shared" si="90"/>
        <v>Closed in May</v>
      </c>
    </row>
    <row r="1237" spans="1:32" hidden="1">
      <c r="A1237" s="6">
        <v>46107</v>
      </c>
      <c r="B1237" s="3">
        <v>2026</v>
      </c>
      <c r="C1237" s="3" t="s">
        <v>114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87"/>
        <v>24</v>
      </c>
      <c r="R1237" s="53" t="str">
        <f t="shared" si="88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73">
        <f t="shared" si="89"/>
        <v>51</v>
      </c>
      <c r="Z1237" s="18">
        <v>46158</v>
      </c>
      <c r="AA1237" s="15"/>
      <c r="AB1237" s="15"/>
      <c r="AF1237" t="str">
        <f t="shared" si="90"/>
        <v>Closed in May</v>
      </c>
    </row>
    <row r="1238" spans="1:32" hidden="1">
      <c r="A1238" s="6">
        <v>46107</v>
      </c>
      <c r="B1238" s="3">
        <v>2026</v>
      </c>
      <c r="C1238" s="3" t="s">
        <v>114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87"/>
        <v>24</v>
      </c>
      <c r="R1238" s="53" t="str">
        <f t="shared" si="88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73">
        <f t="shared" si="89"/>
        <v>51</v>
      </c>
      <c r="Z1238" s="18">
        <v>46158</v>
      </c>
      <c r="AA1238" s="15"/>
      <c r="AB1238" s="15"/>
      <c r="AF1238" t="str">
        <f t="shared" si="90"/>
        <v>Closed in May</v>
      </c>
    </row>
    <row r="1239" spans="1:32" hidden="1">
      <c r="A1239" s="6">
        <v>46107</v>
      </c>
      <c r="B1239" s="3">
        <v>2026</v>
      </c>
      <c r="C1239" s="3" t="s">
        <v>114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87"/>
        <v>24</v>
      </c>
      <c r="R1239" s="53" t="str">
        <f t="shared" si="88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73">
        <f t="shared" si="89"/>
        <v>51</v>
      </c>
      <c r="Z1239" s="18">
        <v>46158</v>
      </c>
      <c r="AA1239" s="15"/>
      <c r="AB1239" s="15"/>
      <c r="AF1239" t="str">
        <f t="shared" si="90"/>
        <v>Closed in May</v>
      </c>
    </row>
    <row r="1240" spans="1:32" hidden="1">
      <c r="A1240" s="6">
        <v>46107</v>
      </c>
      <c r="B1240" s="3">
        <v>2026</v>
      </c>
      <c r="C1240" s="3" t="s">
        <v>114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87"/>
        <v>24</v>
      </c>
      <c r="R1240" s="53" t="str">
        <f t="shared" si="88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73">
        <f t="shared" si="89"/>
        <v>51</v>
      </c>
      <c r="Z1240" s="18">
        <v>46158</v>
      </c>
      <c r="AA1240" s="15"/>
      <c r="AB1240" s="15"/>
      <c r="AF1240" t="str">
        <f t="shared" si="90"/>
        <v>Closed in May</v>
      </c>
    </row>
    <row r="1241" spans="1:32" hidden="1">
      <c r="A1241" s="6">
        <v>46107</v>
      </c>
      <c r="B1241" s="3">
        <v>2026</v>
      </c>
      <c r="C1241" s="3" t="s">
        <v>114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87"/>
        <v>24</v>
      </c>
      <c r="R1241" s="53" t="str">
        <f t="shared" si="88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73">
        <f t="shared" si="89"/>
        <v>51</v>
      </c>
      <c r="Z1241" s="18">
        <v>46158</v>
      </c>
      <c r="AA1241" s="15"/>
      <c r="AB1241" s="15"/>
      <c r="AF1241" t="str">
        <f t="shared" si="90"/>
        <v>Closed in May</v>
      </c>
    </row>
    <row r="1242" spans="1:32" hidden="1">
      <c r="A1242" s="6">
        <v>46107</v>
      </c>
      <c r="B1242" s="3">
        <v>2026</v>
      </c>
      <c r="C1242" s="3" t="s">
        <v>114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87"/>
        <v>24</v>
      </c>
      <c r="R1242" s="53" t="str">
        <f t="shared" si="88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73">
        <f t="shared" si="89"/>
        <v>51</v>
      </c>
      <c r="Z1242" s="18">
        <v>46158</v>
      </c>
      <c r="AA1242" s="15"/>
      <c r="AB1242" s="15"/>
      <c r="AF1242" t="str">
        <f t="shared" si="90"/>
        <v>Closed in May</v>
      </c>
    </row>
    <row r="1243" spans="1:32" hidden="1">
      <c r="A1243" s="6">
        <v>46107</v>
      </c>
      <c r="B1243" s="3">
        <v>2026</v>
      </c>
      <c r="C1243" s="3" t="s">
        <v>114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87"/>
        <v>24</v>
      </c>
      <c r="R1243" s="53" t="str">
        <f t="shared" si="88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73">
        <f t="shared" si="89"/>
        <v>51</v>
      </c>
      <c r="Z1243" s="18">
        <v>46158</v>
      </c>
      <c r="AA1243" s="15"/>
      <c r="AB1243" s="15"/>
      <c r="AF1243" t="str">
        <f t="shared" si="90"/>
        <v>Closed in May</v>
      </c>
    </row>
    <row r="1244" spans="1:32" hidden="1">
      <c r="A1244" s="6">
        <v>46107</v>
      </c>
      <c r="B1244" s="3">
        <v>2026</v>
      </c>
      <c r="C1244" s="3" t="s">
        <v>114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87"/>
        <v>24</v>
      </c>
      <c r="R1244" s="53" t="str">
        <f t="shared" si="88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73">
        <f t="shared" si="89"/>
        <v>51</v>
      </c>
      <c r="Z1244" s="18">
        <v>46158</v>
      </c>
      <c r="AA1244" s="15"/>
      <c r="AB1244" s="15"/>
      <c r="AF1244" t="str">
        <f t="shared" si="90"/>
        <v>Closed in May</v>
      </c>
    </row>
    <row r="1245" spans="1:32" hidden="1">
      <c r="A1245" s="6">
        <v>46107</v>
      </c>
      <c r="B1245" s="3">
        <v>2026</v>
      </c>
      <c r="C1245" s="3" t="s">
        <v>114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87"/>
        <v>24</v>
      </c>
      <c r="R1245" s="53" t="str">
        <f t="shared" si="88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73">
        <f t="shared" si="89"/>
        <v>51</v>
      </c>
      <c r="Z1245" s="18">
        <v>46158</v>
      </c>
      <c r="AA1245" s="15"/>
      <c r="AB1245" s="15"/>
      <c r="AF1245" t="str">
        <f t="shared" si="90"/>
        <v>Closed in May</v>
      </c>
    </row>
    <row r="1246" spans="1:32" hidden="1">
      <c r="A1246" s="6">
        <v>46107</v>
      </c>
      <c r="B1246" s="3">
        <v>2026</v>
      </c>
      <c r="C1246" s="3" t="s">
        <v>114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87"/>
        <v>24</v>
      </c>
      <c r="R1246" s="53" t="str">
        <f t="shared" si="88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73">
        <f t="shared" si="89"/>
        <v>51</v>
      </c>
      <c r="Z1246" s="18">
        <v>46158</v>
      </c>
      <c r="AA1246" s="15"/>
      <c r="AB1246" s="15"/>
      <c r="AF1246" t="str">
        <f t="shared" si="90"/>
        <v>Closed in May</v>
      </c>
    </row>
    <row r="1247" spans="1:32" hidden="1">
      <c r="A1247" s="6">
        <v>46107</v>
      </c>
      <c r="B1247" s="3">
        <v>2026</v>
      </c>
      <c r="C1247" s="3" t="s">
        <v>114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87"/>
        <v>24</v>
      </c>
      <c r="R1247" s="53" t="str">
        <f t="shared" si="88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73">
        <f t="shared" si="89"/>
        <v>51</v>
      </c>
      <c r="Z1247" s="18">
        <v>46158</v>
      </c>
      <c r="AA1247" s="15"/>
      <c r="AB1247" s="15"/>
      <c r="AF1247" t="str">
        <f t="shared" si="90"/>
        <v>Closed in May</v>
      </c>
    </row>
    <row r="1248" spans="1:32" hidden="1">
      <c r="A1248" s="6">
        <v>46107</v>
      </c>
      <c r="B1248" s="3">
        <v>2026</v>
      </c>
      <c r="C1248" s="3" t="s">
        <v>114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87"/>
        <v>24</v>
      </c>
      <c r="R1248" s="53" t="str">
        <f t="shared" si="88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73">
        <f t="shared" si="89"/>
        <v>51</v>
      </c>
      <c r="Z1248" s="18">
        <v>46158</v>
      </c>
      <c r="AA1248" s="15"/>
      <c r="AB1248" s="15"/>
      <c r="AF1248" t="str">
        <f t="shared" si="90"/>
        <v>Closed in May</v>
      </c>
    </row>
    <row r="1249" spans="1:32" hidden="1">
      <c r="A1249" s="6">
        <v>46107</v>
      </c>
      <c r="B1249" s="3">
        <v>2026</v>
      </c>
      <c r="C1249" s="3" t="s">
        <v>114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87"/>
        <v>24</v>
      </c>
      <c r="R1249" s="53" t="str">
        <f t="shared" si="88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73">
        <f t="shared" si="89"/>
        <v>51</v>
      </c>
      <c r="Z1249" s="18">
        <v>46158</v>
      </c>
      <c r="AA1249" s="15"/>
      <c r="AB1249" s="15"/>
      <c r="AF1249" t="str">
        <f t="shared" si="90"/>
        <v>Closed in May</v>
      </c>
    </row>
    <row r="1250" spans="1:32" hidden="1">
      <c r="A1250" s="6">
        <v>46107</v>
      </c>
      <c r="B1250" s="3">
        <v>2026</v>
      </c>
      <c r="C1250" s="3" t="s">
        <v>114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87"/>
        <v>24</v>
      </c>
      <c r="R1250" s="53" t="str">
        <f t="shared" si="88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73">
        <f t="shared" si="89"/>
        <v>51</v>
      </c>
      <c r="Z1250" s="18">
        <v>46158</v>
      </c>
      <c r="AA1250" s="15"/>
      <c r="AB1250" s="15"/>
      <c r="AF1250" t="str">
        <f t="shared" si="90"/>
        <v>Closed in May</v>
      </c>
    </row>
    <row r="1251" spans="1:32" hidden="1">
      <c r="A1251" s="6">
        <v>46107</v>
      </c>
      <c r="B1251" s="3">
        <v>2026</v>
      </c>
      <c r="C1251" s="3" t="s">
        <v>114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87"/>
        <v>24</v>
      </c>
      <c r="R1251" s="53" t="str">
        <f t="shared" si="88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73">
        <f t="shared" si="89"/>
        <v>51</v>
      </c>
      <c r="Z1251" s="18">
        <v>46158</v>
      </c>
      <c r="AA1251" s="15"/>
      <c r="AB1251" s="15"/>
      <c r="AF1251" t="str">
        <f t="shared" si="90"/>
        <v>Closed in May</v>
      </c>
    </row>
    <row r="1252" spans="1:32" hidden="1">
      <c r="A1252" s="6">
        <v>46107</v>
      </c>
      <c r="B1252" s="3">
        <v>2026</v>
      </c>
      <c r="C1252" s="3" t="s">
        <v>114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87"/>
        <v>24</v>
      </c>
      <c r="R1252" s="53" t="str">
        <f t="shared" si="88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73">
        <f t="shared" si="89"/>
        <v>51</v>
      </c>
      <c r="Z1252" s="18">
        <v>46158</v>
      </c>
      <c r="AA1252" s="15"/>
      <c r="AB1252" s="15"/>
      <c r="AF1252" t="str">
        <f t="shared" si="90"/>
        <v>Closed in May</v>
      </c>
    </row>
    <row r="1253" spans="1:32" hidden="1">
      <c r="A1253" s="6">
        <v>46107</v>
      </c>
      <c r="B1253" s="3">
        <v>2026</v>
      </c>
      <c r="C1253" s="3" t="s">
        <v>114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87"/>
        <v>24</v>
      </c>
      <c r="R1253" s="53" t="str">
        <f t="shared" si="88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73">
        <f t="shared" si="89"/>
        <v>51</v>
      </c>
      <c r="Z1253" s="18">
        <v>46158</v>
      </c>
      <c r="AA1253" s="15"/>
      <c r="AB1253" s="15"/>
      <c r="AF1253" t="str">
        <f t="shared" si="90"/>
        <v>Closed in May</v>
      </c>
    </row>
    <row r="1254" spans="1:32" hidden="1">
      <c r="A1254" s="6">
        <v>46107</v>
      </c>
      <c r="B1254" s="3">
        <v>2026</v>
      </c>
      <c r="C1254" s="3" t="s">
        <v>114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87"/>
        <v>24</v>
      </c>
      <c r="R1254" s="53" t="str">
        <f t="shared" si="88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73">
        <f t="shared" si="89"/>
        <v>51</v>
      </c>
      <c r="Z1254" s="18">
        <v>46158</v>
      </c>
      <c r="AA1254" s="15"/>
      <c r="AB1254" s="15"/>
      <c r="AF1254" t="str">
        <f t="shared" si="90"/>
        <v>Closed in May</v>
      </c>
    </row>
    <row r="1255" spans="1:32" hidden="1">
      <c r="A1255" s="6">
        <v>46107</v>
      </c>
      <c r="B1255" s="3">
        <v>2026</v>
      </c>
      <c r="C1255" s="3" t="s">
        <v>114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91">MID(P1255,5,2)</f>
        <v>24</v>
      </c>
      <c r="R1255" s="53" t="str">
        <f t="shared" ref="R1255:R1318" si="92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73">
        <f t="shared" si="89"/>
        <v>51</v>
      </c>
      <c r="Z1255" s="18">
        <v>46158</v>
      </c>
      <c r="AA1255" s="15"/>
      <c r="AB1255" s="15"/>
      <c r="AF1255" t="str">
        <f t="shared" si="90"/>
        <v>Closed in May</v>
      </c>
    </row>
    <row r="1256" spans="1:32" hidden="1">
      <c r="A1256" s="6">
        <v>46107</v>
      </c>
      <c r="B1256" s="3">
        <v>2026</v>
      </c>
      <c r="C1256" s="3" t="s">
        <v>114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91"/>
        <v>24</v>
      </c>
      <c r="R1256" s="53" t="str">
        <f t="shared" si="92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73">
        <f t="shared" si="89"/>
        <v>51</v>
      </c>
      <c r="Z1256" s="18">
        <v>46158</v>
      </c>
      <c r="AA1256" s="15"/>
      <c r="AB1256" s="15"/>
      <c r="AF1256" t="str">
        <f t="shared" si="90"/>
        <v>Closed in May</v>
      </c>
    </row>
    <row r="1257" spans="1:32" hidden="1">
      <c r="A1257" s="6">
        <v>46107</v>
      </c>
      <c r="B1257" s="3">
        <v>2026</v>
      </c>
      <c r="C1257" s="3" t="s">
        <v>114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91"/>
        <v>24</v>
      </c>
      <c r="R1257" s="53" t="str">
        <f t="shared" si="92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73">
        <f t="shared" si="89"/>
        <v>51</v>
      </c>
      <c r="Z1257" s="18">
        <v>46158</v>
      </c>
      <c r="AA1257" s="15"/>
      <c r="AB1257" s="15"/>
      <c r="AF1257" t="str">
        <f t="shared" si="90"/>
        <v>Closed in May</v>
      </c>
    </row>
    <row r="1258" spans="1:32" hidden="1">
      <c r="A1258" s="6">
        <v>46107</v>
      </c>
      <c r="B1258" s="3">
        <v>2026</v>
      </c>
      <c r="C1258" s="3" t="s">
        <v>114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91"/>
        <v>24</v>
      </c>
      <c r="R1258" s="53" t="str">
        <f t="shared" si="92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73">
        <f t="shared" si="89"/>
        <v>51</v>
      </c>
      <c r="Z1258" s="18">
        <v>46158</v>
      </c>
      <c r="AA1258" s="15"/>
      <c r="AB1258" s="15"/>
      <c r="AF1258" t="str">
        <f t="shared" si="90"/>
        <v>Closed in May</v>
      </c>
    </row>
    <row r="1259" spans="1:32" hidden="1">
      <c r="A1259" s="6">
        <v>46107</v>
      </c>
      <c r="B1259" s="3">
        <v>2026</v>
      </c>
      <c r="C1259" s="3" t="s">
        <v>114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91"/>
        <v>24</v>
      </c>
      <c r="R1259" s="53" t="str">
        <f t="shared" si="92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73">
        <f t="shared" si="89"/>
        <v>51</v>
      </c>
      <c r="Z1259" s="18">
        <v>46158</v>
      </c>
      <c r="AA1259" s="15"/>
      <c r="AB1259" s="15"/>
      <c r="AF1259" t="str">
        <f t="shared" si="90"/>
        <v>Closed in May</v>
      </c>
    </row>
    <row r="1260" spans="1:32" hidden="1">
      <c r="A1260" s="6">
        <v>46107</v>
      </c>
      <c r="B1260" s="3">
        <v>2026</v>
      </c>
      <c r="C1260" s="3" t="s">
        <v>114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91"/>
        <v>24</v>
      </c>
      <c r="R1260" s="53" t="str">
        <f t="shared" si="92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73">
        <f t="shared" si="89"/>
        <v>51</v>
      </c>
      <c r="Z1260" s="18">
        <v>46158</v>
      </c>
      <c r="AA1260" s="15"/>
      <c r="AB1260" s="15"/>
      <c r="AF1260" t="str">
        <f t="shared" si="90"/>
        <v>Closed in May</v>
      </c>
    </row>
    <row r="1261" spans="1:32" hidden="1">
      <c r="A1261" s="6">
        <v>46107</v>
      </c>
      <c r="B1261" s="3">
        <v>2026</v>
      </c>
      <c r="C1261" s="3" t="s">
        <v>114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91"/>
        <v>24</v>
      </c>
      <c r="R1261" s="53" t="str">
        <f t="shared" si="92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73">
        <f t="shared" si="89"/>
        <v>51</v>
      </c>
      <c r="Z1261" s="18">
        <v>46158</v>
      </c>
      <c r="AA1261" s="15"/>
      <c r="AB1261" s="15"/>
      <c r="AF1261" t="str">
        <f t="shared" si="90"/>
        <v>Closed in May</v>
      </c>
    </row>
    <row r="1262" spans="1:32" hidden="1">
      <c r="A1262" s="6">
        <v>46107</v>
      </c>
      <c r="B1262" s="3">
        <v>2026</v>
      </c>
      <c r="C1262" s="3" t="s">
        <v>114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91"/>
        <v>24</v>
      </c>
      <c r="R1262" s="53" t="str">
        <f t="shared" si="92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73">
        <f t="shared" si="89"/>
        <v>52</v>
      </c>
      <c r="Z1262" s="18">
        <v>46159</v>
      </c>
      <c r="AA1262" s="15"/>
      <c r="AB1262" s="15"/>
      <c r="AF1262" t="str">
        <f t="shared" si="90"/>
        <v>Closed in May</v>
      </c>
    </row>
    <row r="1263" spans="1:32" hidden="1">
      <c r="A1263" s="6">
        <v>46107</v>
      </c>
      <c r="B1263" s="3">
        <v>2026</v>
      </c>
      <c r="C1263" s="3" t="s">
        <v>114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91"/>
        <v>24</v>
      </c>
      <c r="R1263" s="53" t="str">
        <f t="shared" si="92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73">
        <f t="shared" si="89"/>
        <v>52</v>
      </c>
      <c r="Z1263" s="18">
        <v>46159</v>
      </c>
      <c r="AA1263" s="15"/>
      <c r="AB1263" s="15"/>
      <c r="AF1263" t="str">
        <f t="shared" si="90"/>
        <v>Closed in May</v>
      </c>
    </row>
    <row r="1264" spans="1:32" hidden="1">
      <c r="A1264" s="6">
        <v>46107</v>
      </c>
      <c r="B1264" s="3">
        <v>2026</v>
      </c>
      <c r="C1264" s="3" t="s">
        <v>114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91"/>
        <v>24</v>
      </c>
      <c r="R1264" s="53" t="str">
        <f t="shared" si="92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73">
        <f t="shared" si="89"/>
        <v>52</v>
      </c>
      <c r="Z1264" s="18">
        <v>46159</v>
      </c>
      <c r="AA1264" s="15"/>
      <c r="AB1264" s="15"/>
      <c r="AF1264" t="str">
        <f t="shared" si="90"/>
        <v>Closed in May</v>
      </c>
    </row>
    <row r="1265" spans="1:32" hidden="1">
      <c r="A1265" s="6">
        <v>46107</v>
      </c>
      <c r="B1265" s="3">
        <v>2026</v>
      </c>
      <c r="C1265" s="3" t="s">
        <v>114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91"/>
        <v>24</v>
      </c>
      <c r="R1265" s="53" t="str">
        <f t="shared" si="92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73">
        <f t="shared" si="89"/>
        <v>52</v>
      </c>
      <c r="Z1265" s="18">
        <v>46159</v>
      </c>
      <c r="AA1265" s="15"/>
      <c r="AB1265" s="15"/>
      <c r="AF1265" t="str">
        <f t="shared" si="90"/>
        <v>Closed in May</v>
      </c>
    </row>
    <row r="1266" spans="1:32" hidden="1">
      <c r="A1266" s="6">
        <v>46107</v>
      </c>
      <c r="B1266" s="3">
        <v>2026</v>
      </c>
      <c r="C1266" s="3" t="s">
        <v>114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91"/>
        <v>24</v>
      </c>
      <c r="R1266" s="53" t="str">
        <f t="shared" si="92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73">
        <f t="shared" si="89"/>
        <v>52</v>
      </c>
      <c r="Z1266" s="18">
        <v>46159</v>
      </c>
      <c r="AA1266" s="15"/>
      <c r="AB1266" s="15"/>
      <c r="AF1266" t="str">
        <f t="shared" si="90"/>
        <v>Closed in May</v>
      </c>
    </row>
    <row r="1267" spans="1:32" hidden="1">
      <c r="A1267" s="6">
        <v>46107</v>
      </c>
      <c r="B1267" s="3">
        <v>2026</v>
      </c>
      <c r="C1267" s="3" t="s">
        <v>114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91"/>
        <v>24</v>
      </c>
      <c r="R1267" s="53" t="str">
        <f t="shared" si="92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73">
        <f t="shared" si="89"/>
        <v>52</v>
      </c>
      <c r="Z1267" s="18">
        <v>46159</v>
      </c>
      <c r="AA1267" s="15"/>
      <c r="AB1267" s="15"/>
      <c r="AF1267" t="str">
        <f t="shared" si="90"/>
        <v>Closed in May</v>
      </c>
    </row>
    <row r="1268" spans="1:32" hidden="1">
      <c r="A1268" s="6">
        <v>46107</v>
      </c>
      <c r="B1268" s="3">
        <v>2026</v>
      </c>
      <c r="C1268" s="3" t="s">
        <v>114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91"/>
        <v>24</v>
      </c>
      <c r="R1268" s="53" t="str">
        <f t="shared" si="92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73">
        <f t="shared" si="89"/>
        <v>52</v>
      </c>
      <c r="Z1268" s="18">
        <v>46159</v>
      </c>
      <c r="AA1268" s="15"/>
      <c r="AB1268" s="15"/>
      <c r="AF1268" t="str">
        <f t="shared" si="90"/>
        <v>Closed in May</v>
      </c>
    </row>
    <row r="1269" spans="1:32" hidden="1">
      <c r="A1269" s="6">
        <v>46107</v>
      </c>
      <c r="B1269" s="3">
        <v>2026</v>
      </c>
      <c r="C1269" s="3" t="s">
        <v>114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91"/>
        <v>24</v>
      </c>
      <c r="R1269" s="53" t="str">
        <f t="shared" si="92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73">
        <f t="shared" si="89"/>
        <v>52</v>
      </c>
      <c r="Z1269" s="18">
        <v>46159</v>
      </c>
      <c r="AA1269" s="15"/>
      <c r="AB1269" s="15"/>
      <c r="AF1269" t="str">
        <f t="shared" si="90"/>
        <v>Closed in May</v>
      </c>
    </row>
    <row r="1270" spans="1:32" hidden="1">
      <c r="A1270" s="6">
        <v>46107</v>
      </c>
      <c r="B1270" s="3">
        <v>2026</v>
      </c>
      <c r="C1270" s="3" t="s">
        <v>114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91"/>
        <v>24</v>
      </c>
      <c r="R1270" s="53" t="str">
        <f t="shared" si="92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73">
        <f t="shared" si="89"/>
        <v>52</v>
      </c>
      <c r="Z1270" s="18">
        <v>46159</v>
      </c>
      <c r="AA1270" s="15"/>
      <c r="AB1270" s="15"/>
      <c r="AF1270" t="str">
        <f t="shared" si="90"/>
        <v>Closed in May</v>
      </c>
    </row>
    <row r="1271" spans="1:32" hidden="1">
      <c r="A1271" s="6">
        <v>46107</v>
      </c>
      <c r="B1271" s="3">
        <v>2026</v>
      </c>
      <c r="C1271" s="3" t="s">
        <v>114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91"/>
        <v>24</v>
      </c>
      <c r="R1271" s="53" t="str">
        <f t="shared" si="92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73">
        <f t="shared" si="89"/>
        <v>52</v>
      </c>
      <c r="Z1271" s="18">
        <v>46159</v>
      </c>
      <c r="AA1271" s="15"/>
      <c r="AB1271" s="15"/>
      <c r="AF1271" t="str">
        <f t="shared" si="90"/>
        <v>Closed in May</v>
      </c>
    </row>
    <row r="1272" spans="1:32" hidden="1">
      <c r="A1272" s="6">
        <v>46107</v>
      </c>
      <c r="B1272" s="3">
        <v>2026</v>
      </c>
      <c r="C1272" s="3" t="s">
        <v>114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91"/>
        <v>24</v>
      </c>
      <c r="R1272" s="53" t="str">
        <f t="shared" si="92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73">
        <f t="shared" si="89"/>
        <v>52</v>
      </c>
      <c r="Z1272" s="18">
        <v>46159</v>
      </c>
      <c r="AA1272" s="15"/>
      <c r="AB1272" s="15"/>
      <c r="AF1272" t="str">
        <f t="shared" si="90"/>
        <v>Closed in May</v>
      </c>
    </row>
    <row r="1273" spans="1:32" hidden="1">
      <c r="A1273" s="6">
        <v>46107</v>
      </c>
      <c r="B1273" s="3">
        <v>2026</v>
      </c>
      <c r="C1273" s="3" t="s">
        <v>114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91"/>
        <v>24</v>
      </c>
      <c r="R1273" s="53" t="str">
        <f t="shared" si="92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73">
        <f t="shared" si="89"/>
        <v>52</v>
      </c>
      <c r="Z1273" s="18">
        <v>46159</v>
      </c>
      <c r="AA1273" s="15"/>
      <c r="AB1273" s="15"/>
      <c r="AF1273" t="str">
        <f t="shared" si="90"/>
        <v>Closed in May</v>
      </c>
    </row>
    <row r="1274" spans="1:32" hidden="1">
      <c r="A1274" s="6">
        <v>46107</v>
      </c>
      <c r="B1274" s="3">
        <v>2026</v>
      </c>
      <c r="C1274" s="3" t="s">
        <v>114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91"/>
        <v>24</v>
      </c>
      <c r="R1274" s="53" t="str">
        <f t="shared" si="92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73">
        <f t="shared" si="89"/>
        <v>52</v>
      </c>
      <c r="Z1274" s="18">
        <v>46159</v>
      </c>
      <c r="AA1274" s="15"/>
      <c r="AB1274" s="15"/>
      <c r="AF1274" t="str">
        <f t="shared" si="90"/>
        <v>Closed in May</v>
      </c>
    </row>
    <row r="1275" spans="1:32" hidden="1">
      <c r="A1275" s="6">
        <v>46107</v>
      </c>
      <c r="B1275" s="3">
        <v>2026</v>
      </c>
      <c r="C1275" s="3" t="s">
        <v>114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91"/>
        <v>24</v>
      </c>
      <c r="R1275" s="53" t="str">
        <f t="shared" si="92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73">
        <f t="shared" si="89"/>
        <v>52</v>
      </c>
      <c r="Z1275" s="18">
        <v>46159</v>
      </c>
      <c r="AA1275" s="15"/>
      <c r="AB1275" s="15"/>
      <c r="AF1275" t="str">
        <f t="shared" si="90"/>
        <v>Closed in May</v>
      </c>
    </row>
    <row r="1276" spans="1:32" hidden="1">
      <c r="A1276" s="6">
        <v>46107</v>
      </c>
      <c r="B1276" s="3">
        <v>2026</v>
      </c>
      <c r="C1276" s="3" t="s">
        <v>114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91"/>
        <v>24</v>
      </c>
      <c r="R1276" s="53" t="str">
        <f t="shared" si="92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73">
        <f t="shared" si="89"/>
        <v>52</v>
      </c>
      <c r="Z1276" s="18">
        <v>46159</v>
      </c>
      <c r="AA1276" s="15"/>
      <c r="AB1276" s="15"/>
      <c r="AF1276" t="str">
        <f t="shared" si="90"/>
        <v>Closed in May</v>
      </c>
    </row>
    <row r="1277" spans="1:32" hidden="1">
      <c r="A1277" s="6">
        <v>46107</v>
      </c>
      <c r="B1277" s="3">
        <v>2026</v>
      </c>
      <c r="C1277" s="3" t="s">
        <v>114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91"/>
        <v>24</v>
      </c>
      <c r="R1277" s="53" t="str">
        <f t="shared" si="92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73">
        <f t="shared" si="89"/>
        <v>52</v>
      </c>
      <c r="Z1277" s="18">
        <v>46159</v>
      </c>
      <c r="AA1277" s="15"/>
      <c r="AB1277" s="15"/>
      <c r="AF1277" t="str">
        <f t="shared" si="90"/>
        <v>Closed in May</v>
      </c>
    </row>
    <row r="1278" spans="1:32" hidden="1">
      <c r="A1278" s="6">
        <v>46107</v>
      </c>
      <c r="B1278" s="3">
        <v>2026</v>
      </c>
      <c r="C1278" s="3" t="s">
        <v>114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91"/>
        <v>24</v>
      </c>
      <c r="R1278" s="53" t="str">
        <f t="shared" si="92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73">
        <f t="shared" si="89"/>
        <v>52</v>
      </c>
      <c r="Z1278" s="18">
        <v>46159</v>
      </c>
      <c r="AA1278" s="15"/>
      <c r="AB1278" s="15"/>
      <c r="AF1278" t="str">
        <f t="shared" si="90"/>
        <v>Closed in May</v>
      </c>
    </row>
    <row r="1279" spans="1:32" hidden="1">
      <c r="A1279" s="6">
        <v>46107</v>
      </c>
      <c r="B1279" s="3">
        <v>2026</v>
      </c>
      <c r="C1279" s="3" t="s">
        <v>114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91"/>
        <v>24</v>
      </c>
      <c r="R1279" s="53" t="str">
        <f t="shared" si="92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73">
        <f t="shared" si="89"/>
        <v>52</v>
      </c>
      <c r="Z1279" s="18">
        <v>46159</v>
      </c>
      <c r="AA1279" s="15"/>
      <c r="AB1279" s="15"/>
      <c r="AF1279" t="str">
        <f t="shared" si="90"/>
        <v>Closed in May</v>
      </c>
    </row>
    <row r="1280" spans="1:32" hidden="1">
      <c r="A1280" s="6">
        <v>46107</v>
      </c>
      <c r="B1280" s="3">
        <v>2026</v>
      </c>
      <c r="C1280" s="3" t="s">
        <v>114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91"/>
        <v>24</v>
      </c>
      <c r="R1280" s="53" t="str">
        <f t="shared" si="92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73">
        <f t="shared" si="89"/>
        <v>52</v>
      </c>
      <c r="Z1280" s="18">
        <v>46159</v>
      </c>
      <c r="AA1280" s="15"/>
      <c r="AB1280" s="15"/>
      <c r="AF1280" t="str">
        <f t="shared" si="90"/>
        <v>Closed in May</v>
      </c>
    </row>
    <row r="1281" spans="1:32" hidden="1">
      <c r="A1281" s="6">
        <v>46107</v>
      </c>
      <c r="B1281" s="3">
        <v>2026</v>
      </c>
      <c r="C1281" s="3" t="s">
        <v>114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91"/>
        <v>24</v>
      </c>
      <c r="R1281" s="53" t="str">
        <f t="shared" si="92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73">
        <f t="shared" si="89"/>
        <v>52</v>
      </c>
      <c r="Z1281" s="18">
        <v>46159</v>
      </c>
      <c r="AA1281" s="15"/>
      <c r="AB1281" s="15"/>
      <c r="AF1281" t="str">
        <f t="shared" si="90"/>
        <v>Closed in May</v>
      </c>
    </row>
    <row r="1282" spans="1:32" hidden="1">
      <c r="A1282" s="6">
        <v>46107</v>
      </c>
      <c r="B1282" s="3">
        <v>2026</v>
      </c>
      <c r="C1282" s="3" t="s">
        <v>114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91"/>
        <v>24</v>
      </c>
      <c r="R1282" s="53" t="str">
        <f t="shared" si="92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73">
        <f t="shared" ref="Y1282:Y1345" si="93">IF(X1282="","",X1282-A1282)</f>
        <v>52</v>
      </c>
      <c r="Z1282" s="18">
        <v>46159</v>
      </c>
      <c r="AA1282" s="15"/>
      <c r="AB1282" s="15"/>
      <c r="AF1282" t="str">
        <f t="shared" ref="AF1282:AF1345" si="94">IF(AND($F1282="Closed",$X1282&gt;=DATE(2026,5,1),$X1282&lt;=DATE(2026,5,31)),"Closed in May","Other")</f>
        <v>Closed in May</v>
      </c>
    </row>
    <row r="1283" spans="1:32" hidden="1">
      <c r="A1283" s="6">
        <v>46107</v>
      </c>
      <c r="B1283" s="3">
        <v>2026</v>
      </c>
      <c r="C1283" s="3" t="s">
        <v>114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91"/>
        <v>24</v>
      </c>
      <c r="R1283" s="53" t="str">
        <f t="shared" si="92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73">
        <f t="shared" si="93"/>
        <v>52</v>
      </c>
      <c r="Z1283" s="18">
        <v>46159</v>
      </c>
      <c r="AA1283" s="15"/>
      <c r="AB1283" s="15"/>
      <c r="AF1283" t="str">
        <f t="shared" si="94"/>
        <v>Closed in May</v>
      </c>
    </row>
    <row r="1284" spans="1:32" hidden="1">
      <c r="A1284" s="6">
        <v>46107</v>
      </c>
      <c r="B1284" s="3">
        <v>2026</v>
      </c>
      <c r="C1284" s="3" t="s">
        <v>114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91"/>
        <v>24</v>
      </c>
      <c r="R1284" s="53" t="str">
        <f t="shared" si="92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73">
        <f t="shared" si="93"/>
        <v>52</v>
      </c>
      <c r="Z1284" s="18">
        <v>46159</v>
      </c>
      <c r="AA1284" s="15"/>
      <c r="AB1284" s="15"/>
      <c r="AF1284" t="str">
        <f t="shared" si="94"/>
        <v>Closed in May</v>
      </c>
    </row>
    <row r="1285" spans="1:32" hidden="1">
      <c r="A1285" s="6">
        <v>46107</v>
      </c>
      <c r="B1285" s="3">
        <v>2026</v>
      </c>
      <c r="C1285" s="3" t="s">
        <v>114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91"/>
        <v>24</v>
      </c>
      <c r="R1285" s="53" t="str">
        <f t="shared" si="92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73">
        <f t="shared" si="93"/>
        <v>52</v>
      </c>
      <c r="Z1285" s="18">
        <v>46159</v>
      </c>
      <c r="AA1285" s="15"/>
      <c r="AB1285" s="15"/>
      <c r="AF1285" t="str">
        <f t="shared" si="94"/>
        <v>Closed in May</v>
      </c>
    </row>
    <row r="1286" spans="1:32" hidden="1">
      <c r="A1286" s="6">
        <v>46107</v>
      </c>
      <c r="B1286" s="3">
        <v>2026</v>
      </c>
      <c r="C1286" s="3" t="s">
        <v>114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91"/>
        <v>24</v>
      </c>
      <c r="R1286" s="53" t="str">
        <f t="shared" si="92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73">
        <f t="shared" si="93"/>
        <v>52</v>
      </c>
      <c r="Z1286" s="18">
        <v>46159</v>
      </c>
      <c r="AA1286" s="15"/>
      <c r="AB1286" s="15"/>
      <c r="AF1286" t="str">
        <f t="shared" si="94"/>
        <v>Closed in May</v>
      </c>
    </row>
    <row r="1287" spans="1:32" hidden="1">
      <c r="A1287" s="6">
        <v>46107</v>
      </c>
      <c r="B1287" s="3">
        <v>2026</v>
      </c>
      <c r="C1287" s="3" t="s">
        <v>114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91"/>
        <v>24</v>
      </c>
      <c r="R1287" s="53" t="str">
        <f t="shared" si="92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73">
        <f t="shared" si="93"/>
        <v>52</v>
      </c>
      <c r="Z1287" s="18">
        <v>46159</v>
      </c>
      <c r="AA1287" s="15"/>
      <c r="AB1287" s="15"/>
      <c r="AF1287" t="str">
        <f t="shared" si="94"/>
        <v>Closed in May</v>
      </c>
    </row>
    <row r="1288" spans="1:32">
      <c r="A1288" s="6">
        <v>46107</v>
      </c>
      <c r="B1288" s="3">
        <v>2026</v>
      </c>
      <c r="C1288" s="3" t="s">
        <v>114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91"/>
        <v>24</v>
      </c>
      <c r="R1288" s="53" t="str">
        <f t="shared" si="92"/>
        <v>05</v>
      </c>
      <c r="S1288" s="3" t="s">
        <v>121</v>
      </c>
      <c r="T1288" s="3" t="s">
        <v>122</v>
      </c>
      <c r="U1288" s="3" t="s">
        <v>1475</v>
      </c>
      <c r="V1288" s="3" t="s">
        <v>64</v>
      </c>
      <c r="W1288" s="3" t="s">
        <v>3134</v>
      </c>
      <c r="X1288" s="18"/>
      <c r="Y1288" s="73" t="str">
        <f t="shared" si="93"/>
        <v/>
      </c>
      <c r="Z1288" s="18">
        <v>46159</v>
      </c>
      <c r="AA1288" s="15"/>
      <c r="AB1288" s="15"/>
      <c r="AF1288" t="str">
        <f t="shared" si="94"/>
        <v>Other</v>
      </c>
    </row>
    <row r="1289" spans="1:32" hidden="1">
      <c r="A1289" s="6">
        <v>46107</v>
      </c>
      <c r="B1289" s="3">
        <v>2026</v>
      </c>
      <c r="C1289" s="3" t="s">
        <v>114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91"/>
        <v>24</v>
      </c>
      <c r="R1289" s="53" t="str">
        <f t="shared" si="92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73">
        <f t="shared" si="93"/>
        <v>52</v>
      </c>
      <c r="Z1289" s="18">
        <v>46159</v>
      </c>
      <c r="AA1289" s="15"/>
      <c r="AB1289" s="15"/>
      <c r="AF1289" t="str">
        <f t="shared" si="94"/>
        <v>Closed in May</v>
      </c>
    </row>
    <row r="1290" spans="1:32" hidden="1">
      <c r="A1290" s="6">
        <v>46107</v>
      </c>
      <c r="B1290" s="3">
        <v>2026</v>
      </c>
      <c r="C1290" s="3" t="s">
        <v>114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91"/>
        <v>24</v>
      </c>
      <c r="R1290" s="53" t="str">
        <f t="shared" si="92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73">
        <f t="shared" si="93"/>
        <v>52</v>
      </c>
      <c r="Z1290" s="18">
        <v>46159</v>
      </c>
      <c r="AA1290" s="15"/>
      <c r="AB1290" s="15"/>
      <c r="AF1290" t="str">
        <f t="shared" si="94"/>
        <v>Closed in May</v>
      </c>
    </row>
    <row r="1291" spans="1:32" hidden="1">
      <c r="A1291" s="6">
        <v>46107</v>
      </c>
      <c r="B1291" s="3">
        <v>2026</v>
      </c>
      <c r="C1291" s="3" t="s">
        <v>114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91"/>
        <v>24</v>
      </c>
      <c r="R1291" s="53" t="str">
        <f t="shared" si="92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73">
        <f t="shared" si="93"/>
        <v>52</v>
      </c>
      <c r="Z1291" s="18">
        <v>46159</v>
      </c>
      <c r="AA1291" s="15"/>
      <c r="AB1291" s="15"/>
      <c r="AF1291" t="str">
        <f t="shared" si="94"/>
        <v>Closed in May</v>
      </c>
    </row>
    <row r="1292" spans="1:32" hidden="1">
      <c r="A1292" s="6">
        <v>46107</v>
      </c>
      <c r="B1292" s="3">
        <v>2026</v>
      </c>
      <c r="C1292" s="3" t="s">
        <v>114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91"/>
        <v>24</v>
      </c>
      <c r="R1292" s="53" t="str">
        <f t="shared" si="92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73">
        <f t="shared" si="93"/>
        <v>52</v>
      </c>
      <c r="Z1292" s="18">
        <v>46159</v>
      </c>
      <c r="AA1292" s="15"/>
      <c r="AB1292" s="15"/>
      <c r="AF1292" t="str">
        <f t="shared" si="94"/>
        <v>Closed in May</v>
      </c>
    </row>
    <row r="1293" spans="1:32" hidden="1">
      <c r="A1293" s="6">
        <v>46107</v>
      </c>
      <c r="B1293" s="3">
        <v>2026</v>
      </c>
      <c r="C1293" s="3" t="s">
        <v>114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91"/>
        <v>24</v>
      </c>
      <c r="R1293" s="53" t="str">
        <f t="shared" si="92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73">
        <f t="shared" si="93"/>
        <v>52</v>
      </c>
      <c r="Z1293" s="18">
        <v>46159</v>
      </c>
      <c r="AA1293" s="15"/>
      <c r="AB1293" s="15"/>
      <c r="AF1293" t="str">
        <f t="shared" si="94"/>
        <v>Closed in May</v>
      </c>
    </row>
    <row r="1294" spans="1:32" hidden="1">
      <c r="A1294" s="6">
        <v>46107</v>
      </c>
      <c r="B1294" s="3">
        <v>2026</v>
      </c>
      <c r="C1294" s="3" t="s">
        <v>114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91"/>
        <v>24</v>
      </c>
      <c r="R1294" s="53" t="str">
        <f t="shared" si="92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73">
        <f t="shared" si="93"/>
        <v>52</v>
      </c>
      <c r="Z1294" s="18">
        <v>46159</v>
      </c>
      <c r="AA1294" s="15"/>
      <c r="AB1294" s="15"/>
      <c r="AF1294" t="str">
        <f t="shared" si="94"/>
        <v>Closed in May</v>
      </c>
    </row>
    <row r="1295" spans="1:32" hidden="1">
      <c r="A1295" s="6">
        <v>46107</v>
      </c>
      <c r="B1295" s="3">
        <v>2026</v>
      </c>
      <c r="C1295" s="3" t="s">
        <v>114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91"/>
        <v>24</v>
      </c>
      <c r="R1295" s="53" t="str">
        <f t="shared" si="92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73">
        <f t="shared" si="93"/>
        <v>52</v>
      </c>
      <c r="Z1295" s="18">
        <v>46159</v>
      </c>
      <c r="AA1295" s="15"/>
      <c r="AB1295" s="15"/>
      <c r="AF1295" t="str">
        <f t="shared" si="94"/>
        <v>Closed in May</v>
      </c>
    </row>
    <row r="1296" spans="1:32" hidden="1">
      <c r="A1296" s="6">
        <v>46107</v>
      </c>
      <c r="B1296" s="3">
        <v>2026</v>
      </c>
      <c r="C1296" s="3" t="s">
        <v>114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91"/>
        <v>24</v>
      </c>
      <c r="R1296" s="53" t="str">
        <f t="shared" si="92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73">
        <f t="shared" si="93"/>
        <v>52</v>
      </c>
      <c r="Z1296" s="18">
        <v>46159</v>
      </c>
      <c r="AA1296" s="15"/>
      <c r="AB1296" s="15"/>
      <c r="AF1296" t="str">
        <f t="shared" si="94"/>
        <v>Closed in May</v>
      </c>
    </row>
    <row r="1297" spans="1:32" hidden="1">
      <c r="A1297" s="6">
        <v>46107</v>
      </c>
      <c r="B1297" s="3">
        <v>2026</v>
      </c>
      <c r="C1297" s="3" t="s">
        <v>114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91"/>
        <v>24</v>
      </c>
      <c r="R1297" s="53" t="str">
        <f t="shared" si="92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73">
        <f t="shared" si="93"/>
        <v>52</v>
      </c>
      <c r="Z1297" s="18">
        <v>46159</v>
      </c>
      <c r="AA1297" s="15"/>
      <c r="AB1297" s="15"/>
      <c r="AF1297" t="str">
        <f t="shared" si="94"/>
        <v>Closed in May</v>
      </c>
    </row>
    <row r="1298" spans="1:32" hidden="1">
      <c r="A1298" s="6">
        <v>46107</v>
      </c>
      <c r="B1298" s="3">
        <v>2026</v>
      </c>
      <c r="C1298" s="3" t="s">
        <v>114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91"/>
        <v>24</v>
      </c>
      <c r="R1298" s="53" t="str">
        <f t="shared" si="92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73">
        <f t="shared" si="93"/>
        <v>52</v>
      </c>
      <c r="Z1298" s="18">
        <v>46159</v>
      </c>
      <c r="AA1298" s="15"/>
      <c r="AB1298" s="15"/>
      <c r="AF1298" t="str">
        <f t="shared" si="94"/>
        <v>Closed in May</v>
      </c>
    </row>
    <row r="1299" spans="1:32" hidden="1">
      <c r="A1299" s="6">
        <v>46107</v>
      </c>
      <c r="B1299" s="3">
        <v>2026</v>
      </c>
      <c r="C1299" s="3" t="s">
        <v>114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91"/>
        <v>24</v>
      </c>
      <c r="R1299" s="53" t="str">
        <f t="shared" si="92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73">
        <f t="shared" si="93"/>
        <v>52</v>
      </c>
      <c r="Z1299" s="18">
        <v>46159</v>
      </c>
      <c r="AA1299" s="15"/>
      <c r="AB1299" s="15"/>
      <c r="AF1299" t="str">
        <f t="shared" si="94"/>
        <v>Closed in May</v>
      </c>
    </row>
    <row r="1300" spans="1:32" hidden="1">
      <c r="A1300" s="6">
        <v>46107</v>
      </c>
      <c r="B1300" s="3">
        <v>2026</v>
      </c>
      <c r="C1300" s="3" t="s">
        <v>114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91"/>
        <v>24</v>
      </c>
      <c r="R1300" s="53" t="str">
        <f t="shared" si="92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73">
        <f t="shared" si="93"/>
        <v>52</v>
      </c>
      <c r="Z1300" s="18">
        <v>46159</v>
      </c>
      <c r="AA1300" s="15"/>
      <c r="AB1300" s="15"/>
      <c r="AF1300" t="str">
        <f t="shared" si="94"/>
        <v>Closed in May</v>
      </c>
    </row>
    <row r="1301" spans="1:32" hidden="1">
      <c r="A1301" s="6">
        <v>46107</v>
      </c>
      <c r="B1301" s="3">
        <v>2026</v>
      </c>
      <c r="C1301" s="3" t="s">
        <v>114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91"/>
        <v>24</v>
      </c>
      <c r="R1301" s="53" t="str">
        <f t="shared" si="92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73">
        <f t="shared" si="93"/>
        <v>52</v>
      </c>
      <c r="Z1301" s="18">
        <v>46159</v>
      </c>
      <c r="AA1301" s="15"/>
      <c r="AB1301" s="15"/>
      <c r="AF1301" t="str">
        <f t="shared" si="94"/>
        <v>Closed in May</v>
      </c>
    </row>
    <row r="1302" spans="1:32" hidden="1">
      <c r="A1302" s="6">
        <v>46107</v>
      </c>
      <c r="B1302" s="3">
        <v>2026</v>
      </c>
      <c r="C1302" s="3" t="s">
        <v>114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91"/>
        <v>24</v>
      </c>
      <c r="R1302" s="53" t="str">
        <f t="shared" si="92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73">
        <f t="shared" si="93"/>
        <v>52</v>
      </c>
      <c r="Z1302" s="18">
        <v>46159</v>
      </c>
      <c r="AA1302" s="15"/>
      <c r="AB1302" s="15"/>
      <c r="AF1302" t="str">
        <f t="shared" si="94"/>
        <v>Closed in May</v>
      </c>
    </row>
    <row r="1303" spans="1:32" hidden="1">
      <c r="A1303" s="6">
        <v>46107</v>
      </c>
      <c r="B1303" s="3">
        <v>2026</v>
      </c>
      <c r="C1303" s="3" t="s">
        <v>114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91"/>
        <v>24</v>
      </c>
      <c r="R1303" s="53" t="str">
        <f t="shared" si="92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73">
        <f t="shared" si="93"/>
        <v>52</v>
      </c>
      <c r="Z1303" s="18">
        <v>46159</v>
      </c>
      <c r="AA1303" s="15"/>
      <c r="AB1303" s="15"/>
      <c r="AF1303" t="str">
        <f t="shared" si="94"/>
        <v>Closed in May</v>
      </c>
    </row>
    <row r="1304" spans="1:32" hidden="1">
      <c r="A1304" s="6">
        <v>46107</v>
      </c>
      <c r="B1304" s="3">
        <v>2026</v>
      </c>
      <c r="C1304" s="3" t="s">
        <v>114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91"/>
        <v>24</v>
      </c>
      <c r="R1304" s="53" t="str">
        <f t="shared" si="92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73">
        <f t="shared" si="93"/>
        <v>52</v>
      </c>
      <c r="Z1304" s="18">
        <v>46159</v>
      </c>
      <c r="AA1304" s="15"/>
      <c r="AB1304" s="15"/>
      <c r="AF1304" t="str">
        <f t="shared" si="94"/>
        <v>Closed in May</v>
      </c>
    </row>
    <row r="1305" spans="1:32" hidden="1">
      <c r="A1305" s="6">
        <v>46107</v>
      </c>
      <c r="B1305" s="3">
        <v>2026</v>
      </c>
      <c r="C1305" s="3" t="s">
        <v>114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91"/>
        <v>24</v>
      </c>
      <c r="R1305" s="53" t="str">
        <f t="shared" si="92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73">
        <f t="shared" si="93"/>
        <v>52</v>
      </c>
      <c r="Z1305" s="18">
        <v>46159</v>
      </c>
      <c r="AA1305" s="15"/>
      <c r="AB1305" s="15"/>
      <c r="AF1305" t="str">
        <f t="shared" si="94"/>
        <v>Closed in May</v>
      </c>
    </row>
    <row r="1306" spans="1:32" hidden="1">
      <c r="A1306" s="6">
        <v>46107</v>
      </c>
      <c r="B1306" s="3">
        <v>2026</v>
      </c>
      <c r="C1306" s="3" t="s">
        <v>114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91"/>
        <v>24</v>
      </c>
      <c r="R1306" s="53" t="str">
        <f t="shared" si="92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73">
        <f t="shared" si="93"/>
        <v>52</v>
      </c>
      <c r="Z1306" s="18">
        <v>46159</v>
      </c>
      <c r="AA1306" s="15"/>
      <c r="AB1306" s="15"/>
      <c r="AF1306" t="str">
        <f t="shared" si="94"/>
        <v>Closed in May</v>
      </c>
    </row>
    <row r="1307" spans="1:32" hidden="1">
      <c r="A1307" s="6">
        <v>46107</v>
      </c>
      <c r="B1307" s="3">
        <v>2026</v>
      </c>
      <c r="C1307" s="3" t="s">
        <v>114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91"/>
        <v>24</v>
      </c>
      <c r="R1307" s="53" t="str">
        <f t="shared" si="92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73">
        <f t="shared" si="93"/>
        <v>52</v>
      </c>
      <c r="Z1307" s="18">
        <v>46159</v>
      </c>
      <c r="AA1307" s="15"/>
      <c r="AB1307" s="15"/>
      <c r="AF1307" t="str">
        <f t="shared" si="94"/>
        <v>Closed in May</v>
      </c>
    </row>
    <row r="1308" spans="1:32" hidden="1">
      <c r="A1308" s="6">
        <v>46107</v>
      </c>
      <c r="B1308" s="3">
        <v>2026</v>
      </c>
      <c r="C1308" s="3" t="s">
        <v>114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91"/>
        <v>24</v>
      </c>
      <c r="R1308" s="53" t="str">
        <f t="shared" si="92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73">
        <f t="shared" si="93"/>
        <v>52</v>
      </c>
      <c r="Z1308" s="18">
        <v>46159</v>
      </c>
      <c r="AA1308" s="15"/>
      <c r="AB1308" s="15"/>
      <c r="AF1308" t="str">
        <f t="shared" si="94"/>
        <v>Closed in May</v>
      </c>
    </row>
    <row r="1309" spans="1:32" hidden="1">
      <c r="A1309" s="6">
        <v>46107</v>
      </c>
      <c r="B1309" s="3">
        <v>2026</v>
      </c>
      <c r="C1309" s="3" t="s">
        <v>114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91"/>
        <v>24</v>
      </c>
      <c r="R1309" s="53" t="str">
        <f t="shared" si="92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73">
        <f t="shared" si="93"/>
        <v>52</v>
      </c>
      <c r="Z1309" s="18">
        <v>46159</v>
      </c>
      <c r="AA1309" s="15"/>
      <c r="AB1309" s="15"/>
      <c r="AF1309" t="str">
        <f t="shared" si="94"/>
        <v>Closed in May</v>
      </c>
    </row>
    <row r="1310" spans="1:32" hidden="1">
      <c r="A1310" s="6">
        <v>46107</v>
      </c>
      <c r="B1310" s="3">
        <v>2026</v>
      </c>
      <c r="C1310" s="3" t="s">
        <v>114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91"/>
        <v>24</v>
      </c>
      <c r="R1310" s="53" t="str">
        <f t="shared" si="92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73">
        <f t="shared" si="93"/>
        <v>52</v>
      </c>
      <c r="Z1310" s="18">
        <v>46159</v>
      </c>
      <c r="AA1310" s="15"/>
      <c r="AB1310" s="15"/>
      <c r="AF1310" t="str">
        <f t="shared" si="94"/>
        <v>Closed in May</v>
      </c>
    </row>
    <row r="1311" spans="1:32" hidden="1">
      <c r="A1311" s="6">
        <v>46107</v>
      </c>
      <c r="B1311" s="3">
        <v>2026</v>
      </c>
      <c r="C1311" s="3" t="s">
        <v>114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91"/>
        <v>24</v>
      </c>
      <c r="R1311" s="53" t="str">
        <f t="shared" si="92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73">
        <f t="shared" si="93"/>
        <v>52</v>
      </c>
      <c r="Z1311" s="18">
        <v>46159</v>
      </c>
      <c r="AA1311" s="15"/>
      <c r="AB1311" s="15"/>
      <c r="AF1311" t="str">
        <f t="shared" si="94"/>
        <v>Closed in May</v>
      </c>
    </row>
    <row r="1312" spans="1:32" hidden="1">
      <c r="A1312" s="6">
        <v>46107</v>
      </c>
      <c r="B1312" s="3">
        <v>2026</v>
      </c>
      <c r="C1312" s="3" t="s">
        <v>114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91"/>
        <v>24</v>
      </c>
      <c r="R1312" s="53" t="str">
        <f t="shared" si="92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73">
        <f t="shared" si="93"/>
        <v>52</v>
      </c>
      <c r="Z1312" s="18">
        <v>46159</v>
      </c>
      <c r="AA1312" s="15"/>
      <c r="AB1312" s="15"/>
      <c r="AF1312" t="str">
        <f t="shared" si="94"/>
        <v>Closed in May</v>
      </c>
    </row>
    <row r="1313" spans="1:32" hidden="1">
      <c r="A1313" s="6">
        <v>46107</v>
      </c>
      <c r="B1313" s="3">
        <v>2026</v>
      </c>
      <c r="C1313" s="3" t="s">
        <v>114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91"/>
        <v>24</v>
      </c>
      <c r="R1313" s="53" t="str">
        <f t="shared" si="92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73">
        <f t="shared" si="93"/>
        <v>52</v>
      </c>
      <c r="Z1313" s="18">
        <v>46159</v>
      </c>
      <c r="AA1313" s="15"/>
      <c r="AB1313" s="15"/>
      <c r="AF1313" t="str">
        <f t="shared" si="94"/>
        <v>Closed in May</v>
      </c>
    </row>
    <row r="1314" spans="1:32" hidden="1">
      <c r="A1314" s="6">
        <v>46107</v>
      </c>
      <c r="B1314" s="3">
        <v>2026</v>
      </c>
      <c r="C1314" s="3" t="s">
        <v>114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91"/>
        <v>24</v>
      </c>
      <c r="R1314" s="53" t="str">
        <f t="shared" si="92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73">
        <f t="shared" si="93"/>
        <v>52</v>
      </c>
      <c r="Z1314" s="18">
        <v>46159</v>
      </c>
      <c r="AA1314" s="15"/>
      <c r="AB1314" s="15"/>
      <c r="AF1314" t="str">
        <f t="shared" si="94"/>
        <v>Closed in May</v>
      </c>
    </row>
    <row r="1315" spans="1:32" hidden="1">
      <c r="A1315" s="6">
        <v>46107</v>
      </c>
      <c r="B1315" s="3">
        <v>2026</v>
      </c>
      <c r="C1315" s="3" t="s">
        <v>114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91"/>
        <v>24</v>
      </c>
      <c r="R1315" s="53" t="str">
        <f t="shared" si="92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73">
        <f t="shared" si="93"/>
        <v>52</v>
      </c>
      <c r="Z1315" s="18">
        <v>46159</v>
      </c>
      <c r="AA1315" s="15"/>
      <c r="AB1315" s="15"/>
      <c r="AF1315" t="str">
        <f t="shared" si="94"/>
        <v>Closed in May</v>
      </c>
    </row>
    <row r="1316" spans="1:32" hidden="1">
      <c r="A1316" s="6">
        <v>46107</v>
      </c>
      <c r="B1316" s="3">
        <v>2026</v>
      </c>
      <c r="C1316" s="3" t="s">
        <v>114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91"/>
        <v>24</v>
      </c>
      <c r="R1316" s="53" t="str">
        <f t="shared" si="92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73">
        <f t="shared" si="93"/>
        <v>52</v>
      </c>
      <c r="Z1316" s="18">
        <v>46159</v>
      </c>
      <c r="AA1316" s="15"/>
      <c r="AB1316" s="15"/>
      <c r="AF1316" t="str">
        <f t="shared" si="94"/>
        <v>Closed in May</v>
      </c>
    </row>
    <row r="1317" spans="1:32" hidden="1">
      <c r="A1317" s="6">
        <v>46107</v>
      </c>
      <c r="B1317" s="3">
        <v>2026</v>
      </c>
      <c r="C1317" s="3" t="s">
        <v>114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91"/>
        <v>24</v>
      </c>
      <c r="R1317" s="53" t="str">
        <f t="shared" si="92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73">
        <f t="shared" si="93"/>
        <v>52</v>
      </c>
      <c r="Z1317" s="18">
        <v>46159</v>
      </c>
      <c r="AA1317" s="15"/>
      <c r="AB1317" s="15"/>
      <c r="AF1317" t="str">
        <f t="shared" si="94"/>
        <v>Closed in May</v>
      </c>
    </row>
    <row r="1318" spans="1:32" hidden="1">
      <c r="A1318" s="6">
        <v>46107</v>
      </c>
      <c r="B1318" s="3">
        <v>2026</v>
      </c>
      <c r="C1318" s="3" t="s">
        <v>114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91"/>
        <v>24</v>
      </c>
      <c r="R1318" s="53" t="str">
        <f t="shared" si="92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73">
        <f t="shared" si="93"/>
        <v>52</v>
      </c>
      <c r="Z1318" s="18">
        <v>46159</v>
      </c>
      <c r="AA1318" s="15"/>
      <c r="AB1318" s="15"/>
      <c r="AF1318" t="str">
        <f t="shared" si="94"/>
        <v>Closed in May</v>
      </c>
    </row>
    <row r="1319" spans="1:32" hidden="1">
      <c r="A1319" s="6">
        <v>46107</v>
      </c>
      <c r="B1319" s="3">
        <v>2026</v>
      </c>
      <c r="C1319" s="3" t="s">
        <v>114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95">MID(P1319,5,2)</f>
        <v>24</v>
      </c>
      <c r="R1319" s="53" t="str">
        <f t="shared" ref="R1319:R1382" si="9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73">
        <f t="shared" si="93"/>
        <v>52</v>
      </c>
      <c r="Z1319" s="18">
        <v>46159</v>
      </c>
      <c r="AA1319" s="15"/>
      <c r="AB1319" s="15"/>
      <c r="AF1319" t="str">
        <f t="shared" si="94"/>
        <v>Closed in May</v>
      </c>
    </row>
    <row r="1320" spans="1:32" hidden="1">
      <c r="A1320" s="6">
        <v>46107</v>
      </c>
      <c r="B1320" s="3">
        <v>2026</v>
      </c>
      <c r="C1320" s="3" t="s">
        <v>114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95"/>
        <v>24</v>
      </c>
      <c r="R1320" s="53" t="str">
        <f t="shared" si="9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73">
        <f t="shared" si="93"/>
        <v>52</v>
      </c>
      <c r="Z1320" s="18">
        <v>46159</v>
      </c>
      <c r="AA1320" s="15"/>
      <c r="AB1320" s="15"/>
      <c r="AF1320" t="str">
        <f t="shared" si="94"/>
        <v>Closed in May</v>
      </c>
    </row>
    <row r="1321" spans="1:32" hidden="1">
      <c r="A1321" s="6">
        <v>46107</v>
      </c>
      <c r="B1321" s="3">
        <v>2026</v>
      </c>
      <c r="C1321" s="3" t="s">
        <v>114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95"/>
        <v>24</v>
      </c>
      <c r="R1321" s="53" t="str">
        <f t="shared" si="9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73">
        <f t="shared" si="93"/>
        <v>52</v>
      </c>
      <c r="Z1321" s="18">
        <v>46159</v>
      </c>
      <c r="AA1321" s="15"/>
      <c r="AB1321" s="15"/>
      <c r="AF1321" t="str">
        <f t="shared" si="94"/>
        <v>Closed in May</v>
      </c>
    </row>
    <row r="1322" spans="1:32" hidden="1">
      <c r="A1322" s="6">
        <v>46107</v>
      </c>
      <c r="B1322" s="3">
        <v>2026</v>
      </c>
      <c r="C1322" s="3" t="s">
        <v>114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95"/>
        <v>24</v>
      </c>
      <c r="R1322" s="53" t="str">
        <f t="shared" si="9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73">
        <f t="shared" si="93"/>
        <v>52</v>
      </c>
      <c r="Z1322" s="18">
        <v>46159</v>
      </c>
      <c r="AA1322" s="15"/>
      <c r="AB1322" s="15"/>
      <c r="AF1322" t="str">
        <f t="shared" si="94"/>
        <v>Closed in May</v>
      </c>
    </row>
    <row r="1323" spans="1:32" hidden="1">
      <c r="A1323" s="6">
        <v>46107</v>
      </c>
      <c r="B1323" s="3">
        <v>2026</v>
      </c>
      <c r="C1323" s="3" t="s">
        <v>114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95"/>
        <v>24</v>
      </c>
      <c r="R1323" s="53" t="str">
        <f t="shared" si="9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73">
        <f t="shared" si="93"/>
        <v>52</v>
      </c>
      <c r="Z1323" s="18">
        <v>46159</v>
      </c>
      <c r="AA1323" s="15"/>
      <c r="AB1323" s="15"/>
      <c r="AF1323" t="str">
        <f t="shared" si="94"/>
        <v>Closed in May</v>
      </c>
    </row>
    <row r="1324" spans="1:32" hidden="1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95"/>
        <v>24</v>
      </c>
      <c r="R1324" s="53" t="str">
        <f t="shared" si="9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73">
        <f t="shared" si="93"/>
        <v>15</v>
      </c>
      <c r="Z1324" s="18">
        <v>46158</v>
      </c>
      <c r="AA1324" s="15"/>
      <c r="AB1324" s="15"/>
      <c r="AF1324" t="str">
        <f t="shared" si="94"/>
        <v>Closed in May</v>
      </c>
    </row>
    <row r="1325" spans="1:32" hidden="1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95"/>
        <v>24</v>
      </c>
      <c r="R1325" s="53" t="str">
        <f t="shared" si="9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73">
        <f t="shared" si="93"/>
        <v>15</v>
      </c>
      <c r="Z1325" s="18">
        <v>46158</v>
      </c>
      <c r="AA1325" s="15"/>
      <c r="AB1325" s="15"/>
      <c r="AF1325" t="str">
        <f t="shared" si="94"/>
        <v>Closed in May</v>
      </c>
    </row>
    <row r="1326" spans="1:32" hidden="1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95"/>
        <v>24</v>
      </c>
      <c r="R1326" s="53" t="str">
        <f t="shared" si="9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73">
        <f t="shared" si="93"/>
        <v>15</v>
      </c>
      <c r="Z1326" s="18">
        <v>46158</v>
      </c>
      <c r="AA1326" s="15"/>
      <c r="AB1326" s="15"/>
      <c r="AF1326" t="str">
        <f t="shared" si="94"/>
        <v>Closed in May</v>
      </c>
    </row>
    <row r="1327" spans="1:32" hidden="1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95"/>
        <v>24</v>
      </c>
      <c r="R1327" s="53" t="str">
        <f t="shared" si="9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73">
        <f t="shared" si="93"/>
        <v>15</v>
      </c>
      <c r="Z1327" s="18">
        <v>46158</v>
      </c>
      <c r="AA1327" s="15"/>
      <c r="AB1327" s="15"/>
      <c r="AF1327" t="str">
        <f t="shared" si="94"/>
        <v>Closed in May</v>
      </c>
    </row>
    <row r="1328" spans="1:32" hidden="1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95"/>
        <v>24</v>
      </c>
      <c r="R1328" s="53" t="str">
        <f t="shared" si="9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73">
        <f t="shared" si="93"/>
        <v>15</v>
      </c>
      <c r="Z1328" s="18">
        <v>46158</v>
      </c>
      <c r="AA1328" s="15"/>
      <c r="AB1328" s="15"/>
      <c r="AF1328" t="str">
        <f t="shared" si="94"/>
        <v>Closed in May</v>
      </c>
    </row>
    <row r="1329" spans="1:32" hidden="1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95"/>
        <v>24</v>
      </c>
      <c r="R1329" s="53" t="str">
        <f t="shared" si="9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73">
        <f t="shared" si="93"/>
        <v>15</v>
      </c>
      <c r="Z1329" s="18">
        <v>46158</v>
      </c>
      <c r="AA1329" s="15"/>
      <c r="AB1329" s="15"/>
      <c r="AF1329" t="str">
        <f t="shared" si="94"/>
        <v>Closed in May</v>
      </c>
    </row>
    <row r="1330" spans="1:32" hidden="1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95"/>
        <v>24</v>
      </c>
      <c r="R1330" s="53" t="str">
        <f t="shared" si="9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73">
        <f t="shared" si="93"/>
        <v>15</v>
      </c>
      <c r="Z1330" s="18">
        <v>46158</v>
      </c>
      <c r="AA1330" s="15"/>
      <c r="AB1330" s="15"/>
      <c r="AF1330" t="str">
        <f t="shared" si="94"/>
        <v>Closed in May</v>
      </c>
    </row>
    <row r="1331" spans="1:32" hidden="1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95"/>
        <v>24</v>
      </c>
      <c r="R1331" s="53" t="str">
        <f t="shared" si="9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73">
        <f t="shared" si="93"/>
        <v>15</v>
      </c>
      <c r="Z1331" s="18">
        <v>46158</v>
      </c>
      <c r="AA1331" s="15"/>
      <c r="AB1331" s="15"/>
      <c r="AF1331" t="str">
        <f t="shared" si="94"/>
        <v>Closed in May</v>
      </c>
    </row>
    <row r="1332" spans="1:32" hidden="1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95"/>
        <v>24</v>
      </c>
      <c r="R1332" s="53" t="str">
        <f t="shared" si="9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73">
        <f t="shared" si="93"/>
        <v>15</v>
      </c>
      <c r="Z1332" s="18">
        <v>46158</v>
      </c>
      <c r="AA1332" s="15"/>
      <c r="AB1332" s="15"/>
      <c r="AF1332" t="str">
        <f t="shared" si="94"/>
        <v>Closed in May</v>
      </c>
    </row>
    <row r="1333" spans="1:32" hidden="1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95"/>
        <v>24</v>
      </c>
      <c r="R1333" s="53" t="str">
        <f t="shared" si="9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73">
        <f t="shared" si="93"/>
        <v>15</v>
      </c>
      <c r="Z1333" s="18">
        <v>46158</v>
      </c>
      <c r="AA1333" s="15"/>
      <c r="AB1333" s="15"/>
      <c r="AF1333" t="str">
        <f t="shared" si="94"/>
        <v>Closed in May</v>
      </c>
    </row>
    <row r="1334" spans="1:32" hidden="1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95"/>
        <v>24</v>
      </c>
      <c r="R1334" s="53" t="str">
        <f t="shared" si="9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73">
        <f t="shared" si="93"/>
        <v>15</v>
      </c>
      <c r="Z1334" s="18">
        <v>46158</v>
      </c>
      <c r="AA1334" s="15"/>
      <c r="AB1334" s="15"/>
      <c r="AF1334" t="str">
        <f t="shared" si="94"/>
        <v>Closed in May</v>
      </c>
    </row>
    <row r="1335" spans="1:32" hidden="1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95"/>
        <v>24</v>
      </c>
      <c r="R1335" s="53" t="str">
        <f t="shared" si="9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73">
        <f t="shared" si="93"/>
        <v>15</v>
      </c>
      <c r="Z1335" s="18">
        <v>46158</v>
      </c>
      <c r="AA1335" s="15"/>
      <c r="AB1335" s="15"/>
      <c r="AF1335" t="str">
        <f t="shared" si="94"/>
        <v>Closed in May</v>
      </c>
    </row>
    <row r="1336" spans="1:32" hidden="1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95"/>
        <v>24</v>
      </c>
      <c r="R1336" s="53" t="str">
        <f t="shared" si="9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73">
        <f t="shared" si="93"/>
        <v>15</v>
      </c>
      <c r="Z1336" s="18">
        <v>46158</v>
      </c>
      <c r="AA1336" s="15"/>
      <c r="AB1336" s="15"/>
      <c r="AF1336" t="str">
        <f t="shared" si="94"/>
        <v>Closed in May</v>
      </c>
    </row>
    <row r="1337" spans="1:32" hidden="1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95"/>
        <v>24</v>
      </c>
      <c r="R1337" s="53" t="str">
        <f t="shared" si="9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73">
        <f t="shared" si="93"/>
        <v>15</v>
      </c>
      <c r="Z1337" s="18">
        <v>46158</v>
      </c>
      <c r="AA1337" s="15"/>
      <c r="AB1337" s="15"/>
      <c r="AF1337" t="str">
        <f t="shared" si="94"/>
        <v>Closed in May</v>
      </c>
    </row>
    <row r="1338" spans="1:32" hidden="1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95"/>
        <v>24</v>
      </c>
      <c r="R1338" s="53" t="str">
        <f t="shared" si="9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73">
        <f t="shared" si="93"/>
        <v>15</v>
      </c>
      <c r="Z1338" s="18">
        <v>46158</v>
      </c>
      <c r="AA1338" s="15"/>
      <c r="AB1338" s="15"/>
      <c r="AF1338" t="str">
        <f t="shared" si="94"/>
        <v>Closed in May</v>
      </c>
    </row>
    <row r="1339" spans="1:32" hidden="1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95"/>
        <v>24</v>
      </c>
      <c r="R1339" s="53" t="str">
        <f t="shared" si="9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73">
        <f t="shared" si="93"/>
        <v>15</v>
      </c>
      <c r="Z1339" s="18">
        <v>46158</v>
      </c>
      <c r="AA1339" s="15"/>
      <c r="AB1339" s="15"/>
      <c r="AF1339" t="str">
        <f t="shared" si="94"/>
        <v>Closed in May</v>
      </c>
    </row>
    <row r="1340" spans="1:32" hidden="1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95"/>
        <v>24</v>
      </c>
      <c r="R1340" s="53" t="str">
        <f t="shared" si="9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73">
        <f t="shared" si="93"/>
        <v>15</v>
      </c>
      <c r="Z1340" s="18">
        <v>46158</v>
      </c>
      <c r="AA1340" s="15"/>
      <c r="AB1340" s="15"/>
      <c r="AF1340" t="str">
        <f t="shared" si="94"/>
        <v>Closed in May</v>
      </c>
    </row>
    <row r="1341" spans="1:32" hidden="1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95"/>
        <v>24</v>
      </c>
      <c r="R1341" s="53" t="str">
        <f t="shared" si="9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73">
        <f t="shared" si="93"/>
        <v>15</v>
      </c>
      <c r="Z1341" s="18">
        <v>46158</v>
      </c>
      <c r="AA1341" s="15"/>
      <c r="AB1341" s="15"/>
      <c r="AF1341" t="str">
        <f t="shared" si="94"/>
        <v>Closed in May</v>
      </c>
    </row>
    <row r="1342" spans="1:32" hidden="1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95"/>
        <v>24</v>
      </c>
      <c r="R1342" s="53" t="str">
        <f t="shared" si="9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73">
        <f t="shared" si="93"/>
        <v>15</v>
      </c>
      <c r="Z1342" s="18">
        <v>46158</v>
      </c>
      <c r="AA1342" s="15"/>
      <c r="AB1342" s="15"/>
      <c r="AF1342" t="str">
        <f t="shared" si="94"/>
        <v>Closed in May</v>
      </c>
    </row>
    <row r="1343" spans="1:32" hidden="1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95"/>
        <v>24</v>
      </c>
      <c r="R1343" s="53" t="str">
        <f t="shared" si="9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73">
        <f t="shared" si="93"/>
        <v>15</v>
      </c>
      <c r="Z1343" s="18">
        <v>46158</v>
      </c>
      <c r="AA1343" s="15"/>
      <c r="AB1343" s="15"/>
      <c r="AF1343" t="str">
        <f t="shared" si="94"/>
        <v>Closed in May</v>
      </c>
    </row>
    <row r="1344" spans="1:32" hidden="1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95"/>
        <v>24</v>
      </c>
      <c r="R1344" s="53" t="str">
        <f t="shared" si="9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73">
        <f t="shared" si="93"/>
        <v>15</v>
      </c>
      <c r="Z1344" s="18">
        <v>46158</v>
      </c>
      <c r="AA1344" s="15"/>
      <c r="AB1344" s="15"/>
      <c r="AF1344" t="str">
        <f t="shared" si="94"/>
        <v>Closed in May</v>
      </c>
    </row>
    <row r="1345" spans="1:32" hidden="1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95"/>
        <v>24</v>
      </c>
      <c r="R1345" s="53" t="str">
        <f t="shared" si="9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73">
        <f t="shared" si="93"/>
        <v>15</v>
      </c>
      <c r="Z1345" s="18">
        <v>46158</v>
      </c>
      <c r="AA1345" s="15"/>
      <c r="AB1345" s="15"/>
      <c r="AF1345" t="str">
        <f t="shared" si="94"/>
        <v>Closed in May</v>
      </c>
    </row>
    <row r="1346" spans="1:32" hidden="1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95"/>
        <v>24</v>
      </c>
      <c r="R1346" s="53" t="str">
        <f t="shared" si="9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73">
        <f t="shared" ref="Y1346:Y1409" si="97">IF(X1346="","",X1346-A1346)</f>
        <v>15</v>
      </c>
      <c r="Z1346" s="18">
        <v>46158</v>
      </c>
      <c r="AA1346" s="15"/>
      <c r="AB1346" s="15"/>
      <c r="AF1346" t="str">
        <f t="shared" ref="AF1346:AF1409" si="98">IF(AND($F1346="Closed",$X1346&gt;=DATE(2026,5,1),$X1346&lt;=DATE(2026,5,31)),"Closed in May","Other")</f>
        <v>Closed in May</v>
      </c>
    </row>
    <row r="1347" spans="1:32" hidden="1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95"/>
        <v>24</v>
      </c>
      <c r="R1347" s="53" t="str">
        <f t="shared" si="9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73">
        <f t="shared" si="97"/>
        <v>15</v>
      </c>
      <c r="Z1347" s="18">
        <v>46158</v>
      </c>
      <c r="AA1347" s="15"/>
      <c r="AB1347" s="15"/>
      <c r="AF1347" t="str">
        <f t="shared" si="98"/>
        <v>Closed in May</v>
      </c>
    </row>
    <row r="1348" spans="1:32" hidden="1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95"/>
        <v>24</v>
      </c>
      <c r="R1348" s="53" t="str">
        <f t="shared" si="9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73">
        <f t="shared" si="97"/>
        <v>15</v>
      </c>
      <c r="Z1348" s="18">
        <v>46158</v>
      </c>
      <c r="AA1348" s="15"/>
      <c r="AB1348" s="15"/>
      <c r="AF1348" t="str">
        <f t="shared" si="98"/>
        <v>Closed in May</v>
      </c>
    </row>
    <row r="1349" spans="1:32" hidden="1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95"/>
        <v>24</v>
      </c>
      <c r="R1349" s="53" t="str">
        <f t="shared" si="9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73">
        <f t="shared" si="97"/>
        <v>15</v>
      </c>
      <c r="Z1349" s="18">
        <v>46158</v>
      </c>
      <c r="AA1349" s="15"/>
      <c r="AB1349" s="15"/>
      <c r="AF1349" t="str">
        <f t="shared" si="98"/>
        <v>Closed in May</v>
      </c>
    </row>
    <row r="1350" spans="1:32" hidden="1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95"/>
        <v>24</v>
      </c>
      <c r="R1350" s="53" t="str">
        <f t="shared" si="9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73">
        <f t="shared" si="97"/>
        <v>15</v>
      </c>
      <c r="Z1350" s="18">
        <v>46158</v>
      </c>
      <c r="AA1350" s="15"/>
      <c r="AB1350" s="15"/>
      <c r="AF1350" t="str">
        <f t="shared" si="98"/>
        <v>Closed in May</v>
      </c>
    </row>
    <row r="1351" spans="1:32" hidden="1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95"/>
        <v>24</v>
      </c>
      <c r="R1351" s="53" t="str">
        <f t="shared" si="9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73">
        <f t="shared" si="97"/>
        <v>15</v>
      </c>
      <c r="Z1351" s="18">
        <v>46158</v>
      </c>
      <c r="AA1351" s="15"/>
      <c r="AB1351" s="15"/>
      <c r="AF1351" t="str">
        <f t="shared" si="98"/>
        <v>Closed in May</v>
      </c>
    </row>
    <row r="1352" spans="1:32" hidden="1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95"/>
        <v>24</v>
      </c>
      <c r="R1352" s="53" t="str">
        <f t="shared" si="9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73">
        <f t="shared" si="97"/>
        <v>15</v>
      </c>
      <c r="Z1352" s="18">
        <v>46158</v>
      </c>
      <c r="AA1352" s="15"/>
      <c r="AB1352" s="15"/>
      <c r="AF1352" t="str">
        <f t="shared" si="98"/>
        <v>Closed in May</v>
      </c>
    </row>
    <row r="1353" spans="1:32" hidden="1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95"/>
        <v>24</v>
      </c>
      <c r="R1353" s="53" t="str">
        <f t="shared" si="9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73">
        <f t="shared" si="97"/>
        <v>15</v>
      </c>
      <c r="Z1353" s="18">
        <v>46158</v>
      </c>
      <c r="AA1353" s="15"/>
      <c r="AB1353" s="15"/>
      <c r="AF1353" t="str">
        <f t="shared" si="98"/>
        <v>Closed in May</v>
      </c>
    </row>
    <row r="1354" spans="1:32" hidden="1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95"/>
        <v>24</v>
      </c>
      <c r="R1354" s="53" t="str">
        <f t="shared" si="9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73">
        <f t="shared" si="97"/>
        <v>15</v>
      </c>
      <c r="Z1354" s="18">
        <v>46158</v>
      </c>
      <c r="AA1354" s="15"/>
      <c r="AB1354" s="15"/>
      <c r="AF1354" t="str">
        <f t="shared" si="98"/>
        <v>Closed in May</v>
      </c>
    </row>
    <row r="1355" spans="1:32" hidden="1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95"/>
        <v>24</v>
      </c>
      <c r="R1355" s="53" t="str">
        <f t="shared" si="9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73">
        <f t="shared" si="97"/>
        <v>15</v>
      </c>
      <c r="Z1355" s="18">
        <v>46158</v>
      </c>
      <c r="AA1355" s="15"/>
      <c r="AB1355" s="15"/>
      <c r="AF1355" t="str">
        <f t="shared" si="98"/>
        <v>Closed in May</v>
      </c>
    </row>
    <row r="1356" spans="1:32" hidden="1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95"/>
        <v>24</v>
      </c>
      <c r="R1356" s="53" t="str">
        <f t="shared" si="9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73">
        <f t="shared" si="97"/>
        <v>15</v>
      </c>
      <c r="Z1356" s="18">
        <v>46158</v>
      </c>
      <c r="AA1356" s="15"/>
      <c r="AB1356" s="15"/>
      <c r="AF1356" t="str">
        <f t="shared" si="98"/>
        <v>Closed in May</v>
      </c>
    </row>
    <row r="1357" spans="1:32" hidden="1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95"/>
        <v>24</v>
      </c>
      <c r="R1357" s="53" t="str">
        <f t="shared" si="9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73">
        <f t="shared" si="97"/>
        <v>15</v>
      </c>
      <c r="Z1357" s="18">
        <v>46158</v>
      </c>
      <c r="AA1357" s="15"/>
      <c r="AB1357" s="15"/>
      <c r="AF1357" t="str">
        <f t="shared" si="98"/>
        <v>Closed in May</v>
      </c>
    </row>
    <row r="1358" spans="1:32" hidden="1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95"/>
        <v>24</v>
      </c>
      <c r="R1358" s="53" t="str">
        <f t="shared" si="9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73">
        <f t="shared" si="97"/>
        <v>16</v>
      </c>
      <c r="Z1358" s="18">
        <v>46159</v>
      </c>
      <c r="AA1358" s="15"/>
      <c r="AB1358" s="15"/>
      <c r="AF1358" t="str">
        <f t="shared" si="98"/>
        <v>Closed in May</v>
      </c>
    </row>
    <row r="1359" spans="1:32" hidden="1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95"/>
        <v>24</v>
      </c>
      <c r="R1359" s="53" t="str">
        <f t="shared" si="9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73">
        <f t="shared" si="97"/>
        <v>16</v>
      </c>
      <c r="Z1359" s="18">
        <v>46159</v>
      </c>
      <c r="AA1359" s="15"/>
      <c r="AB1359" s="15"/>
      <c r="AF1359" t="str">
        <f t="shared" si="98"/>
        <v>Closed in May</v>
      </c>
    </row>
    <row r="1360" spans="1:32" hidden="1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95"/>
        <v>24</v>
      </c>
      <c r="R1360" s="53" t="str">
        <f t="shared" si="9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73">
        <f t="shared" si="97"/>
        <v>16</v>
      </c>
      <c r="Z1360" s="18">
        <v>46159</v>
      </c>
      <c r="AA1360" s="15"/>
      <c r="AB1360" s="15"/>
      <c r="AF1360" t="str">
        <f t="shared" si="98"/>
        <v>Closed in May</v>
      </c>
    </row>
    <row r="1361" spans="1:32" hidden="1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95"/>
        <v>24</v>
      </c>
      <c r="R1361" s="53" t="str">
        <f t="shared" si="9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73">
        <f t="shared" si="97"/>
        <v>16</v>
      </c>
      <c r="Z1361" s="18">
        <v>46159</v>
      </c>
      <c r="AA1361" s="15"/>
      <c r="AB1361" s="15"/>
      <c r="AF1361" t="str">
        <f t="shared" si="98"/>
        <v>Closed in May</v>
      </c>
    </row>
    <row r="1362" spans="1:32" hidden="1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95"/>
        <v>24</v>
      </c>
      <c r="R1362" s="53" t="str">
        <f t="shared" si="9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73">
        <f t="shared" si="97"/>
        <v>16</v>
      </c>
      <c r="Z1362" s="18">
        <v>46159</v>
      </c>
      <c r="AA1362" s="15"/>
      <c r="AB1362" s="15"/>
      <c r="AF1362" t="str">
        <f t="shared" si="98"/>
        <v>Closed in May</v>
      </c>
    </row>
    <row r="1363" spans="1:32" hidden="1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95"/>
        <v>24</v>
      </c>
      <c r="R1363" s="53" t="str">
        <f t="shared" si="9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73">
        <f t="shared" si="97"/>
        <v>16</v>
      </c>
      <c r="Z1363" s="18">
        <v>46159</v>
      </c>
      <c r="AA1363" s="15"/>
      <c r="AB1363" s="15"/>
      <c r="AF1363" t="str">
        <f t="shared" si="98"/>
        <v>Closed in May</v>
      </c>
    </row>
    <row r="1364" spans="1:32" hidden="1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95"/>
        <v>24</v>
      </c>
      <c r="R1364" s="53" t="str">
        <f t="shared" si="9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73">
        <f t="shared" si="97"/>
        <v>16</v>
      </c>
      <c r="Z1364" s="18">
        <v>46159</v>
      </c>
      <c r="AA1364" s="15"/>
      <c r="AB1364" s="15"/>
      <c r="AF1364" t="str">
        <f t="shared" si="98"/>
        <v>Closed in May</v>
      </c>
    </row>
    <row r="1365" spans="1:32" hidden="1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95"/>
        <v>24</v>
      </c>
      <c r="R1365" s="53" t="str">
        <f t="shared" si="9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73">
        <f t="shared" si="97"/>
        <v>16</v>
      </c>
      <c r="Z1365" s="18">
        <v>46159</v>
      </c>
      <c r="AA1365" s="15"/>
      <c r="AB1365" s="15"/>
      <c r="AF1365" t="str">
        <f t="shared" si="98"/>
        <v>Closed in May</v>
      </c>
    </row>
    <row r="1366" spans="1:32" hidden="1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95"/>
        <v>24</v>
      </c>
      <c r="R1366" s="53" t="str">
        <f t="shared" si="9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73">
        <f t="shared" si="97"/>
        <v>16</v>
      </c>
      <c r="Z1366" s="18">
        <v>46159</v>
      </c>
      <c r="AA1366" s="15"/>
      <c r="AB1366" s="15"/>
      <c r="AF1366" t="str">
        <f t="shared" si="98"/>
        <v>Closed in May</v>
      </c>
    </row>
    <row r="1367" spans="1:32" hidden="1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95"/>
        <v>24</v>
      </c>
      <c r="R1367" s="53" t="str">
        <f t="shared" si="9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73">
        <f t="shared" si="97"/>
        <v>16</v>
      </c>
      <c r="Z1367" s="18">
        <v>46159</v>
      </c>
      <c r="AA1367" s="15"/>
      <c r="AB1367" s="15"/>
      <c r="AF1367" t="str">
        <f t="shared" si="98"/>
        <v>Closed in May</v>
      </c>
    </row>
    <row r="1368" spans="1:32" hidden="1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95"/>
        <v>24</v>
      </c>
      <c r="R1368" s="53" t="str">
        <f t="shared" si="9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73">
        <f t="shared" si="97"/>
        <v>16</v>
      </c>
      <c r="Z1368" s="18">
        <v>46159</v>
      </c>
      <c r="AA1368" s="15"/>
      <c r="AB1368" s="15"/>
      <c r="AF1368" t="str">
        <f t="shared" si="98"/>
        <v>Closed in May</v>
      </c>
    </row>
    <row r="1369" spans="1:32" hidden="1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95"/>
        <v>24</v>
      </c>
      <c r="R1369" s="53" t="str">
        <f t="shared" si="9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73">
        <f t="shared" si="97"/>
        <v>16</v>
      </c>
      <c r="Z1369" s="18">
        <v>46159</v>
      </c>
      <c r="AA1369" s="15"/>
      <c r="AB1369" s="15"/>
      <c r="AF1369" t="str">
        <f t="shared" si="98"/>
        <v>Closed in May</v>
      </c>
    </row>
    <row r="1370" spans="1:32" hidden="1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95"/>
        <v>24</v>
      </c>
      <c r="R1370" s="53" t="str">
        <f t="shared" si="9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73">
        <f t="shared" si="97"/>
        <v>16</v>
      </c>
      <c r="Z1370" s="18">
        <v>46159</v>
      </c>
      <c r="AA1370" s="15"/>
      <c r="AB1370" s="15"/>
      <c r="AF1370" t="str">
        <f t="shared" si="98"/>
        <v>Closed in May</v>
      </c>
    </row>
    <row r="1371" spans="1:32" hidden="1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95"/>
        <v>24</v>
      </c>
      <c r="R1371" s="53" t="str">
        <f t="shared" si="9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73">
        <f t="shared" si="97"/>
        <v>16</v>
      </c>
      <c r="Z1371" s="18">
        <v>46159</v>
      </c>
      <c r="AA1371" s="15"/>
      <c r="AB1371" s="15"/>
      <c r="AF1371" t="str">
        <f t="shared" si="98"/>
        <v>Closed in May</v>
      </c>
    </row>
    <row r="1372" spans="1:32" hidden="1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95"/>
        <v>24</v>
      </c>
      <c r="R1372" s="53" t="str">
        <f t="shared" si="9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73">
        <f t="shared" si="97"/>
        <v>16</v>
      </c>
      <c r="Z1372" s="18">
        <v>46159</v>
      </c>
      <c r="AA1372" s="15"/>
      <c r="AB1372" s="15"/>
      <c r="AF1372" t="str">
        <f t="shared" si="98"/>
        <v>Closed in May</v>
      </c>
    </row>
    <row r="1373" spans="1:32" hidden="1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95"/>
        <v>24</v>
      </c>
      <c r="R1373" s="53" t="str">
        <f t="shared" si="9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73">
        <f t="shared" si="97"/>
        <v>16</v>
      </c>
      <c r="Z1373" s="18">
        <v>46159</v>
      </c>
      <c r="AA1373" s="15"/>
      <c r="AB1373" s="15"/>
      <c r="AF1373" t="str">
        <f t="shared" si="98"/>
        <v>Closed in May</v>
      </c>
    </row>
    <row r="1374" spans="1:32" hidden="1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95"/>
        <v>24</v>
      </c>
      <c r="R1374" s="53" t="str">
        <f t="shared" si="9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73">
        <f t="shared" si="97"/>
        <v>16</v>
      </c>
      <c r="Z1374" s="18">
        <v>46159</v>
      </c>
      <c r="AA1374" s="15"/>
      <c r="AB1374" s="15"/>
      <c r="AF1374" t="str">
        <f t="shared" si="98"/>
        <v>Closed in May</v>
      </c>
    </row>
    <row r="1375" spans="1:32" hidden="1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95"/>
        <v>24</v>
      </c>
      <c r="R1375" s="53" t="str">
        <f t="shared" si="9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73">
        <f t="shared" si="97"/>
        <v>16</v>
      </c>
      <c r="Z1375" s="18">
        <v>46159</v>
      </c>
      <c r="AA1375" s="15"/>
      <c r="AB1375" s="15"/>
      <c r="AF1375" t="str">
        <f t="shared" si="98"/>
        <v>Closed in May</v>
      </c>
    </row>
    <row r="1376" spans="1:32" hidden="1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95"/>
        <v>24</v>
      </c>
      <c r="R1376" s="53" t="str">
        <f t="shared" si="9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73">
        <f t="shared" si="97"/>
        <v>16</v>
      </c>
      <c r="Z1376" s="18">
        <v>46159</v>
      </c>
      <c r="AA1376" s="15"/>
      <c r="AB1376" s="15"/>
      <c r="AF1376" t="str">
        <f t="shared" si="98"/>
        <v>Closed in May</v>
      </c>
    </row>
    <row r="1377" spans="1:32" hidden="1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95"/>
        <v>24</v>
      </c>
      <c r="R1377" s="53" t="str">
        <f t="shared" si="9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73">
        <f t="shared" si="97"/>
        <v>16</v>
      </c>
      <c r="Z1377" s="18">
        <v>46159</v>
      </c>
      <c r="AA1377" s="15"/>
      <c r="AB1377" s="15"/>
      <c r="AF1377" t="str">
        <f t="shared" si="98"/>
        <v>Closed in May</v>
      </c>
    </row>
    <row r="1378" spans="1:32" hidden="1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95"/>
        <v>24</v>
      </c>
      <c r="R1378" s="53" t="str">
        <f t="shared" si="9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73">
        <f t="shared" si="97"/>
        <v>16</v>
      </c>
      <c r="Z1378" s="18">
        <v>46159</v>
      </c>
      <c r="AA1378" s="15"/>
      <c r="AB1378" s="15"/>
      <c r="AF1378" t="str">
        <f t="shared" si="98"/>
        <v>Closed in May</v>
      </c>
    </row>
    <row r="1379" spans="1:32" hidden="1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95"/>
        <v>24</v>
      </c>
      <c r="R1379" s="53" t="str">
        <f t="shared" si="9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73">
        <f t="shared" si="97"/>
        <v>16</v>
      </c>
      <c r="Z1379" s="18">
        <v>46159</v>
      </c>
      <c r="AA1379" s="15"/>
      <c r="AB1379" s="15"/>
      <c r="AF1379" t="str">
        <f t="shared" si="98"/>
        <v>Closed in May</v>
      </c>
    </row>
    <row r="1380" spans="1:32" hidden="1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95"/>
        <v>24</v>
      </c>
      <c r="R1380" s="53" t="str">
        <f t="shared" si="9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73">
        <f t="shared" si="97"/>
        <v>16</v>
      </c>
      <c r="Z1380" s="18">
        <v>46159</v>
      </c>
      <c r="AA1380" s="15"/>
      <c r="AB1380" s="15"/>
      <c r="AF1380" t="str">
        <f t="shared" si="98"/>
        <v>Closed in May</v>
      </c>
    </row>
    <row r="1381" spans="1:32" hidden="1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95"/>
        <v>24</v>
      </c>
      <c r="R1381" s="53" t="str">
        <f t="shared" si="9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73">
        <f t="shared" si="97"/>
        <v>16</v>
      </c>
      <c r="Z1381" s="18">
        <v>46159</v>
      </c>
      <c r="AA1381" s="15"/>
      <c r="AB1381" s="15"/>
      <c r="AF1381" t="str">
        <f t="shared" si="98"/>
        <v>Closed in May</v>
      </c>
    </row>
    <row r="1382" spans="1:32" hidden="1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95"/>
        <v>24</v>
      </c>
      <c r="R1382" s="53" t="str">
        <f t="shared" si="9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73">
        <f t="shared" si="97"/>
        <v>16</v>
      </c>
      <c r="Z1382" s="18">
        <v>46159</v>
      </c>
      <c r="AA1382" s="15"/>
      <c r="AB1382" s="15"/>
      <c r="AF1382" t="str">
        <f t="shared" si="98"/>
        <v>Closed in May</v>
      </c>
    </row>
    <row r="1383" spans="1:32" hidden="1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99">MID(P1383,5,2)</f>
        <v>24</v>
      </c>
      <c r="R1383" s="53" t="str">
        <f t="shared" ref="R1383:R1446" si="100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73">
        <f t="shared" si="97"/>
        <v>16</v>
      </c>
      <c r="Z1383" s="18">
        <v>46159</v>
      </c>
      <c r="AA1383" s="15"/>
      <c r="AB1383" s="15"/>
      <c r="AF1383" t="str">
        <f t="shared" si="98"/>
        <v>Closed in May</v>
      </c>
    </row>
    <row r="1384" spans="1:32" hidden="1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99"/>
        <v>24</v>
      </c>
      <c r="R1384" s="53" t="str">
        <f t="shared" si="100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73">
        <f t="shared" si="97"/>
        <v>16</v>
      </c>
      <c r="Z1384" s="18">
        <v>46159</v>
      </c>
      <c r="AA1384" s="15"/>
      <c r="AB1384" s="15"/>
      <c r="AF1384" t="str">
        <f t="shared" si="98"/>
        <v>Closed in May</v>
      </c>
    </row>
    <row r="1385" spans="1:32" hidden="1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99"/>
        <v>24</v>
      </c>
      <c r="R1385" s="53" t="str">
        <f t="shared" si="100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73">
        <f t="shared" si="97"/>
        <v>16</v>
      </c>
      <c r="Z1385" s="18">
        <v>46159</v>
      </c>
      <c r="AA1385" s="15"/>
      <c r="AB1385" s="15"/>
      <c r="AF1385" t="str">
        <f t="shared" si="98"/>
        <v>Closed in May</v>
      </c>
    </row>
    <row r="1386" spans="1:32" hidden="1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99"/>
        <v>24</v>
      </c>
      <c r="R1386" s="53" t="str">
        <f t="shared" si="100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73">
        <f t="shared" si="97"/>
        <v>16</v>
      </c>
      <c r="Z1386" s="18">
        <v>46159</v>
      </c>
      <c r="AA1386" s="15"/>
      <c r="AB1386" s="15"/>
      <c r="AF1386" t="str">
        <f t="shared" si="98"/>
        <v>Closed in May</v>
      </c>
    </row>
    <row r="1387" spans="1:32" hidden="1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99"/>
        <v>24</v>
      </c>
      <c r="R1387" s="53" t="str">
        <f t="shared" si="100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73">
        <f t="shared" si="97"/>
        <v>16</v>
      </c>
      <c r="Z1387" s="18">
        <v>46159</v>
      </c>
      <c r="AA1387" s="15"/>
      <c r="AB1387" s="15"/>
      <c r="AF1387" t="str">
        <f t="shared" si="98"/>
        <v>Closed in May</v>
      </c>
    </row>
    <row r="1388" spans="1:32" hidden="1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99"/>
        <v>24</v>
      </c>
      <c r="R1388" s="53" t="str">
        <f t="shared" si="100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73">
        <f t="shared" si="97"/>
        <v>16</v>
      </c>
      <c r="Z1388" s="18">
        <v>46159</v>
      </c>
      <c r="AA1388" s="15"/>
      <c r="AB1388" s="15"/>
      <c r="AF1388" t="str">
        <f t="shared" si="98"/>
        <v>Closed in May</v>
      </c>
    </row>
    <row r="1389" spans="1:32" hidden="1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99"/>
        <v>24</v>
      </c>
      <c r="R1389" s="53" t="str">
        <f t="shared" si="100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73">
        <f t="shared" si="97"/>
        <v>16</v>
      </c>
      <c r="Z1389" s="18">
        <v>46159</v>
      </c>
      <c r="AA1389" s="15"/>
      <c r="AB1389" s="15"/>
      <c r="AF1389" t="str">
        <f t="shared" si="98"/>
        <v>Closed in May</v>
      </c>
    </row>
    <row r="1390" spans="1:32" hidden="1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99"/>
        <v>24</v>
      </c>
      <c r="R1390" s="53" t="str">
        <f t="shared" si="100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73">
        <f t="shared" si="97"/>
        <v>16</v>
      </c>
      <c r="Z1390" s="18">
        <v>46159</v>
      </c>
      <c r="AA1390" s="15"/>
      <c r="AB1390" s="15"/>
      <c r="AF1390" t="str">
        <f t="shared" si="98"/>
        <v>Closed in May</v>
      </c>
    </row>
    <row r="1391" spans="1:32" hidden="1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99"/>
        <v>24</v>
      </c>
      <c r="R1391" s="53" t="str">
        <f t="shared" si="100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73">
        <f t="shared" si="97"/>
        <v>16</v>
      </c>
      <c r="Z1391" s="18">
        <v>46159</v>
      </c>
      <c r="AA1391" s="15"/>
      <c r="AB1391" s="15"/>
      <c r="AF1391" t="str">
        <f t="shared" si="98"/>
        <v>Closed in May</v>
      </c>
    </row>
    <row r="1392" spans="1:32" hidden="1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99"/>
        <v>24</v>
      </c>
      <c r="R1392" s="53" t="str">
        <f t="shared" si="100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73">
        <f t="shared" si="97"/>
        <v>16</v>
      </c>
      <c r="Z1392" s="18">
        <v>46159</v>
      </c>
      <c r="AA1392" s="15"/>
      <c r="AB1392" s="15"/>
      <c r="AF1392" t="str">
        <f t="shared" si="98"/>
        <v>Closed in May</v>
      </c>
    </row>
    <row r="1393" spans="1:32" hidden="1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99"/>
        <v>24</v>
      </c>
      <c r="R1393" s="53" t="str">
        <f t="shared" si="100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73">
        <f t="shared" si="97"/>
        <v>16</v>
      </c>
      <c r="Z1393" s="18">
        <v>46159</v>
      </c>
      <c r="AA1393" s="15"/>
      <c r="AB1393" s="15"/>
      <c r="AF1393" t="str">
        <f t="shared" si="98"/>
        <v>Closed in May</v>
      </c>
    </row>
    <row r="1394" spans="1:32" hidden="1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99"/>
        <v>24</v>
      </c>
      <c r="R1394" s="53" t="str">
        <f t="shared" si="100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73">
        <f t="shared" si="97"/>
        <v>16</v>
      </c>
      <c r="Z1394" s="18">
        <v>46159</v>
      </c>
      <c r="AA1394" s="15"/>
      <c r="AB1394" s="15"/>
      <c r="AF1394" t="str">
        <f t="shared" si="98"/>
        <v>Closed in May</v>
      </c>
    </row>
    <row r="1395" spans="1:32" hidden="1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99"/>
        <v>24</v>
      </c>
      <c r="R1395" s="53" t="str">
        <f t="shared" si="100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73">
        <f t="shared" si="97"/>
        <v>16</v>
      </c>
      <c r="Z1395" s="18">
        <v>46159</v>
      </c>
      <c r="AA1395" s="15"/>
      <c r="AB1395" s="15"/>
      <c r="AF1395" t="str">
        <f t="shared" si="98"/>
        <v>Closed in May</v>
      </c>
    </row>
    <row r="1396" spans="1:32" hidden="1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99"/>
        <v>24</v>
      </c>
      <c r="R1396" s="53" t="str">
        <f t="shared" si="100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73">
        <f t="shared" si="97"/>
        <v>16</v>
      </c>
      <c r="Z1396" s="18">
        <v>46159</v>
      </c>
      <c r="AA1396" s="15"/>
      <c r="AB1396" s="15"/>
      <c r="AF1396" t="str">
        <f t="shared" si="98"/>
        <v>Closed in May</v>
      </c>
    </row>
    <row r="1397" spans="1:32" hidden="1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99"/>
        <v>24</v>
      </c>
      <c r="R1397" s="53" t="str">
        <f t="shared" si="100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73">
        <f t="shared" si="97"/>
        <v>16</v>
      </c>
      <c r="Z1397" s="18">
        <v>46159</v>
      </c>
      <c r="AA1397" s="15"/>
      <c r="AB1397" s="15"/>
      <c r="AF1397" t="str">
        <f t="shared" si="98"/>
        <v>Closed in May</v>
      </c>
    </row>
    <row r="1398" spans="1:32" hidden="1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99"/>
        <v>24</v>
      </c>
      <c r="R1398" s="53" t="str">
        <f t="shared" si="100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73">
        <f t="shared" si="97"/>
        <v>16</v>
      </c>
      <c r="Z1398" s="18">
        <v>46159</v>
      </c>
      <c r="AA1398" s="15"/>
      <c r="AB1398" s="15"/>
      <c r="AF1398" t="str">
        <f t="shared" si="98"/>
        <v>Closed in May</v>
      </c>
    </row>
    <row r="1399" spans="1:32" hidden="1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1592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99"/>
        <v>24</v>
      </c>
      <c r="R1399" s="53" t="str">
        <f t="shared" si="100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73">
        <f t="shared" si="97"/>
        <v>0</v>
      </c>
      <c r="Z1399" s="19"/>
      <c r="AA1399" s="19"/>
      <c r="AB1399" s="19"/>
      <c r="AF1399" t="str">
        <f t="shared" si="98"/>
        <v>Closed in May</v>
      </c>
    </row>
    <row r="1400" spans="1:32" hidden="1">
      <c r="A1400" s="6">
        <v>46107</v>
      </c>
      <c r="B1400" s="3">
        <v>2026</v>
      </c>
      <c r="C1400" s="3" t="s">
        <v>114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99"/>
        <v>24</v>
      </c>
      <c r="R1400" s="53" t="str">
        <f t="shared" si="100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73">
        <f t="shared" si="97"/>
        <v>53</v>
      </c>
      <c r="Z1400" s="18">
        <v>46160</v>
      </c>
      <c r="AA1400" s="15"/>
      <c r="AB1400" s="15"/>
      <c r="AF1400" t="str">
        <f t="shared" si="98"/>
        <v>Closed in May</v>
      </c>
    </row>
    <row r="1401" spans="1:32" hidden="1">
      <c r="A1401" s="6">
        <v>46107</v>
      </c>
      <c r="B1401" s="3">
        <v>2026</v>
      </c>
      <c r="C1401" s="3" t="s">
        <v>114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99"/>
        <v>24</v>
      </c>
      <c r="R1401" s="53" t="str">
        <f t="shared" si="100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73">
        <f t="shared" si="97"/>
        <v>53</v>
      </c>
      <c r="Z1401" s="18">
        <v>46160</v>
      </c>
      <c r="AA1401" s="15"/>
      <c r="AB1401" s="15"/>
      <c r="AF1401" t="str">
        <f t="shared" si="98"/>
        <v>Closed in May</v>
      </c>
    </row>
    <row r="1402" spans="1:32" hidden="1">
      <c r="A1402" s="6">
        <v>46107</v>
      </c>
      <c r="B1402" s="3">
        <v>2026</v>
      </c>
      <c r="C1402" s="3" t="s">
        <v>114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99"/>
        <v>24</v>
      </c>
      <c r="R1402" s="53" t="str">
        <f t="shared" si="100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73">
        <f t="shared" si="97"/>
        <v>53</v>
      </c>
      <c r="Z1402" s="18">
        <v>46160</v>
      </c>
      <c r="AA1402" s="15"/>
      <c r="AB1402" s="15"/>
      <c r="AF1402" t="str">
        <f t="shared" si="98"/>
        <v>Closed in May</v>
      </c>
    </row>
    <row r="1403" spans="1:32" hidden="1">
      <c r="A1403" s="6">
        <v>46107</v>
      </c>
      <c r="B1403" s="3">
        <v>2026</v>
      </c>
      <c r="C1403" s="3" t="s">
        <v>114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99"/>
        <v>24</v>
      </c>
      <c r="R1403" s="53" t="str">
        <f t="shared" si="100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73">
        <f t="shared" si="97"/>
        <v>53</v>
      </c>
      <c r="Z1403" s="18">
        <v>46160</v>
      </c>
      <c r="AA1403" s="15"/>
      <c r="AB1403" s="15"/>
      <c r="AF1403" t="str">
        <f t="shared" si="98"/>
        <v>Closed in May</v>
      </c>
    </row>
    <row r="1404" spans="1:32" hidden="1">
      <c r="A1404" s="6">
        <v>46107</v>
      </c>
      <c r="B1404" s="3">
        <v>2026</v>
      </c>
      <c r="C1404" s="3" t="s">
        <v>114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99"/>
        <v>24</v>
      </c>
      <c r="R1404" s="53" t="str">
        <f t="shared" si="100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73">
        <f t="shared" si="97"/>
        <v>53</v>
      </c>
      <c r="Z1404" s="18">
        <v>46160</v>
      </c>
      <c r="AA1404" s="15"/>
      <c r="AB1404" s="15"/>
      <c r="AF1404" t="str">
        <f t="shared" si="98"/>
        <v>Closed in May</v>
      </c>
    </row>
    <row r="1405" spans="1:32" hidden="1">
      <c r="A1405" s="6">
        <v>46107</v>
      </c>
      <c r="B1405" s="3">
        <v>2026</v>
      </c>
      <c r="C1405" s="3" t="s">
        <v>114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99"/>
        <v>24</v>
      </c>
      <c r="R1405" s="53" t="str">
        <f t="shared" si="100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73">
        <f t="shared" si="97"/>
        <v>53</v>
      </c>
      <c r="Z1405" s="18">
        <v>46160</v>
      </c>
      <c r="AA1405" s="15"/>
      <c r="AB1405" s="15"/>
      <c r="AF1405" t="str">
        <f t="shared" si="98"/>
        <v>Closed in May</v>
      </c>
    </row>
    <row r="1406" spans="1:32" hidden="1">
      <c r="A1406" s="6">
        <v>46107</v>
      </c>
      <c r="B1406" s="3">
        <v>2026</v>
      </c>
      <c r="C1406" s="3" t="s">
        <v>114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99"/>
        <v>24</v>
      </c>
      <c r="R1406" s="53" t="str">
        <f t="shared" si="100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73">
        <f t="shared" si="97"/>
        <v>53</v>
      </c>
      <c r="Z1406" s="18">
        <v>46160</v>
      </c>
      <c r="AA1406" s="15"/>
      <c r="AB1406" s="15"/>
      <c r="AF1406" t="str">
        <f t="shared" si="98"/>
        <v>Closed in May</v>
      </c>
    </row>
    <row r="1407" spans="1:32" hidden="1">
      <c r="A1407" s="6">
        <v>46107</v>
      </c>
      <c r="B1407" s="3">
        <v>2026</v>
      </c>
      <c r="C1407" s="3" t="s">
        <v>114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99"/>
        <v>24</v>
      </c>
      <c r="R1407" s="53" t="str">
        <f t="shared" si="100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73">
        <f t="shared" si="97"/>
        <v>53</v>
      </c>
      <c r="Z1407" s="18">
        <v>46160</v>
      </c>
      <c r="AA1407" s="15"/>
      <c r="AB1407" s="15"/>
      <c r="AF1407" t="str">
        <f t="shared" si="98"/>
        <v>Closed in May</v>
      </c>
    </row>
    <row r="1408" spans="1:32" hidden="1">
      <c r="A1408" s="6">
        <v>46107</v>
      </c>
      <c r="B1408" s="3">
        <v>2026</v>
      </c>
      <c r="C1408" s="3" t="s">
        <v>114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99"/>
        <v>24</v>
      </c>
      <c r="R1408" s="53" t="str">
        <f t="shared" si="100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73">
        <f t="shared" si="97"/>
        <v>53</v>
      </c>
      <c r="Z1408" s="18">
        <v>46160</v>
      </c>
      <c r="AA1408" s="15"/>
      <c r="AB1408" s="15"/>
      <c r="AF1408" t="str">
        <f t="shared" si="98"/>
        <v>Closed in May</v>
      </c>
    </row>
    <row r="1409" spans="1:32" hidden="1">
      <c r="A1409" s="6">
        <v>46107</v>
      </c>
      <c r="B1409" s="3">
        <v>2026</v>
      </c>
      <c r="C1409" s="3" t="s">
        <v>114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99"/>
        <v>24</v>
      </c>
      <c r="R1409" s="53" t="str">
        <f t="shared" si="100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73">
        <f t="shared" si="97"/>
        <v>53</v>
      </c>
      <c r="Z1409" s="18">
        <v>46160</v>
      </c>
      <c r="AA1409" s="15"/>
      <c r="AB1409" s="15"/>
      <c r="AF1409" t="str">
        <f t="shared" si="98"/>
        <v>Closed in May</v>
      </c>
    </row>
    <row r="1410" spans="1:32" hidden="1">
      <c r="A1410" s="6">
        <v>46107</v>
      </c>
      <c r="B1410" s="3">
        <v>2026</v>
      </c>
      <c r="C1410" s="3" t="s">
        <v>114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99"/>
        <v>24</v>
      </c>
      <c r="R1410" s="53" t="str">
        <f t="shared" si="100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73">
        <f t="shared" ref="Y1410:Y1473" si="101">IF(X1410="","",X1410-A1410)</f>
        <v>53</v>
      </c>
      <c r="Z1410" s="18">
        <v>46160</v>
      </c>
      <c r="AA1410" s="15"/>
      <c r="AB1410" s="15"/>
      <c r="AF1410" t="str">
        <f t="shared" ref="AF1410:AF1473" si="102">IF(AND($F1410="Closed",$X1410&gt;=DATE(2026,5,1),$X1410&lt;=DATE(2026,5,31)),"Closed in May","Other")</f>
        <v>Closed in May</v>
      </c>
    </row>
    <row r="1411" spans="1:32" hidden="1">
      <c r="A1411" s="6">
        <v>46107</v>
      </c>
      <c r="B1411" s="3">
        <v>2026</v>
      </c>
      <c r="C1411" s="3" t="s">
        <v>114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99"/>
        <v>24</v>
      </c>
      <c r="R1411" s="53" t="str">
        <f t="shared" si="100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73">
        <f t="shared" si="101"/>
        <v>53</v>
      </c>
      <c r="Z1411" s="18">
        <v>46160</v>
      </c>
      <c r="AA1411" s="15"/>
      <c r="AB1411" s="15"/>
      <c r="AF1411" t="str">
        <f t="shared" si="102"/>
        <v>Closed in May</v>
      </c>
    </row>
    <row r="1412" spans="1:32" hidden="1">
      <c r="A1412" s="6">
        <v>46107</v>
      </c>
      <c r="B1412" s="3">
        <v>2026</v>
      </c>
      <c r="C1412" s="3" t="s">
        <v>114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99"/>
        <v>24</v>
      </c>
      <c r="R1412" s="53" t="str">
        <f t="shared" si="100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73">
        <f t="shared" si="101"/>
        <v>53</v>
      </c>
      <c r="Z1412" s="18">
        <v>46160</v>
      </c>
      <c r="AA1412" s="15"/>
      <c r="AB1412" s="15"/>
      <c r="AF1412" t="str">
        <f t="shared" si="102"/>
        <v>Closed in May</v>
      </c>
    </row>
    <row r="1413" spans="1:32" hidden="1">
      <c r="A1413" s="6">
        <v>46107</v>
      </c>
      <c r="B1413" s="3">
        <v>2026</v>
      </c>
      <c r="C1413" s="3" t="s">
        <v>114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99"/>
        <v>24</v>
      </c>
      <c r="R1413" s="53" t="str">
        <f t="shared" si="100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73">
        <f t="shared" si="101"/>
        <v>53</v>
      </c>
      <c r="Z1413" s="18">
        <v>46160</v>
      </c>
      <c r="AA1413" s="15"/>
      <c r="AB1413" s="15"/>
      <c r="AF1413" t="str">
        <f t="shared" si="102"/>
        <v>Closed in May</v>
      </c>
    </row>
    <row r="1414" spans="1:32" hidden="1">
      <c r="A1414" s="6">
        <v>46107</v>
      </c>
      <c r="B1414" s="3">
        <v>2026</v>
      </c>
      <c r="C1414" s="3" t="s">
        <v>114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99"/>
        <v>24</v>
      </c>
      <c r="R1414" s="53" t="str">
        <f t="shared" si="100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73">
        <f t="shared" si="101"/>
        <v>53</v>
      </c>
      <c r="Z1414" s="18">
        <v>46160</v>
      </c>
      <c r="AA1414" s="15"/>
      <c r="AB1414" s="15"/>
      <c r="AF1414" t="str">
        <f t="shared" si="102"/>
        <v>Closed in May</v>
      </c>
    </row>
    <row r="1415" spans="1:32" hidden="1">
      <c r="A1415" s="6">
        <v>46107</v>
      </c>
      <c r="B1415" s="3">
        <v>2026</v>
      </c>
      <c r="C1415" s="3" t="s">
        <v>114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99"/>
        <v>24</v>
      </c>
      <c r="R1415" s="53" t="str">
        <f t="shared" si="100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73">
        <f t="shared" si="101"/>
        <v>53</v>
      </c>
      <c r="Z1415" s="18">
        <v>46160</v>
      </c>
      <c r="AA1415" s="15"/>
      <c r="AB1415" s="15"/>
      <c r="AF1415" t="str">
        <f t="shared" si="102"/>
        <v>Closed in May</v>
      </c>
    </row>
    <row r="1416" spans="1:32" hidden="1">
      <c r="A1416" s="6">
        <v>46107</v>
      </c>
      <c r="B1416" s="3">
        <v>2026</v>
      </c>
      <c r="C1416" s="3" t="s">
        <v>114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99"/>
        <v>24</v>
      </c>
      <c r="R1416" s="53" t="str">
        <f t="shared" si="100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73">
        <f t="shared" si="101"/>
        <v>53</v>
      </c>
      <c r="Z1416" s="18">
        <v>46160</v>
      </c>
      <c r="AA1416" s="15"/>
      <c r="AB1416" s="15"/>
      <c r="AF1416" t="str">
        <f t="shared" si="102"/>
        <v>Closed in May</v>
      </c>
    </row>
    <row r="1417" spans="1:32" hidden="1">
      <c r="A1417" s="6">
        <v>46107</v>
      </c>
      <c r="B1417" s="3">
        <v>2026</v>
      </c>
      <c r="C1417" s="3" t="s">
        <v>114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99"/>
        <v>24</v>
      </c>
      <c r="R1417" s="53" t="str">
        <f t="shared" si="100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73">
        <f t="shared" si="101"/>
        <v>53</v>
      </c>
      <c r="Z1417" s="18">
        <v>46160</v>
      </c>
      <c r="AA1417" s="15"/>
      <c r="AB1417" s="15"/>
      <c r="AF1417" t="str">
        <f t="shared" si="102"/>
        <v>Closed in May</v>
      </c>
    </row>
    <row r="1418" spans="1:32" hidden="1">
      <c r="A1418" s="6">
        <v>46107</v>
      </c>
      <c r="B1418" s="3">
        <v>2026</v>
      </c>
      <c r="C1418" s="3" t="s">
        <v>114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99"/>
        <v>24</v>
      </c>
      <c r="R1418" s="53" t="str">
        <f t="shared" si="100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73">
        <f t="shared" si="101"/>
        <v>53</v>
      </c>
      <c r="Z1418" s="18">
        <v>46160</v>
      </c>
      <c r="AA1418" s="15"/>
      <c r="AB1418" s="15"/>
      <c r="AF1418" t="str">
        <f t="shared" si="102"/>
        <v>Closed in May</v>
      </c>
    </row>
    <row r="1419" spans="1:32" hidden="1">
      <c r="A1419" s="6">
        <v>46107</v>
      </c>
      <c r="B1419" s="3">
        <v>2026</v>
      </c>
      <c r="C1419" s="3" t="s">
        <v>114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99"/>
        <v>24</v>
      </c>
      <c r="R1419" s="53" t="str">
        <f t="shared" si="100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73">
        <f t="shared" si="101"/>
        <v>53</v>
      </c>
      <c r="Z1419" s="18">
        <v>46160</v>
      </c>
      <c r="AA1419" s="15"/>
      <c r="AB1419" s="15"/>
      <c r="AF1419" t="str">
        <f t="shared" si="102"/>
        <v>Closed in May</v>
      </c>
    </row>
    <row r="1420" spans="1:32" hidden="1">
      <c r="A1420" s="6">
        <v>46107</v>
      </c>
      <c r="B1420" s="3">
        <v>2026</v>
      </c>
      <c r="C1420" s="3" t="s">
        <v>114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99"/>
        <v>24</v>
      </c>
      <c r="R1420" s="53" t="str">
        <f t="shared" si="100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73">
        <f t="shared" si="101"/>
        <v>53</v>
      </c>
      <c r="Z1420" s="18">
        <v>46160</v>
      </c>
      <c r="AA1420" s="15"/>
      <c r="AB1420" s="15"/>
      <c r="AF1420" t="str">
        <f t="shared" si="102"/>
        <v>Closed in May</v>
      </c>
    </row>
    <row r="1421" spans="1:32" hidden="1">
      <c r="A1421" s="6">
        <v>46107</v>
      </c>
      <c r="B1421" s="3">
        <v>2026</v>
      </c>
      <c r="C1421" s="3" t="s">
        <v>114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99"/>
        <v>24</v>
      </c>
      <c r="R1421" s="53" t="str">
        <f t="shared" si="100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73">
        <f t="shared" si="101"/>
        <v>53</v>
      </c>
      <c r="Z1421" s="18">
        <v>46160</v>
      </c>
      <c r="AA1421" s="15"/>
      <c r="AB1421" s="15"/>
      <c r="AF1421" t="str">
        <f t="shared" si="102"/>
        <v>Closed in May</v>
      </c>
    </row>
    <row r="1422" spans="1:32" hidden="1">
      <c r="A1422" s="6">
        <v>46107</v>
      </c>
      <c r="B1422" s="3">
        <v>2026</v>
      </c>
      <c r="C1422" s="3" t="s">
        <v>114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99"/>
        <v>24</v>
      </c>
      <c r="R1422" s="53" t="str">
        <f t="shared" si="100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73">
        <f t="shared" si="101"/>
        <v>53</v>
      </c>
      <c r="Z1422" s="18">
        <v>46160</v>
      </c>
      <c r="AA1422" s="15"/>
      <c r="AB1422" s="15"/>
      <c r="AF1422" t="str">
        <f t="shared" si="102"/>
        <v>Closed in May</v>
      </c>
    </row>
    <row r="1423" spans="1:32" hidden="1">
      <c r="A1423" s="6">
        <v>46107</v>
      </c>
      <c r="B1423" s="3">
        <v>2026</v>
      </c>
      <c r="C1423" s="3" t="s">
        <v>114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99"/>
        <v>24</v>
      </c>
      <c r="R1423" s="53" t="str">
        <f t="shared" si="100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73">
        <f t="shared" si="101"/>
        <v>53</v>
      </c>
      <c r="Z1423" s="18">
        <v>46160</v>
      </c>
      <c r="AA1423" s="15"/>
      <c r="AB1423" s="15"/>
      <c r="AF1423" t="str">
        <f t="shared" si="102"/>
        <v>Closed in May</v>
      </c>
    </row>
    <row r="1424" spans="1:32" hidden="1">
      <c r="A1424" s="6">
        <v>46107</v>
      </c>
      <c r="B1424" s="3">
        <v>2026</v>
      </c>
      <c r="C1424" s="3" t="s">
        <v>114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99"/>
        <v>24</v>
      </c>
      <c r="R1424" s="53" t="str">
        <f t="shared" si="100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73">
        <f t="shared" si="101"/>
        <v>53</v>
      </c>
      <c r="Z1424" s="18">
        <v>46160</v>
      </c>
      <c r="AA1424" s="15"/>
      <c r="AB1424" s="15"/>
      <c r="AF1424" t="str">
        <f t="shared" si="102"/>
        <v>Closed in May</v>
      </c>
    </row>
    <row r="1425" spans="1:32" hidden="1">
      <c r="A1425" s="6">
        <v>46107</v>
      </c>
      <c r="B1425" s="3">
        <v>2026</v>
      </c>
      <c r="C1425" s="3" t="s">
        <v>114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99"/>
        <v>24</v>
      </c>
      <c r="R1425" s="53" t="str">
        <f t="shared" si="100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73">
        <f t="shared" si="101"/>
        <v>53</v>
      </c>
      <c r="Z1425" s="18">
        <v>46160</v>
      </c>
      <c r="AA1425" s="15"/>
      <c r="AB1425" s="15"/>
      <c r="AF1425" t="str">
        <f t="shared" si="102"/>
        <v>Closed in May</v>
      </c>
    </row>
    <row r="1426" spans="1:32" hidden="1">
      <c r="A1426" s="6">
        <v>46107</v>
      </c>
      <c r="B1426" s="3">
        <v>2026</v>
      </c>
      <c r="C1426" s="3" t="s">
        <v>114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99"/>
        <v>24</v>
      </c>
      <c r="R1426" s="53" t="str">
        <f t="shared" si="100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73">
        <f t="shared" si="101"/>
        <v>53</v>
      </c>
      <c r="Z1426" s="18">
        <v>46160</v>
      </c>
      <c r="AA1426" s="15"/>
      <c r="AB1426" s="15"/>
      <c r="AF1426" t="str">
        <f t="shared" si="102"/>
        <v>Closed in May</v>
      </c>
    </row>
    <row r="1427" spans="1:32" hidden="1">
      <c r="A1427" s="6">
        <v>46107</v>
      </c>
      <c r="B1427" s="3">
        <v>2026</v>
      </c>
      <c r="C1427" s="3" t="s">
        <v>114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99"/>
        <v>24</v>
      </c>
      <c r="R1427" s="53" t="str">
        <f t="shared" si="100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73">
        <f t="shared" si="101"/>
        <v>53</v>
      </c>
      <c r="Z1427" s="18">
        <v>46160</v>
      </c>
      <c r="AA1427" s="15"/>
      <c r="AB1427" s="15"/>
      <c r="AF1427" t="str">
        <f t="shared" si="102"/>
        <v>Closed in May</v>
      </c>
    </row>
    <row r="1428" spans="1:32" hidden="1">
      <c r="A1428" s="6">
        <v>46107</v>
      </c>
      <c r="B1428" s="3">
        <v>2026</v>
      </c>
      <c r="C1428" s="3" t="s">
        <v>114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99"/>
        <v>24</v>
      </c>
      <c r="R1428" s="53" t="str">
        <f t="shared" si="100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73">
        <f t="shared" si="101"/>
        <v>53</v>
      </c>
      <c r="Z1428" s="18">
        <v>46160</v>
      </c>
      <c r="AA1428" s="15"/>
      <c r="AB1428" s="15"/>
      <c r="AF1428" t="str">
        <f t="shared" si="102"/>
        <v>Closed in May</v>
      </c>
    </row>
    <row r="1429" spans="1:32" hidden="1">
      <c r="A1429" s="6">
        <v>46107</v>
      </c>
      <c r="B1429" s="3">
        <v>2026</v>
      </c>
      <c r="C1429" s="3" t="s">
        <v>114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99"/>
        <v>24</v>
      </c>
      <c r="R1429" s="53" t="str">
        <f t="shared" si="100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73">
        <f t="shared" si="101"/>
        <v>53</v>
      </c>
      <c r="Z1429" s="18">
        <v>46160</v>
      </c>
      <c r="AA1429" s="15"/>
      <c r="AB1429" s="15"/>
      <c r="AF1429" t="str">
        <f t="shared" si="102"/>
        <v>Closed in May</v>
      </c>
    </row>
    <row r="1430" spans="1:32" hidden="1">
      <c r="A1430" s="6">
        <v>46107</v>
      </c>
      <c r="B1430" s="3">
        <v>2026</v>
      </c>
      <c r="C1430" s="3" t="s">
        <v>114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99"/>
        <v>24</v>
      </c>
      <c r="R1430" s="53" t="str">
        <f t="shared" si="100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73">
        <f t="shared" si="101"/>
        <v>53</v>
      </c>
      <c r="Z1430" s="18">
        <v>46160</v>
      </c>
      <c r="AA1430" s="15"/>
      <c r="AB1430" s="15"/>
      <c r="AF1430" t="str">
        <f t="shared" si="102"/>
        <v>Closed in May</v>
      </c>
    </row>
    <row r="1431" spans="1:32" hidden="1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99"/>
        <v>24</v>
      </c>
      <c r="R1431" s="53" t="str">
        <f t="shared" si="100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73">
        <f t="shared" si="101"/>
        <v>17</v>
      </c>
      <c r="Z1431" s="18">
        <v>46160</v>
      </c>
      <c r="AA1431" s="15"/>
      <c r="AB1431" s="15"/>
      <c r="AF1431" t="str">
        <f t="shared" si="102"/>
        <v>Closed in May</v>
      </c>
    </row>
    <row r="1432" spans="1:32" hidden="1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99"/>
        <v>24</v>
      </c>
      <c r="R1432" s="53" t="str">
        <f t="shared" si="100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73">
        <f t="shared" si="101"/>
        <v>17</v>
      </c>
      <c r="Z1432" s="18">
        <v>46160</v>
      </c>
      <c r="AA1432" s="15"/>
      <c r="AB1432" s="15"/>
      <c r="AF1432" t="str">
        <f t="shared" si="102"/>
        <v>Closed in May</v>
      </c>
    </row>
    <row r="1433" spans="1:32" hidden="1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99"/>
        <v>24</v>
      </c>
      <c r="R1433" s="53" t="str">
        <f t="shared" si="100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73">
        <f t="shared" si="101"/>
        <v>17</v>
      </c>
      <c r="Z1433" s="18">
        <v>46160</v>
      </c>
      <c r="AA1433" s="15"/>
      <c r="AB1433" s="15"/>
      <c r="AF1433" t="str">
        <f t="shared" si="102"/>
        <v>Closed in May</v>
      </c>
    </row>
    <row r="1434" spans="1:32" hidden="1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99"/>
        <v>24</v>
      </c>
      <c r="R1434" s="53" t="str">
        <f t="shared" si="100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73">
        <f t="shared" si="101"/>
        <v>17</v>
      </c>
      <c r="Z1434" s="18">
        <v>46160</v>
      </c>
      <c r="AA1434" s="15"/>
      <c r="AB1434" s="15"/>
      <c r="AF1434" t="str">
        <f t="shared" si="102"/>
        <v>Closed in May</v>
      </c>
    </row>
    <row r="1435" spans="1:32" hidden="1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99"/>
        <v>24</v>
      </c>
      <c r="R1435" s="53" t="str">
        <f t="shared" si="100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73">
        <f t="shared" si="101"/>
        <v>17</v>
      </c>
      <c r="Z1435" s="18">
        <v>46160</v>
      </c>
      <c r="AA1435" s="15"/>
      <c r="AB1435" s="15"/>
      <c r="AF1435" t="str">
        <f t="shared" si="102"/>
        <v>Closed in May</v>
      </c>
    </row>
    <row r="1436" spans="1:32" hidden="1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99"/>
        <v>24</v>
      </c>
      <c r="R1436" s="53" t="str">
        <f t="shared" si="100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73">
        <f t="shared" si="101"/>
        <v>17</v>
      </c>
      <c r="Z1436" s="18">
        <v>46160</v>
      </c>
      <c r="AA1436" s="15"/>
      <c r="AB1436" s="15"/>
      <c r="AF1436" t="str">
        <f t="shared" si="102"/>
        <v>Closed in May</v>
      </c>
    </row>
    <row r="1437" spans="1:32" hidden="1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99"/>
        <v>24</v>
      </c>
      <c r="R1437" s="53" t="str">
        <f t="shared" si="100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73">
        <f t="shared" si="101"/>
        <v>17</v>
      </c>
      <c r="Z1437" s="18">
        <v>46160</v>
      </c>
      <c r="AA1437" s="15"/>
      <c r="AB1437" s="15"/>
      <c r="AF1437" t="str">
        <f t="shared" si="102"/>
        <v>Closed in May</v>
      </c>
    </row>
    <row r="1438" spans="1:32" hidden="1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99"/>
        <v>24</v>
      </c>
      <c r="R1438" s="53" t="str">
        <f t="shared" si="100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73">
        <f t="shared" si="101"/>
        <v>17</v>
      </c>
      <c r="Z1438" s="18">
        <v>46160</v>
      </c>
      <c r="AA1438" s="15"/>
      <c r="AB1438" s="15"/>
      <c r="AF1438" t="str">
        <f t="shared" si="102"/>
        <v>Closed in May</v>
      </c>
    </row>
    <row r="1439" spans="1:32" hidden="1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99"/>
        <v>24</v>
      </c>
      <c r="R1439" s="53" t="str">
        <f t="shared" si="100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73">
        <f t="shared" si="101"/>
        <v>17</v>
      </c>
      <c r="Z1439" s="18">
        <v>46160</v>
      </c>
      <c r="AA1439" s="15"/>
      <c r="AB1439" s="15"/>
      <c r="AF1439" t="str">
        <f t="shared" si="102"/>
        <v>Closed in May</v>
      </c>
    </row>
    <row r="1440" spans="1:32" hidden="1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99"/>
        <v>24</v>
      </c>
      <c r="R1440" s="53" t="str">
        <f t="shared" si="100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73">
        <f t="shared" si="101"/>
        <v>17</v>
      </c>
      <c r="Z1440" s="18">
        <v>46160</v>
      </c>
      <c r="AA1440" s="15"/>
      <c r="AB1440" s="15"/>
      <c r="AF1440" t="str">
        <f t="shared" si="102"/>
        <v>Closed in May</v>
      </c>
    </row>
    <row r="1441" spans="1:32" hidden="1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99"/>
        <v>24</v>
      </c>
      <c r="R1441" s="53" t="str">
        <f t="shared" si="100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73">
        <f t="shared" si="101"/>
        <v>17</v>
      </c>
      <c r="Z1441" s="18">
        <v>46160</v>
      </c>
      <c r="AA1441" s="15"/>
      <c r="AB1441" s="15"/>
      <c r="AF1441" t="str">
        <f t="shared" si="102"/>
        <v>Closed in May</v>
      </c>
    </row>
    <row r="1442" spans="1:32" hidden="1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99"/>
        <v>24</v>
      </c>
      <c r="R1442" s="53" t="str">
        <f t="shared" si="100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73">
        <f t="shared" si="101"/>
        <v>17</v>
      </c>
      <c r="Z1442" s="18">
        <v>46160</v>
      </c>
      <c r="AA1442" s="15"/>
      <c r="AB1442" s="15"/>
      <c r="AF1442" t="str">
        <f t="shared" si="102"/>
        <v>Closed in May</v>
      </c>
    </row>
    <row r="1443" spans="1:32" hidden="1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99"/>
        <v>24</v>
      </c>
      <c r="R1443" s="53" t="str">
        <f t="shared" si="100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73">
        <f t="shared" si="101"/>
        <v>17</v>
      </c>
      <c r="Z1443" s="18">
        <v>46160</v>
      </c>
      <c r="AA1443" s="15"/>
      <c r="AB1443" s="15"/>
      <c r="AF1443" t="str">
        <f t="shared" si="102"/>
        <v>Closed in May</v>
      </c>
    </row>
    <row r="1444" spans="1:32" hidden="1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99"/>
        <v>24</v>
      </c>
      <c r="R1444" s="53" t="str">
        <f t="shared" si="100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73">
        <f t="shared" si="101"/>
        <v>17</v>
      </c>
      <c r="Z1444" s="18">
        <v>46160</v>
      </c>
      <c r="AA1444" s="15"/>
      <c r="AB1444" s="15"/>
      <c r="AF1444" t="str">
        <f t="shared" si="102"/>
        <v>Closed in May</v>
      </c>
    </row>
    <row r="1445" spans="1:32" hidden="1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99"/>
        <v>24</v>
      </c>
      <c r="R1445" s="53" t="str">
        <f t="shared" si="100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73">
        <f t="shared" si="101"/>
        <v>17</v>
      </c>
      <c r="Z1445" s="18">
        <v>46160</v>
      </c>
      <c r="AA1445" s="15"/>
      <c r="AB1445" s="15"/>
      <c r="AF1445" t="str">
        <f t="shared" si="102"/>
        <v>Closed in May</v>
      </c>
    </row>
    <row r="1446" spans="1:32" hidden="1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99"/>
        <v>24</v>
      </c>
      <c r="R1446" s="53" t="str">
        <f t="shared" si="100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73">
        <f t="shared" si="101"/>
        <v>17</v>
      </c>
      <c r="Z1446" s="18">
        <v>46160</v>
      </c>
      <c r="AA1446" s="15"/>
      <c r="AB1446" s="15"/>
      <c r="AF1446" t="str">
        <f t="shared" si="102"/>
        <v>Closed in May</v>
      </c>
    </row>
    <row r="1447" spans="1:32" hidden="1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103">MID(P1447,5,2)</f>
        <v>24</v>
      </c>
      <c r="R1447" s="53" t="str">
        <f t="shared" ref="R1447:R1510" si="104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73">
        <f t="shared" si="101"/>
        <v>17</v>
      </c>
      <c r="Z1447" s="18">
        <v>46160</v>
      </c>
      <c r="AA1447" s="15"/>
      <c r="AB1447" s="15"/>
      <c r="AF1447" t="str">
        <f t="shared" si="102"/>
        <v>Closed in May</v>
      </c>
    </row>
    <row r="1448" spans="1:32" hidden="1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103"/>
        <v>24</v>
      </c>
      <c r="R1448" s="53" t="str">
        <f t="shared" si="104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73">
        <f t="shared" si="101"/>
        <v>17</v>
      </c>
      <c r="Z1448" s="18">
        <v>46160</v>
      </c>
      <c r="AA1448" s="15"/>
      <c r="AB1448" s="15"/>
      <c r="AF1448" t="str">
        <f t="shared" si="102"/>
        <v>Closed in May</v>
      </c>
    </row>
    <row r="1449" spans="1:32" hidden="1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103"/>
        <v>24</v>
      </c>
      <c r="R1449" s="53" t="str">
        <f t="shared" si="104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73">
        <f t="shared" si="101"/>
        <v>17</v>
      </c>
      <c r="Z1449" s="18">
        <v>46160</v>
      </c>
      <c r="AA1449" s="15"/>
      <c r="AB1449" s="15"/>
      <c r="AF1449" t="str">
        <f t="shared" si="102"/>
        <v>Closed in May</v>
      </c>
    </row>
    <row r="1450" spans="1:32" hidden="1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103"/>
        <v>24</v>
      </c>
      <c r="R1450" s="53" t="str">
        <f t="shared" si="104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73">
        <f t="shared" si="101"/>
        <v>17</v>
      </c>
      <c r="Z1450" s="18">
        <v>46160</v>
      </c>
      <c r="AA1450" s="15"/>
      <c r="AB1450" s="15"/>
      <c r="AF1450" t="str">
        <f t="shared" si="102"/>
        <v>Closed in May</v>
      </c>
    </row>
    <row r="1451" spans="1:32" hidden="1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103"/>
        <v>24</v>
      </c>
      <c r="R1451" s="53" t="str">
        <f t="shared" si="104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73">
        <f t="shared" si="101"/>
        <v>17</v>
      </c>
      <c r="Z1451" s="18">
        <v>46160</v>
      </c>
      <c r="AA1451" s="15"/>
      <c r="AB1451" s="15"/>
      <c r="AF1451" t="str">
        <f t="shared" si="102"/>
        <v>Closed in May</v>
      </c>
    </row>
    <row r="1452" spans="1:32" hidden="1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103"/>
        <v>24</v>
      </c>
      <c r="R1452" s="53" t="str">
        <f t="shared" si="104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73">
        <f t="shared" si="101"/>
        <v>17</v>
      </c>
      <c r="Z1452" s="18">
        <v>46160</v>
      </c>
      <c r="AA1452" s="15"/>
      <c r="AB1452" s="15"/>
      <c r="AF1452" t="str">
        <f t="shared" si="102"/>
        <v>Closed in May</v>
      </c>
    </row>
    <row r="1453" spans="1:32" hidden="1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103"/>
        <v>24</v>
      </c>
      <c r="R1453" s="53" t="str">
        <f t="shared" si="104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73">
        <f t="shared" si="101"/>
        <v>17</v>
      </c>
      <c r="Z1453" s="18">
        <v>46160</v>
      </c>
      <c r="AA1453" s="15"/>
      <c r="AB1453" s="15"/>
      <c r="AF1453" t="str">
        <f t="shared" si="102"/>
        <v>Closed in May</v>
      </c>
    </row>
    <row r="1454" spans="1:32" hidden="1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103"/>
        <v>24</v>
      </c>
      <c r="R1454" s="53" t="str">
        <f t="shared" si="104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73">
        <f t="shared" si="101"/>
        <v>17</v>
      </c>
      <c r="Z1454" s="18">
        <v>46160</v>
      </c>
      <c r="AA1454" s="15"/>
      <c r="AB1454" s="15"/>
      <c r="AF1454" t="str">
        <f t="shared" si="102"/>
        <v>Closed in May</v>
      </c>
    </row>
    <row r="1455" spans="1:32" hidden="1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103"/>
        <v>24</v>
      </c>
      <c r="R1455" s="53" t="str">
        <f t="shared" si="104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73">
        <f t="shared" si="101"/>
        <v>17</v>
      </c>
      <c r="Z1455" s="18">
        <v>46160</v>
      </c>
      <c r="AA1455" s="15"/>
      <c r="AB1455" s="15"/>
      <c r="AF1455" t="str">
        <f t="shared" si="102"/>
        <v>Closed in May</v>
      </c>
    </row>
    <row r="1456" spans="1:32" hidden="1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103"/>
        <v>24</v>
      </c>
      <c r="R1456" s="53" t="str">
        <f t="shared" si="104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73">
        <f t="shared" si="101"/>
        <v>17</v>
      </c>
      <c r="Z1456" s="18">
        <v>46160</v>
      </c>
      <c r="AA1456" s="15"/>
      <c r="AB1456" s="15"/>
      <c r="AF1456" t="str">
        <f t="shared" si="102"/>
        <v>Closed in May</v>
      </c>
    </row>
    <row r="1457" spans="1:32" hidden="1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103"/>
        <v>24</v>
      </c>
      <c r="R1457" s="53" t="str">
        <f t="shared" si="104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73">
        <f t="shared" si="101"/>
        <v>17</v>
      </c>
      <c r="Z1457" s="18">
        <v>46160</v>
      </c>
      <c r="AA1457" s="15"/>
      <c r="AB1457" s="15"/>
      <c r="AF1457" t="str">
        <f t="shared" si="102"/>
        <v>Closed in May</v>
      </c>
    </row>
    <row r="1458" spans="1:32" hidden="1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103"/>
        <v>24</v>
      </c>
      <c r="R1458" s="53" t="str">
        <f t="shared" si="104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73">
        <f t="shared" si="101"/>
        <v>17</v>
      </c>
      <c r="Z1458" s="18">
        <v>46160</v>
      </c>
      <c r="AA1458" s="15"/>
      <c r="AB1458" s="15"/>
      <c r="AF1458" t="str">
        <f t="shared" si="102"/>
        <v>Closed in May</v>
      </c>
    </row>
    <row r="1459" spans="1:32" hidden="1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103"/>
        <v>24</v>
      </c>
      <c r="R1459" s="53" t="str">
        <f t="shared" si="104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73">
        <f t="shared" si="101"/>
        <v>17</v>
      </c>
      <c r="Z1459" s="18">
        <v>46160</v>
      </c>
      <c r="AA1459" s="15"/>
      <c r="AB1459" s="15"/>
      <c r="AF1459" t="str">
        <f t="shared" si="102"/>
        <v>Closed in May</v>
      </c>
    </row>
    <row r="1460" spans="1:32" hidden="1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103"/>
        <v>24</v>
      </c>
      <c r="R1460" s="53" t="str">
        <f t="shared" si="104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73">
        <f t="shared" si="101"/>
        <v>17</v>
      </c>
      <c r="Z1460" s="18">
        <v>46160</v>
      </c>
      <c r="AA1460" s="15"/>
      <c r="AB1460" s="15"/>
      <c r="AF1460" t="str">
        <f t="shared" si="102"/>
        <v>Closed in May</v>
      </c>
    </row>
    <row r="1461" spans="1:32" hidden="1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103"/>
        <v>24</v>
      </c>
      <c r="R1461" s="53" t="str">
        <f t="shared" si="104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73">
        <f t="shared" si="101"/>
        <v>17</v>
      </c>
      <c r="Z1461" s="18">
        <v>46160</v>
      </c>
      <c r="AA1461" s="15"/>
      <c r="AB1461" s="15"/>
      <c r="AF1461" t="str">
        <f t="shared" si="102"/>
        <v>Closed in May</v>
      </c>
    </row>
    <row r="1462" spans="1:32" hidden="1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103"/>
        <v>24</v>
      </c>
      <c r="R1462" s="53" t="str">
        <f t="shared" si="104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73">
        <f t="shared" si="101"/>
        <v>17</v>
      </c>
      <c r="Z1462" s="18">
        <v>46160</v>
      </c>
      <c r="AA1462" s="15"/>
      <c r="AB1462" s="15"/>
      <c r="AF1462" t="str">
        <f t="shared" si="102"/>
        <v>Closed in May</v>
      </c>
    </row>
    <row r="1463" spans="1:32" hidden="1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103"/>
        <v>24</v>
      </c>
      <c r="R1463" s="53" t="str">
        <f t="shared" si="104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73">
        <f t="shared" si="101"/>
        <v>17</v>
      </c>
      <c r="Z1463" s="18">
        <v>46160</v>
      </c>
      <c r="AA1463" s="15"/>
      <c r="AB1463" s="15"/>
      <c r="AF1463" t="str">
        <f t="shared" si="102"/>
        <v>Closed in May</v>
      </c>
    </row>
    <row r="1464" spans="1:32" hidden="1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103"/>
        <v>24</v>
      </c>
      <c r="R1464" s="53" t="str">
        <f t="shared" si="104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73">
        <f t="shared" si="101"/>
        <v>17</v>
      </c>
      <c r="Z1464" s="18">
        <v>46160</v>
      </c>
      <c r="AA1464" s="15"/>
      <c r="AB1464" s="15"/>
      <c r="AF1464" t="str">
        <f t="shared" si="102"/>
        <v>Closed in May</v>
      </c>
    </row>
    <row r="1465" spans="1:32" hidden="1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103"/>
        <v>24</v>
      </c>
      <c r="R1465" s="53" t="str">
        <f t="shared" si="104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73">
        <f t="shared" si="101"/>
        <v>17</v>
      </c>
      <c r="Z1465" s="18">
        <v>46160</v>
      </c>
      <c r="AA1465" s="15"/>
      <c r="AB1465" s="15"/>
      <c r="AF1465" t="str">
        <f t="shared" si="102"/>
        <v>Closed in May</v>
      </c>
    </row>
    <row r="1466" spans="1:32" hidden="1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103"/>
        <v>24</v>
      </c>
      <c r="R1466" s="53" t="str">
        <f t="shared" si="104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73">
        <f t="shared" si="101"/>
        <v>17</v>
      </c>
      <c r="Z1466" s="18">
        <v>46160</v>
      </c>
      <c r="AA1466" s="15"/>
      <c r="AB1466" s="15"/>
      <c r="AF1466" t="str">
        <f t="shared" si="102"/>
        <v>Closed in May</v>
      </c>
    </row>
    <row r="1467" spans="1:32" hidden="1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103"/>
        <v>24</v>
      </c>
      <c r="R1467" s="53" t="str">
        <f t="shared" si="104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73">
        <f t="shared" si="101"/>
        <v>17</v>
      </c>
      <c r="Z1467" s="18">
        <v>46160</v>
      </c>
      <c r="AA1467" s="15"/>
      <c r="AB1467" s="15"/>
      <c r="AF1467" t="str">
        <f t="shared" si="102"/>
        <v>Closed in May</v>
      </c>
    </row>
    <row r="1468" spans="1:32" hidden="1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103"/>
        <v>24</v>
      </c>
      <c r="R1468" s="53" t="str">
        <f t="shared" si="104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73">
        <f t="shared" si="101"/>
        <v>17</v>
      </c>
      <c r="Z1468" s="18">
        <v>46160</v>
      </c>
      <c r="AA1468" s="15"/>
      <c r="AB1468" s="15"/>
      <c r="AF1468" t="str">
        <f t="shared" si="102"/>
        <v>Closed in May</v>
      </c>
    </row>
    <row r="1469" spans="1:32" hidden="1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103"/>
        <v>24</v>
      </c>
      <c r="R1469" s="53" t="str">
        <f t="shared" si="104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73">
        <f t="shared" si="101"/>
        <v>17</v>
      </c>
      <c r="Z1469" s="18">
        <v>46160</v>
      </c>
      <c r="AA1469" s="15"/>
      <c r="AB1469" s="15"/>
      <c r="AF1469" t="str">
        <f t="shared" si="102"/>
        <v>Closed in May</v>
      </c>
    </row>
    <row r="1470" spans="1:32" hidden="1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103"/>
        <v>24</v>
      </c>
      <c r="R1470" s="53" t="str">
        <f t="shared" si="104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73">
        <f t="shared" si="101"/>
        <v>17</v>
      </c>
      <c r="Z1470" s="18">
        <v>46160</v>
      </c>
      <c r="AA1470" s="15"/>
      <c r="AB1470" s="15"/>
      <c r="AF1470" t="str">
        <f t="shared" si="102"/>
        <v>Closed in May</v>
      </c>
    </row>
    <row r="1471" spans="1:32" hidden="1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103"/>
        <v>24</v>
      </c>
      <c r="R1471" s="53" t="str">
        <f t="shared" si="104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73">
        <f t="shared" si="101"/>
        <v>17</v>
      </c>
      <c r="Z1471" s="18">
        <v>46160</v>
      </c>
      <c r="AA1471" s="15"/>
      <c r="AB1471" s="15"/>
      <c r="AF1471" t="str">
        <f t="shared" si="102"/>
        <v>Closed in May</v>
      </c>
    </row>
    <row r="1472" spans="1:32" hidden="1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103"/>
        <v>24</v>
      </c>
      <c r="R1472" s="53" t="str">
        <f t="shared" si="104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73">
        <f t="shared" si="101"/>
        <v>17</v>
      </c>
      <c r="Z1472" s="18">
        <v>46160</v>
      </c>
      <c r="AA1472" s="15"/>
      <c r="AB1472" s="15"/>
      <c r="AF1472" t="str">
        <f t="shared" si="102"/>
        <v>Closed in May</v>
      </c>
    </row>
    <row r="1473" spans="1:32" hidden="1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103"/>
        <v>24</v>
      </c>
      <c r="R1473" s="53" t="str">
        <f t="shared" si="104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73">
        <f t="shared" si="101"/>
        <v>17</v>
      </c>
      <c r="Z1473" s="18">
        <v>46160</v>
      </c>
      <c r="AA1473" s="15"/>
      <c r="AB1473" s="15"/>
      <c r="AF1473" t="str">
        <f t="shared" si="102"/>
        <v>Closed in May</v>
      </c>
    </row>
    <row r="1474" spans="1:32" hidden="1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103"/>
        <v>24</v>
      </c>
      <c r="R1474" s="53" t="str">
        <f t="shared" si="104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73">
        <f t="shared" ref="Y1474:Y1537" si="105">IF(X1474="","",X1474-A1474)</f>
        <v>17</v>
      </c>
      <c r="Z1474" s="18">
        <v>46160</v>
      </c>
      <c r="AA1474" s="15"/>
      <c r="AB1474" s="15"/>
      <c r="AF1474" t="str">
        <f t="shared" ref="AF1474:AF1537" si="106">IF(AND($F1474="Closed",$X1474&gt;=DATE(2026,5,1),$X1474&lt;=DATE(2026,5,31)),"Closed in May","Other")</f>
        <v>Closed in May</v>
      </c>
    </row>
    <row r="1475" spans="1:32" hidden="1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103"/>
        <v>24</v>
      </c>
      <c r="R1475" s="53" t="str">
        <f t="shared" si="104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73">
        <f t="shared" si="105"/>
        <v>17</v>
      </c>
      <c r="Z1475" s="18">
        <v>46160</v>
      </c>
      <c r="AA1475" s="15"/>
      <c r="AB1475" s="15"/>
      <c r="AF1475" t="str">
        <f t="shared" si="106"/>
        <v>Closed in May</v>
      </c>
    </row>
    <row r="1476" spans="1:32" hidden="1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103"/>
        <v>24</v>
      </c>
      <c r="R1476" s="53" t="str">
        <f t="shared" si="104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73">
        <f t="shared" si="105"/>
        <v>17</v>
      </c>
      <c r="Z1476" s="18">
        <v>46160</v>
      </c>
      <c r="AA1476" s="15"/>
      <c r="AB1476" s="15"/>
      <c r="AF1476" t="str">
        <f t="shared" si="106"/>
        <v>Closed in May</v>
      </c>
    </row>
    <row r="1477" spans="1:32" hidden="1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103"/>
        <v>24</v>
      </c>
      <c r="R1477" s="53" t="str">
        <f t="shared" si="104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73">
        <f t="shared" si="105"/>
        <v>17</v>
      </c>
      <c r="Z1477" s="18">
        <v>46160</v>
      </c>
      <c r="AA1477" s="15"/>
      <c r="AB1477" s="15"/>
      <c r="AF1477" t="str">
        <f t="shared" si="106"/>
        <v>Closed in May</v>
      </c>
    </row>
    <row r="1478" spans="1:32" hidden="1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103"/>
        <v>24</v>
      </c>
      <c r="R1478" s="53" t="str">
        <f t="shared" si="104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73">
        <f t="shared" si="105"/>
        <v>17</v>
      </c>
      <c r="Z1478" s="18">
        <v>46160</v>
      </c>
      <c r="AA1478" s="15"/>
      <c r="AB1478" s="15"/>
      <c r="AF1478" t="str">
        <f t="shared" si="106"/>
        <v>Closed in May</v>
      </c>
    </row>
    <row r="1479" spans="1:32" hidden="1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103"/>
        <v>24</v>
      </c>
      <c r="R1479" s="53" t="str">
        <f t="shared" si="104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73">
        <f t="shared" si="105"/>
        <v>17</v>
      </c>
      <c r="Z1479" s="18">
        <v>46160</v>
      </c>
      <c r="AA1479" s="15"/>
      <c r="AB1479" s="15"/>
      <c r="AF1479" t="str">
        <f t="shared" si="106"/>
        <v>Closed in May</v>
      </c>
    </row>
    <row r="1480" spans="1:32" hidden="1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103"/>
        <v>24</v>
      </c>
      <c r="R1480" s="53" t="str">
        <f t="shared" si="104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73">
        <f t="shared" si="105"/>
        <v>17</v>
      </c>
      <c r="Z1480" s="18">
        <v>46160</v>
      </c>
      <c r="AA1480" s="15"/>
      <c r="AB1480" s="15"/>
      <c r="AF1480" t="str">
        <f t="shared" si="106"/>
        <v>Closed in May</v>
      </c>
    </row>
    <row r="1481" spans="1:32" hidden="1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103"/>
        <v>24</v>
      </c>
      <c r="R1481" s="53" t="str">
        <f t="shared" si="104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73">
        <f t="shared" si="105"/>
        <v>17</v>
      </c>
      <c r="Z1481" s="18">
        <v>46160</v>
      </c>
      <c r="AA1481" s="15"/>
      <c r="AB1481" s="15"/>
      <c r="AF1481" t="str">
        <f t="shared" si="106"/>
        <v>Closed in May</v>
      </c>
    </row>
    <row r="1482" spans="1:32" hidden="1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103"/>
        <v>24</v>
      </c>
      <c r="R1482" s="53" t="str">
        <f t="shared" si="104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73">
        <f t="shared" si="105"/>
        <v>17</v>
      </c>
      <c r="Z1482" s="18">
        <v>46160</v>
      </c>
      <c r="AA1482" s="15"/>
      <c r="AB1482" s="15"/>
      <c r="AF1482" t="str">
        <f t="shared" si="106"/>
        <v>Closed in May</v>
      </c>
    </row>
    <row r="1483" spans="1:32" hidden="1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103"/>
        <v>24</v>
      </c>
      <c r="R1483" s="53" t="str">
        <f t="shared" si="104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73">
        <f t="shared" si="105"/>
        <v>17</v>
      </c>
      <c r="Z1483" s="18">
        <v>46160</v>
      </c>
      <c r="AA1483" s="15"/>
      <c r="AB1483" s="15"/>
      <c r="AF1483" t="str">
        <f t="shared" si="106"/>
        <v>Closed in May</v>
      </c>
    </row>
    <row r="1484" spans="1:32" hidden="1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103"/>
        <v>24</v>
      </c>
      <c r="R1484" s="53" t="str">
        <f t="shared" si="104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73">
        <f t="shared" si="105"/>
        <v>17</v>
      </c>
      <c r="Z1484" s="18">
        <v>46160</v>
      </c>
      <c r="AA1484" s="15"/>
      <c r="AB1484" s="15"/>
      <c r="AF1484" t="str">
        <f t="shared" si="106"/>
        <v>Closed in May</v>
      </c>
    </row>
    <row r="1485" spans="1:32" hidden="1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103"/>
        <v>24</v>
      </c>
      <c r="R1485" s="53" t="str">
        <f t="shared" si="104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73">
        <f t="shared" si="105"/>
        <v>17</v>
      </c>
      <c r="Z1485" s="18">
        <v>46160</v>
      </c>
      <c r="AA1485" s="15"/>
      <c r="AB1485" s="15"/>
      <c r="AF1485" t="str">
        <f t="shared" si="106"/>
        <v>Closed in May</v>
      </c>
    </row>
    <row r="1486" spans="1:32" hidden="1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103"/>
        <v>24</v>
      </c>
      <c r="R1486" s="53" t="str">
        <f t="shared" si="104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73">
        <f t="shared" si="105"/>
        <v>17</v>
      </c>
      <c r="Z1486" s="18">
        <v>46160</v>
      </c>
      <c r="AA1486" s="15"/>
      <c r="AB1486" s="15"/>
      <c r="AF1486" t="str">
        <f t="shared" si="106"/>
        <v>Closed in May</v>
      </c>
    </row>
    <row r="1487" spans="1:32" hidden="1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103"/>
        <v>24</v>
      </c>
      <c r="R1487" s="53" t="str">
        <f t="shared" si="104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73">
        <f t="shared" si="105"/>
        <v>17</v>
      </c>
      <c r="Z1487" s="18">
        <v>46160</v>
      </c>
      <c r="AA1487" s="15"/>
      <c r="AB1487" s="15"/>
      <c r="AF1487" t="str">
        <f t="shared" si="106"/>
        <v>Closed in May</v>
      </c>
    </row>
    <row r="1488" spans="1:32" hidden="1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103"/>
        <v>24</v>
      </c>
      <c r="R1488" s="53" t="str">
        <f t="shared" si="104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73">
        <f t="shared" si="105"/>
        <v>17</v>
      </c>
      <c r="Z1488" s="18">
        <v>46160</v>
      </c>
      <c r="AA1488" s="15"/>
      <c r="AB1488" s="15"/>
      <c r="AF1488" t="str">
        <f t="shared" si="106"/>
        <v>Closed in May</v>
      </c>
    </row>
    <row r="1489" spans="1:32" hidden="1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103"/>
        <v>24</v>
      </c>
      <c r="R1489" s="53" t="str">
        <f t="shared" si="104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73">
        <f t="shared" si="105"/>
        <v>18</v>
      </c>
      <c r="Z1489" s="18">
        <v>46161</v>
      </c>
      <c r="AA1489" s="15"/>
      <c r="AB1489" s="15"/>
      <c r="AF1489" t="str">
        <f t="shared" si="106"/>
        <v>Closed in May</v>
      </c>
    </row>
    <row r="1490" spans="1:32" hidden="1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103"/>
        <v>24</v>
      </c>
      <c r="R1490" s="53" t="str">
        <f t="shared" si="104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73">
        <f t="shared" si="105"/>
        <v>18</v>
      </c>
      <c r="Z1490" s="18">
        <v>46161</v>
      </c>
      <c r="AA1490" s="15"/>
      <c r="AB1490" s="15"/>
      <c r="AF1490" t="str">
        <f t="shared" si="106"/>
        <v>Closed in May</v>
      </c>
    </row>
    <row r="1491" spans="1:32" hidden="1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103"/>
        <v>24</v>
      </c>
      <c r="R1491" s="53" t="str">
        <f t="shared" si="104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73">
        <f t="shared" si="105"/>
        <v>18</v>
      </c>
      <c r="Z1491" s="18">
        <v>46161</v>
      </c>
      <c r="AA1491" s="15"/>
      <c r="AB1491" s="15"/>
      <c r="AF1491" t="str">
        <f t="shared" si="106"/>
        <v>Closed in May</v>
      </c>
    </row>
    <row r="1492" spans="1:32" hidden="1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103"/>
        <v>24</v>
      </c>
      <c r="R1492" s="53" t="str">
        <f t="shared" si="104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73">
        <f t="shared" si="105"/>
        <v>18</v>
      </c>
      <c r="Z1492" s="18">
        <v>46161</v>
      </c>
      <c r="AA1492" s="15"/>
      <c r="AB1492" s="15"/>
      <c r="AF1492" t="str">
        <f t="shared" si="106"/>
        <v>Closed in May</v>
      </c>
    </row>
    <row r="1493" spans="1:32" hidden="1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103"/>
        <v>24</v>
      </c>
      <c r="R1493" s="53" t="str">
        <f t="shared" si="104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73">
        <f t="shared" si="105"/>
        <v>18</v>
      </c>
      <c r="Z1493" s="18">
        <v>46161</v>
      </c>
      <c r="AA1493" s="15"/>
      <c r="AB1493" s="15"/>
      <c r="AF1493" t="str">
        <f t="shared" si="106"/>
        <v>Closed in May</v>
      </c>
    </row>
    <row r="1494" spans="1:32" hidden="1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103"/>
        <v>24</v>
      </c>
      <c r="R1494" s="53" t="str">
        <f t="shared" si="104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73">
        <f t="shared" si="105"/>
        <v>18</v>
      </c>
      <c r="Z1494" s="18">
        <v>46161</v>
      </c>
      <c r="AA1494" s="15"/>
      <c r="AB1494" s="15"/>
      <c r="AF1494" t="str">
        <f t="shared" si="106"/>
        <v>Closed in May</v>
      </c>
    </row>
    <row r="1495" spans="1:32" hidden="1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103"/>
        <v>24</v>
      </c>
      <c r="R1495" s="53" t="str">
        <f t="shared" si="104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73">
        <f t="shared" si="105"/>
        <v>18</v>
      </c>
      <c r="Z1495" s="18">
        <v>46161</v>
      </c>
      <c r="AA1495" s="15"/>
      <c r="AB1495" s="15"/>
      <c r="AF1495" t="str">
        <f t="shared" si="106"/>
        <v>Closed in May</v>
      </c>
    </row>
    <row r="1496" spans="1:32" hidden="1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103"/>
        <v>24</v>
      </c>
      <c r="R1496" s="53" t="str">
        <f t="shared" si="104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73">
        <f t="shared" si="105"/>
        <v>18</v>
      </c>
      <c r="Z1496" s="18">
        <v>46161</v>
      </c>
      <c r="AA1496" s="15"/>
      <c r="AB1496" s="15"/>
      <c r="AF1496" t="str">
        <f t="shared" si="106"/>
        <v>Closed in May</v>
      </c>
    </row>
    <row r="1497" spans="1:32" hidden="1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103"/>
        <v>24</v>
      </c>
      <c r="R1497" s="53" t="str">
        <f t="shared" si="104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73">
        <f t="shared" si="105"/>
        <v>18</v>
      </c>
      <c r="Z1497" s="18">
        <v>46161</v>
      </c>
      <c r="AA1497" s="15"/>
      <c r="AB1497" s="15"/>
      <c r="AF1497" t="str">
        <f t="shared" si="106"/>
        <v>Closed in May</v>
      </c>
    </row>
    <row r="1498" spans="1:32" hidden="1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103"/>
        <v>24</v>
      </c>
      <c r="R1498" s="53" t="str">
        <f t="shared" si="104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73">
        <f t="shared" si="105"/>
        <v>18</v>
      </c>
      <c r="Z1498" s="18">
        <v>46161</v>
      </c>
      <c r="AA1498" s="15"/>
      <c r="AB1498" s="15"/>
      <c r="AF1498" t="str">
        <f t="shared" si="106"/>
        <v>Closed in May</v>
      </c>
    </row>
    <row r="1499" spans="1:32" hidden="1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103"/>
        <v>24</v>
      </c>
      <c r="R1499" s="53" t="str">
        <f t="shared" si="104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73">
        <f t="shared" si="105"/>
        <v>18</v>
      </c>
      <c r="Z1499" s="18">
        <v>46161</v>
      </c>
      <c r="AA1499" s="15"/>
      <c r="AB1499" s="15"/>
      <c r="AF1499" t="str">
        <f t="shared" si="106"/>
        <v>Closed in May</v>
      </c>
    </row>
    <row r="1500" spans="1:32" hidden="1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103"/>
        <v>24</v>
      </c>
      <c r="R1500" s="53" t="str">
        <f t="shared" si="104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73">
        <f t="shared" si="105"/>
        <v>18</v>
      </c>
      <c r="Z1500" s="18">
        <v>46161</v>
      </c>
      <c r="AA1500" s="15"/>
      <c r="AB1500" s="15"/>
      <c r="AF1500" t="str">
        <f t="shared" si="106"/>
        <v>Closed in May</v>
      </c>
    </row>
    <row r="1501" spans="1:32" hidden="1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103"/>
        <v>24</v>
      </c>
      <c r="R1501" s="53" t="str">
        <f t="shared" si="104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73">
        <f t="shared" si="105"/>
        <v>18</v>
      </c>
      <c r="Z1501" s="18">
        <v>46161</v>
      </c>
      <c r="AA1501" s="15"/>
      <c r="AB1501" s="15"/>
      <c r="AF1501" t="str">
        <f t="shared" si="106"/>
        <v>Closed in May</v>
      </c>
    </row>
    <row r="1502" spans="1:32" hidden="1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103"/>
        <v>24</v>
      </c>
      <c r="R1502" s="53" t="str">
        <f t="shared" si="104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73">
        <f t="shared" si="105"/>
        <v>18</v>
      </c>
      <c r="Z1502" s="18">
        <v>46161</v>
      </c>
      <c r="AA1502" s="15"/>
      <c r="AB1502" s="15"/>
      <c r="AF1502" t="str">
        <f t="shared" si="106"/>
        <v>Closed in May</v>
      </c>
    </row>
    <row r="1503" spans="1:32" hidden="1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103"/>
        <v>24</v>
      </c>
      <c r="R1503" s="53" t="str">
        <f t="shared" si="104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73">
        <f t="shared" si="105"/>
        <v>18</v>
      </c>
      <c r="Z1503" s="18">
        <v>46161</v>
      </c>
      <c r="AA1503" s="15"/>
      <c r="AB1503" s="15"/>
      <c r="AF1503" t="str">
        <f t="shared" si="106"/>
        <v>Closed in May</v>
      </c>
    </row>
    <row r="1504" spans="1:32" hidden="1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103"/>
        <v>24</v>
      </c>
      <c r="R1504" s="53" t="str">
        <f t="shared" si="104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73">
        <f t="shared" si="105"/>
        <v>18</v>
      </c>
      <c r="Z1504" s="18">
        <v>46161</v>
      </c>
      <c r="AA1504" s="15"/>
      <c r="AB1504" s="15"/>
      <c r="AF1504" t="str">
        <f t="shared" si="106"/>
        <v>Closed in May</v>
      </c>
    </row>
    <row r="1505" spans="1:32" hidden="1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103"/>
        <v>24</v>
      </c>
      <c r="R1505" s="53" t="str">
        <f t="shared" si="104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73">
        <f t="shared" si="105"/>
        <v>18</v>
      </c>
      <c r="Z1505" s="18">
        <v>46161</v>
      </c>
      <c r="AA1505" s="15"/>
      <c r="AB1505" s="15"/>
      <c r="AF1505" t="str">
        <f t="shared" si="106"/>
        <v>Closed in May</v>
      </c>
    </row>
    <row r="1506" spans="1:32" hidden="1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103"/>
        <v>24</v>
      </c>
      <c r="R1506" s="53" t="str">
        <f t="shared" si="104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73">
        <f t="shared" si="105"/>
        <v>18</v>
      </c>
      <c r="Z1506" s="18">
        <v>46161</v>
      </c>
      <c r="AA1506" s="15"/>
      <c r="AB1506" s="15"/>
      <c r="AF1506" t="str">
        <f t="shared" si="106"/>
        <v>Closed in May</v>
      </c>
    </row>
    <row r="1507" spans="1:32" hidden="1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103"/>
        <v>24</v>
      </c>
      <c r="R1507" s="53" t="str">
        <f t="shared" si="104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73">
        <f t="shared" si="105"/>
        <v>18</v>
      </c>
      <c r="Z1507" s="18">
        <v>46161</v>
      </c>
      <c r="AA1507" s="15"/>
      <c r="AB1507" s="15"/>
      <c r="AF1507" t="str">
        <f t="shared" si="106"/>
        <v>Closed in May</v>
      </c>
    </row>
    <row r="1508" spans="1:32" hidden="1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103"/>
        <v>24</v>
      </c>
      <c r="R1508" s="53" t="str">
        <f t="shared" si="104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73">
        <f t="shared" si="105"/>
        <v>18</v>
      </c>
      <c r="Z1508" s="18">
        <v>46161</v>
      </c>
      <c r="AA1508" s="15"/>
      <c r="AB1508" s="15"/>
      <c r="AF1508" t="str">
        <f t="shared" si="106"/>
        <v>Closed in May</v>
      </c>
    </row>
    <row r="1509" spans="1:32" hidden="1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103"/>
        <v>24</v>
      </c>
      <c r="R1509" s="53" t="str">
        <f t="shared" si="104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73">
        <f t="shared" si="105"/>
        <v>18</v>
      </c>
      <c r="Z1509" s="18">
        <v>46161</v>
      </c>
      <c r="AA1509" s="15"/>
      <c r="AB1509" s="15"/>
      <c r="AF1509" t="str">
        <f t="shared" si="106"/>
        <v>Closed in May</v>
      </c>
    </row>
    <row r="1510" spans="1:32" hidden="1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103"/>
        <v>24</v>
      </c>
      <c r="R1510" s="53" t="str">
        <f t="shared" si="104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73">
        <f t="shared" si="105"/>
        <v>18</v>
      </c>
      <c r="Z1510" s="18">
        <v>46161</v>
      </c>
      <c r="AA1510" s="15"/>
      <c r="AB1510" s="15"/>
      <c r="AF1510" t="str">
        <f t="shared" si="106"/>
        <v>Closed in May</v>
      </c>
    </row>
    <row r="1511" spans="1:32" hidden="1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107">MID(P1511,5,2)</f>
        <v>24</v>
      </c>
      <c r="R1511" s="53" t="str">
        <f t="shared" ref="R1511:R1574" si="108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73">
        <f t="shared" si="105"/>
        <v>18</v>
      </c>
      <c r="Z1511" s="18">
        <v>46161</v>
      </c>
      <c r="AA1511" s="15"/>
      <c r="AB1511" s="15"/>
      <c r="AF1511" t="str">
        <f t="shared" si="106"/>
        <v>Closed in May</v>
      </c>
    </row>
    <row r="1512" spans="1:32" hidden="1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107"/>
        <v>24</v>
      </c>
      <c r="R1512" s="53" t="str">
        <f t="shared" si="108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73">
        <f t="shared" si="105"/>
        <v>18</v>
      </c>
      <c r="Z1512" s="18">
        <v>46161</v>
      </c>
      <c r="AA1512" s="15"/>
      <c r="AB1512" s="15"/>
      <c r="AF1512" t="str">
        <f t="shared" si="106"/>
        <v>Closed in May</v>
      </c>
    </row>
    <row r="1513" spans="1:32" hidden="1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107"/>
        <v>24</v>
      </c>
      <c r="R1513" s="53" t="str">
        <f t="shared" si="108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73">
        <f t="shared" si="105"/>
        <v>18</v>
      </c>
      <c r="Z1513" s="18">
        <v>46161</v>
      </c>
      <c r="AA1513" s="15"/>
      <c r="AB1513" s="15"/>
      <c r="AF1513" t="str">
        <f t="shared" si="106"/>
        <v>Closed in May</v>
      </c>
    </row>
    <row r="1514" spans="1:32" hidden="1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107"/>
        <v>24</v>
      </c>
      <c r="R1514" s="53" t="str">
        <f t="shared" si="108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73">
        <f t="shared" si="105"/>
        <v>18</v>
      </c>
      <c r="Z1514" s="18">
        <v>46161</v>
      </c>
      <c r="AA1514" s="15"/>
      <c r="AB1514" s="15"/>
      <c r="AF1514" t="str">
        <f t="shared" si="106"/>
        <v>Closed in May</v>
      </c>
    </row>
    <row r="1515" spans="1:32" hidden="1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107"/>
        <v>24</v>
      </c>
      <c r="R1515" s="53" t="str">
        <f t="shared" si="108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73">
        <f t="shared" si="105"/>
        <v>18</v>
      </c>
      <c r="Z1515" s="18">
        <v>46161</v>
      </c>
      <c r="AA1515" s="15"/>
      <c r="AB1515" s="15"/>
      <c r="AF1515" t="str">
        <f t="shared" si="106"/>
        <v>Closed in May</v>
      </c>
    </row>
    <row r="1516" spans="1:32" hidden="1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107"/>
        <v>24</v>
      </c>
      <c r="R1516" s="53" t="str">
        <f t="shared" si="108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73">
        <f t="shared" si="105"/>
        <v>18</v>
      </c>
      <c r="Z1516" s="18">
        <v>46161</v>
      </c>
      <c r="AA1516" s="15"/>
      <c r="AB1516" s="15"/>
      <c r="AF1516" t="str">
        <f t="shared" si="106"/>
        <v>Closed in May</v>
      </c>
    </row>
    <row r="1517" spans="1:32" hidden="1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107"/>
        <v>24</v>
      </c>
      <c r="R1517" s="53" t="str">
        <f t="shared" si="108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73">
        <f t="shared" si="105"/>
        <v>18</v>
      </c>
      <c r="Z1517" s="18">
        <v>46161</v>
      </c>
      <c r="AA1517" s="15"/>
      <c r="AB1517" s="15"/>
      <c r="AF1517" t="str">
        <f t="shared" si="106"/>
        <v>Closed in May</v>
      </c>
    </row>
    <row r="1518" spans="1:32" hidden="1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107"/>
        <v>24</v>
      </c>
      <c r="R1518" s="53" t="str">
        <f t="shared" si="108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73">
        <f t="shared" si="105"/>
        <v>18</v>
      </c>
      <c r="Z1518" s="18">
        <v>46161</v>
      </c>
      <c r="AA1518" s="15"/>
      <c r="AB1518" s="15"/>
      <c r="AF1518" t="str">
        <f t="shared" si="106"/>
        <v>Closed in May</v>
      </c>
    </row>
    <row r="1519" spans="1:32" hidden="1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107"/>
        <v>24</v>
      </c>
      <c r="R1519" s="53" t="str">
        <f t="shared" si="108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73">
        <f t="shared" si="105"/>
        <v>18</v>
      </c>
      <c r="Z1519" s="18">
        <v>46161</v>
      </c>
      <c r="AA1519" s="15"/>
      <c r="AB1519" s="15"/>
      <c r="AF1519" t="str">
        <f t="shared" si="106"/>
        <v>Closed in May</v>
      </c>
    </row>
    <row r="1520" spans="1:32" hidden="1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107"/>
        <v>24</v>
      </c>
      <c r="R1520" s="53" t="str">
        <f t="shared" si="108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73">
        <f t="shared" si="105"/>
        <v>18</v>
      </c>
      <c r="Z1520" s="18">
        <v>46161</v>
      </c>
      <c r="AA1520" s="15"/>
      <c r="AB1520" s="15"/>
      <c r="AF1520" t="str">
        <f t="shared" si="106"/>
        <v>Closed in May</v>
      </c>
    </row>
    <row r="1521" spans="1:32" hidden="1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107"/>
        <v>24</v>
      </c>
      <c r="R1521" s="53" t="str">
        <f t="shared" si="108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73">
        <f t="shared" si="105"/>
        <v>18</v>
      </c>
      <c r="Z1521" s="18">
        <v>46161</v>
      </c>
      <c r="AA1521" s="15"/>
      <c r="AB1521" s="15"/>
      <c r="AF1521" t="str">
        <f t="shared" si="106"/>
        <v>Closed in May</v>
      </c>
    </row>
    <row r="1522" spans="1:32" hidden="1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107"/>
        <v>24</v>
      </c>
      <c r="R1522" s="53" t="str">
        <f t="shared" si="108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73">
        <f t="shared" si="105"/>
        <v>18</v>
      </c>
      <c r="Z1522" s="18">
        <v>46161</v>
      </c>
      <c r="AA1522" s="15"/>
      <c r="AB1522" s="15"/>
      <c r="AF1522" t="str">
        <f t="shared" si="106"/>
        <v>Closed in May</v>
      </c>
    </row>
    <row r="1523" spans="1:32" hidden="1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107"/>
        <v>24</v>
      </c>
      <c r="R1523" s="53" t="str">
        <f t="shared" si="108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73">
        <f t="shared" si="105"/>
        <v>18</v>
      </c>
      <c r="Z1523" s="18">
        <v>46161</v>
      </c>
      <c r="AA1523" s="15"/>
      <c r="AB1523" s="15"/>
      <c r="AF1523" t="str">
        <f t="shared" si="106"/>
        <v>Closed in May</v>
      </c>
    </row>
    <row r="1524" spans="1:32" hidden="1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107"/>
        <v>24</v>
      </c>
      <c r="R1524" s="53" t="str">
        <f t="shared" si="108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73">
        <f t="shared" si="105"/>
        <v>18</v>
      </c>
      <c r="Z1524" s="18">
        <v>46161</v>
      </c>
      <c r="AA1524" s="15"/>
      <c r="AB1524" s="15"/>
      <c r="AF1524" t="str">
        <f t="shared" si="106"/>
        <v>Closed in May</v>
      </c>
    </row>
    <row r="1525" spans="1:32" hidden="1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107"/>
        <v>24</v>
      </c>
      <c r="R1525" s="53" t="str">
        <f t="shared" si="108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73">
        <f t="shared" si="105"/>
        <v>18</v>
      </c>
      <c r="Z1525" s="18">
        <v>46161</v>
      </c>
      <c r="AA1525" s="15"/>
      <c r="AB1525" s="15"/>
      <c r="AF1525" t="str">
        <f t="shared" si="106"/>
        <v>Closed in May</v>
      </c>
    </row>
    <row r="1526" spans="1:32" hidden="1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107"/>
        <v>24</v>
      </c>
      <c r="R1526" s="53" t="str">
        <f t="shared" si="108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73">
        <f t="shared" si="105"/>
        <v>18</v>
      </c>
      <c r="Z1526" s="18">
        <v>46161</v>
      </c>
      <c r="AA1526" s="15"/>
      <c r="AB1526" s="15"/>
      <c r="AF1526" t="str">
        <f t="shared" si="106"/>
        <v>Closed in May</v>
      </c>
    </row>
    <row r="1527" spans="1:32" hidden="1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107"/>
        <v>24</v>
      </c>
      <c r="R1527" s="53" t="str">
        <f t="shared" si="108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73">
        <f t="shared" si="105"/>
        <v>18</v>
      </c>
      <c r="Z1527" s="18">
        <v>46161</v>
      </c>
      <c r="AA1527" s="15"/>
      <c r="AB1527" s="15"/>
      <c r="AF1527" t="str">
        <f t="shared" si="106"/>
        <v>Closed in May</v>
      </c>
    </row>
    <row r="1528" spans="1:32" hidden="1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107"/>
        <v>24</v>
      </c>
      <c r="R1528" s="53" t="str">
        <f t="shared" si="108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73">
        <f t="shared" si="105"/>
        <v>18</v>
      </c>
      <c r="Z1528" s="18">
        <v>46161</v>
      </c>
      <c r="AA1528" s="15"/>
      <c r="AB1528" s="15"/>
      <c r="AF1528" t="str">
        <f t="shared" si="106"/>
        <v>Closed in May</v>
      </c>
    </row>
    <row r="1529" spans="1:32" hidden="1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107"/>
        <v>24</v>
      </c>
      <c r="R1529" s="53" t="str">
        <f t="shared" si="108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73">
        <f t="shared" si="105"/>
        <v>18</v>
      </c>
      <c r="Z1529" s="18">
        <v>46161</v>
      </c>
      <c r="AA1529" s="15"/>
      <c r="AB1529" s="15"/>
      <c r="AF1529" t="str">
        <f t="shared" si="106"/>
        <v>Closed in May</v>
      </c>
    </row>
    <row r="1530" spans="1:32" hidden="1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107"/>
        <v>24</v>
      </c>
      <c r="R1530" s="53" t="str">
        <f t="shared" si="108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73">
        <f t="shared" si="105"/>
        <v>18</v>
      </c>
      <c r="Z1530" s="18">
        <v>46161</v>
      </c>
      <c r="AA1530" s="15"/>
      <c r="AB1530" s="15"/>
      <c r="AF1530" t="str">
        <f t="shared" si="106"/>
        <v>Closed in May</v>
      </c>
    </row>
    <row r="1531" spans="1:32" hidden="1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511</v>
      </c>
      <c r="O1531" s="39">
        <v>540</v>
      </c>
      <c r="P1531" s="8" t="s">
        <v>1730</v>
      </c>
      <c r="Q1531" s="53" t="str">
        <f t="shared" si="107"/>
        <v>25</v>
      </c>
      <c r="R1531" s="53" t="str">
        <f t="shared" si="108"/>
        <v>09</v>
      </c>
      <c r="S1531" s="3" t="s">
        <v>199</v>
      </c>
      <c r="T1531" s="3" t="s">
        <v>40</v>
      </c>
      <c r="U1531" s="19" t="s">
        <v>514</v>
      </c>
      <c r="V1531" s="3" t="s">
        <v>65</v>
      </c>
      <c r="W1531" s="3" t="s">
        <v>65</v>
      </c>
      <c r="X1531" s="18">
        <v>46162</v>
      </c>
      <c r="Y1531" s="73">
        <f t="shared" si="105"/>
        <v>0</v>
      </c>
      <c r="Z1531" s="18" t="s">
        <v>349</v>
      </c>
      <c r="AA1531" s="15"/>
      <c r="AB1531" s="15"/>
      <c r="AF1531" t="str">
        <f t="shared" si="106"/>
        <v>Closed in May</v>
      </c>
    </row>
    <row r="1532" spans="1:32" hidden="1">
      <c r="A1532" s="6">
        <v>46107</v>
      </c>
      <c r="B1532" s="3">
        <v>2026</v>
      </c>
      <c r="C1532" s="3" t="s">
        <v>114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107"/>
        <v>24</v>
      </c>
      <c r="R1532" s="53" t="str">
        <f t="shared" si="108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73">
        <f t="shared" si="105"/>
        <v>55</v>
      </c>
      <c r="Z1532" s="18">
        <v>46162</v>
      </c>
      <c r="AA1532" s="15"/>
      <c r="AB1532" s="15"/>
      <c r="AF1532" t="str">
        <f t="shared" si="106"/>
        <v>Closed in May</v>
      </c>
    </row>
    <row r="1533" spans="1:32" hidden="1">
      <c r="A1533" s="6">
        <v>46107</v>
      </c>
      <c r="B1533" s="3">
        <v>2026</v>
      </c>
      <c r="C1533" s="3" t="s">
        <v>114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107"/>
        <v>24</v>
      </c>
      <c r="R1533" s="53" t="str">
        <f t="shared" si="108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73">
        <f t="shared" si="105"/>
        <v>55</v>
      </c>
      <c r="Z1533" s="18">
        <v>46162</v>
      </c>
      <c r="AA1533" s="15"/>
      <c r="AB1533" s="15"/>
      <c r="AF1533" t="str">
        <f t="shared" si="106"/>
        <v>Closed in May</v>
      </c>
    </row>
    <row r="1534" spans="1:32" hidden="1">
      <c r="A1534" s="6">
        <v>46107</v>
      </c>
      <c r="B1534" s="3">
        <v>2026</v>
      </c>
      <c r="C1534" s="3" t="s">
        <v>114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107"/>
        <v>24</v>
      </c>
      <c r="R1534" s="53" t="str">
        <f t="shared" si="108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73">
        <f t="shared" si="105"/>
        <v>55</v>
      </c>
      <c r="Z1534" s="18">
        <v>46162</v>
      </c>
      <c r="AA1534" s="15"/>
      <c r="AB1534" s="15"/>
      <c r="AF1534" t="str">
        <f t="shared" si="106"/>
        <v>Closed in May</v>
      </c>
    </row>
    <row r="1535" spans="1:32" hidden="1">
      <c r="A1535" s="6">
        <v>46107</v>
      </c>
      <c r="B1535" s="3">
        <v>2026</v>
      </c>
      <c r="C1535" s="3" t="s">
        <v>114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107"/>
        <v>24</v>
      </c>
      <c r="R1535" s="53" t="str">
        <f t="shared" si="108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73">
        <f t="shared" si="105"/>
        <v>55</v>
      </c>
      <c r="Z1535" s="18">
        <v>46162</v>
      </c>
      <c r="AA1535" s="15"/>
      <c r="AB1535" s="15"/>
      <c r="AF1535" t="str">
        <f t="shared" si="106"/>
        <v>Closed in May</v>
      </c>
    </row>
    <row r="1536" spans="1:32" hidden="1">
      <c r="A1536" s="6">
        <v>46107</v>
      </c>
      <c r="B1536" s="3">
        <v>2026</v>
      </c>
      <c r="C1536" s="3" t="s">
        <v>114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107"/>
        <v>24</v>
      </c>
      <c r="R1536" s="53" t="str">
        <f t="shared" si="108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73">
        <f t="shared" si="105"/>
        <v>55</v>
      </c>
      <c r="Z1536" s="18">
        <v>46162</v>
      </c>
      <c r="AA1536" s="15"/>
      <c r="AB1536" s="15"/>
      <c r="AF1536" t="str">
        <f t="shared" si="106"/>
        <v>Closed in May</v>
      </c>
    </row>
    <row r="1537" spans="1:32" hidden="1">
      <c r="A1537" s="6">
        <v>46107</v>
      </c>
      <c r="B1537" s="3">
        <v>2026</v>
      </c>
      <c r="C1537" s="3" t="s">
        <v>114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107"/>
        <v>24</v>
      </c>
      <c r="R1537" s="53" t="str">
        <f t="shared" si="108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73">
        <f t="shared" si="105"/>
        <v>55</v>
      </c>
      <c r="Z1537" s="18">
        <v>46162</v>
      </c>
      <c r="AA1537" s="15"/>
      <c r="AB1537" s="15"/>
      <c r="AF1537" t="str">
        <f t="shared" si="106"/>
        <v>Closed in May</v>
      </c>
    </row>
    <row r="1538" spans="1:32" hidden="1">
      <c r="A1538" s="6">
        <v>46107</v>
      </c>
      <c r="B1538" s="3">
        <v>2026</v>
      </c>
      <c r="C1538" s="3" t="s">
        <v>114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107"/>
        <v>24</v>
      </c>
      <c r="R1538" s="53" t="str">
        <f t="shared" si="108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73">
        <f t="shared" ref="Y1538:Y1601" si="109">IF(X1538="","",X1538-A1538)</f>
        <v>55</v>
      </c>
      <c r="Z1538" s="18">
        <v>46162</v>
      </c>
      <c r="AA1538" s="15"/>
      <c r="AB1538" s="15"/>
      <c r="AF1538" t="str">
        <f t="shared" ref="AF1538:AF1601" si="110">IF(AND($F1538="Closed",$X1538&gt;=DATE(2026,5,1),$X1538&lt;=DATE(2026,5,31)),"Closed in May","Other")</f>
        <v>Closed in May</v>
      </c>
    </row>
    <row r="1539" spans="1:32" hidden="1">
      <c r="A1539" s="6">
        <v>46107</v>
      </c>
      <c r="B1539" s="3">
        <v>2026</v>
      </c>
      <c r="C1539" s="3" t="s">
        <v>114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107"/>
        <v>24</v>
      </c>
      <c r="R1539" s="53" t="str">
        <f t="shared" si="108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73">
        <f t="shared" si="109"/>
        <v>55</v>
      </c>
      <c r="Z1539" s="18">
        <v>46162</v>
      </c>
      <c r="AA1539" s="15"/>
      <c r="AB1539" s="15"/>
      <c r="AF1539" t="str">
        <f t="shared" si="110"/>
        <v>Closed in May</v>
      </c>
    </row>
    <row r="1540" spans="1:32" hidden="1">
      <c r="A1540" s="6">
        <v>46107</v>
      </c>
      <c r="B1540" s="3">
        <v>2026</v>
      </c>
      <c r="C1540" s="3" t="s">
        <v>114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107"/>
        <v>24</v>
      </c>
      <c r="R1540" s="53" t="str">
        <f t="shared" si="108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73">
        <f t="shared" si="109"/>
        <v>55</v>
      </c>
      <c r="Z1540" s="18">
        <v>46162</v>
      </c>
      <c r="AA1540" s="15"/>
      <c r="AB1540" s="15"/>
      <c r="AF1540" t="str">
        <f t="shared" si="110"/>
        <v>Closed in May</v>
      </c>
    </row>
    <row r="1541" spans="1:32" hidden="1">
      <c r="A1541" s="6">
        <v>46107</v>
      </c>
      <c r="B1541" s="3">
        <v>2026</v>
      </c>
      <c r="C1541" s="3" t="s">
        <v>114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107"/>
        <v>24</v>
      </c>
      <c r="R1541" s="53" t="str">
        <f t="shared" si="108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73">
        <f t="shared" si="109"/>
        <v>55</v>
      </c>
      <c r="Z1541" s="18">
        <v>46162</v>
      </c>
      <c r="AA1541" s="15"/>
      <c r="AB1541" s="15"/>
      <c r="AF1541" t="str">
        <f t="shared" si="110"/>
        <v>Closed in May</v>
      </c>
    </row>
    <row r="1542" spans="1:32" hidden="1">
      <c r="A1542" s="6">
        <v>46107</v>
      </c>
      <c r="B1542" s="3">
        <v>2026</v>
      </c>
      <c r="C1542" s="3" t="s">
        <v>114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107"/>
        <v>24</v>
      </c>
      <c r="R1542" s="53" t="str">
        <f t="shared" si="108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73">
        <f t="shared" si="109"/>
        <v>55</v>
      </c>
      <c r="Z1542" s="18">
        <v>46162</v>
      </c>
      <c r="AA1542" s="15"/>
      <c r="AB1542" s="15"/>
      <c r="AF1542" t="str">
        <f t="shared" si="110"/>
        <v>Closed in May</v>
      </c>
    </row>
    <row r="1543" spans="1:32" hidden="1">
      <c r="A1543" s="6">
        <v>46107</v>
      </c>
      <c r="B1543" s="3">
        <v>2026</v>
      </c>
      <c r="C1543" s="3" t="s">
        <v>114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107"/>
        <v>24</v>
      </c>
      <c r="R1543" s="53" t="str">
        <f t="shared" si="108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73">
        <f t="shared" si="109"/>
        <v>55</v>
      </c>
      <c r="Z1543" s="18">
        <v>46162</v>
      </c>
      <c r="AA1543" s="15"/>
      <c r="AB1543" s="15"/>
      <c r="AF1543" t="str">
        <f t="shared" si="110"/>
        <v>Closed in May</v>
      </c>
    </row>
    <row r="1544" spans="1:32" hidden="1">
      <c r="A1544" s="6">
        <v>46107</v>
      </c>
      <c r="B1544" s="3">
        <v>2026</v>
      </c>
      <c r="C1544" s="3" t="s">
        <v>114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107"/>
        <v>24</v>
      </c>
      <c r="R1544" s="53" t="str">
        <f t="shared" si="108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73">
        <f t="shared" si="109"/>
        <v>55</v>
      </c>
      <c r="Z1544" s="18">
        <v>46162</v>
      </c>
      <c r="AA1544" s="15"/>
      <c r="AB1544" s="15"/>
      <c r="AF1544" t="str">
        <f t="shared" si="110"/>
        <v>Closed in May</v>
      </c>
    </row>
    <row r="1545" spans="1:32" hidden="1">
      <c r="A1545" s="6">
        <v>46107</v>
      </c>
      <c r="B1545" s="3">
        <v>2026</v>
      </c>
      <c r="C1545" s="3" t="s">
        <v>114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107"/>
        <v>24</v>
      </c>
      <c r="R1545" s="53" t="str">
        <f t="shared" si="108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73">
        <f t="shared" si="109"/>
        <v>55</v>
      </c>
      <c r="Z1545" s="18">
        <v>46162</v>
      </c>
      <c r="AA1545" s="15"/>
      <c r="AB1545" s="15"/>
      <c r="AF1545" t="str">
        <f t="shared" si="110"/>
        <v>Closed in May</v>
      </c>
    </row>
    <row r="1546" spans="1:32" hidden="1">
      <c r="A1546" s="6">
        <v>46107</v>
      </c>
      <c r="B1546" s="3">
        <v>2026</v>
      </c>
      <c r="C1546" s="3" t="s">
        <v>114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107"/>
        <v>24</v>
      </c>
      <c r="R1546" s="53" t="str">
        <f t="shared" si="108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73">
        <f t="shared" si="109"/>
        <v>55</v>
      </c>
      <c r="Z1546" s="18">
        <v>46162</v>
      </c>
      <c r="AA1546" s="15"/>
      <c r="AB1546" s="15"/>
      <c r="AF1546" t="str">
        <f t="shared" si="110"/>
        <v>Closed in May</v>
      </c>
    </row>
    <row r="1547" spans="1:32" hidden="1">
      <c r="A1547" s="6">
        <v>46107</v>
      </c>
      <c r="B1547" s="3">
        <v>2026</v>
      </c>
      <c r="C1547" s="3" t="s">
        <v>114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107"/>
        <v>24</v>
      </c>
      <c r="R1547" s="53" t="str">
        <f t="shared" si="108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73">
        <f t="shared" si="109"/>
        <v>55</v>
      </c>
      <c r="Z1547" s="18">
        <v>46162</v>
      </c>
      <c r="AA1547" s="15"/>
      <c r="AB1547" s="15"/>
      <c r="AF1547" t="str">
        <f t="shared" si="110"/>
        <v>Closed in May</v>
      </c>
    </row>
    <row r="1548" spans="1:32" hidden="1">
      <c r="A1548" s="6">
        <v>46107</v>
      </c>
      <c r="B1548" s="3">
        <v>2026</v>
      </c>
      <c r="C1548" s="3" t="s">
        <v>114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107"/>
        <v>24</v>
      </c>
      <c r="R1548" s="53" t="str">
        <f t="shared" si="108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73">
        <f t="shared" si="109"/>
        <v>55</v>
      </c>
      <c r="Z1548" s="18">
        <v>46162</v>
      </c>
      <c r="AA1548" s="15"/>
      <c r="AB1548" s="15"/>
      <c r="AF1548" t="str">
        <f t="shared" si="110"/>
        <v>Closed in May</v>
      </c>
    </row>
    <row r="1549" spans="1:32" hidden="1">
      <c r="A1549" s="6">
        <v>46107</v>
      </c>
      <c r="B1549" s="3">
        <v>2026</v>
      </c>
      <c r="C1549" s="3" t="s">
        <v>114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107"/>
        <v>24</v>
      </c>
      <c r="R1549" s="53" t="str">
        <f t="shared" si="108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73">
        <f t="shared" si="109"/>
        <v>55</v>
      </c>
      <c r="Z1549" s="18">
        <v>46162</v>
      </c>
      <c r="AA1549" s="15"/>
      <c r="AB1549" s="15"/>
      <c r="AF1549" t="str">
        <f t="shared" si="110"/>
        <v>Closed in May</v>
      </c>
    </row>
    <row r="1550" spans="1:32" hidden="1">
      <c r="A1550" s="6">
        <v>46107</v>
      </c>
      <c r="B1550" s="3">
        <v>2026</v>
      </c>
      <c r="C1550" s="3" t="s">
        <v>114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107"/>
        <v>24</v>
      </c>
      <c r="R1550" s="53" t="str">
        <f t="shared" si="108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73">
        <f t="shared" si="109"/>
        <v>55</v>
      </c>
      <c r="Z1550" s="18">
        <v>46162</v>
      </c>
      <c r="AA1550" s="15"/>
      <c r="AB1550" s="15"/>
      <c r="AF1550" t="str">
        <f t="shared" si="110"/>
        <v>Closed in May</v>
      </c>
    </row>
    <row r="1551" spans="1:32" hidden="1">
      <c r="A1551" s="6">
        <v>46107</v>
      </c>
      <c r="B1551" s="3">
        <v>2026</v>
      </c>
      <c r="C1551" s="3" t="s">
        <v>114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107"/>
        <v>24</v>
      </c>
      <c r="R1551" s="53" t="str">
        <f t="shared" si="108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73">
        <f t="shared" si="109"/>
        <v>55</v>
      </c>
      <c r="Z1551" s="18">
        <v>46162</v>
      </c>
      <c r="AA1551" s="15"/>
      <c r="AB1551" s="15"/>
      <c r="AF1551" t="str">
        <f t="shared" si="110"/>
        <v>Closed in May</v>
      </c>
    </row>
    <row r="1552" spans="1:32" hidden="1">
      <c r="A1552" s="6">
        <v>46107</v>
      </c>
      <c r="B1552" s="3">
        <v>2026</v>
      </c>
      <c r="C1552" s="3" t="s">
        <v>114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107"/>
        <v>24</v>
      </c>
      <c r="R1552" s="53" t="str">
        <f t="shared" si="108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73">
        <f t="shared" si="109"/>
        <v>55</v>
      </c>
      <c r="Z1552" s="18">
        <v>46162</v>
      </c>
      <c r="AA1552" s="15"/>
      <c r="AB1552" s="15"/>
      <c r="AF1552" t="str">
        <f t="shared" si="110"/>
        <v>Closed in May</v>
      </c>
    </row>
    <row r="1553" spans="1:32" hidden="1">
      <c r="A1553" s="6">
        <v>46107</v>
      </c>
      <c r="B1553" s="3">
        <v>2026</v>
      </c>
      <c r="C1553" s="3" t="s">
        <v>114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107"/>
        <v>24</v>
      </c>
      <c r="R1553" s="53" t="str">
        <f t="shared" si="108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73">
        <f t="shared" si="109"/>
        <v>55</v>
      </c>
      <c r="Z1553" s="18">
        <v>46162</v>
      </c>
      <c r="AA1553" s="15"/>
      <c r="AB1553" s="15"/>
      <c r="AF1553" t="str">
        <f t="shared" si="110"/>
        <v>Closed in May</v>
      </c>
    </row>
    <row r="1554" spans="1:32" hidden="1">
      <c r="A1554" s="6">
        <v>46107</v>
      </c>
      <c r="B1554" s="3">
        <v>2026</v>
      </c>
      <c r="C1554" s="3" t="s">
        <v>114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107"/>
        <v>24</v>
      </c>
      <c r="R1554" s="53" t="str">
        <f t="shared" si="108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73">
        <f t="shared" si="109"/>
        <v>55</v>
      </c>
      <c r="Z1554" s="18">
        <v>46162</v>
      </c>
      <c r="AA1554" s="15"/>
      <c r="AB1554" s="15"/>
      <c r="AF1554" t="str">
        <f t="shared" si="110"/>
        <v>Closed in May</v>
      </c>
    </row>
    <row r="1555" spans="1:32" hidden="1">
      <c r="A1555" s="6">
        <v>46107</v>
      </c>
      <c r="B1555" s="3">
        <v>2026</v>
      </c>
      <c r="C1555" s="3" t="s">
        <v>114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107"/>
        <v>24</v>
      </c>
      <c r="R1555" s="53" t="str">
        <f t="shared" si="108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73">
        <f t="shared" si="109"/>
        <v>55</v>
      </c>
      <c r="Z1555" s="18">
        <v>46162</v>
      </c>
      <c r="AA1555" s="15"/>
      <c r="AB1555" s="15"/>
      <c r="AF1555" t="str">
        <f t="shared" si="110"/>
        <v>Closed in May</v>
      </c>
    </row>
    <row r="1556" spans="1:32" hidden="1">
      <c r="A1556" s="6">
        <v>46107</v>
      </c>
      <c r="B1556" s="3">
        <v>2026</v>
      </c>
      <c r="C1556" s="3" t="s">
        <v>114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107"/>
        <v>24</v>
      </c>
      <c r="R1556" s="53" t="str">
        <f t="shared" si="108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73">
        <f t="shared" si="109"/>
        <v>55</v>
      </c>
      <c r="Z1556" s="18">
        <v>46162</v>
      </c>
      <c r="AA1556" s="15"/>
      <c r="AB1556" s="15"/>
      <c r="AF1556" t="str">
        <f t="shared" si="110"/>
        <v>Closed in May</v>
      </c>
    </row>
    <row r="1557" spans="1:32" hidden="1">
      <c r="A1557" s="6">
        <v>46107</v>
      </c>
      <c r="B1557" s="3">
        <v>2026</v>
      </c>
      <c r="C1557" s="3" t="s">
        <v>114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107"/>
        <v>24</v>
      </c>
      <c r="R1557" s="53" t="str">
        <f t="shared" si="108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73">
        <f t="shared" si="109"/>
        <v>55</v>
      </c>
      <c r="Z1557" s="18">
        <v>46162</v>
      </c>
      <c r="AA1557" s="15"/>
      <c r="AB1557" s="15"/>
      <c r="AF1557" t="str">
        <f t="shared" si="110"/>
        <v>Closed in May</v>
      </c>
    </row>
    <row r="1558" spans="1:32" hidden="1">
      <c r="A1558" s="6">
        <v>46107</v>
      </c>
      <c r="B1558" s="3">
        <v>2026</v>
      </c>
      <c r="C1558" s="3" t="s">
        <v>114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107"/>
        <v>24</v>
      </c>
      <c r="R1558" s="53" t="str">
        <f t="shared" si="108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73">
        <f t="shared" si="109"/>
        <v>55</v>
      </c>
      <c r="Z1558" s="18">
        <v>46162</v>
      </c>
      <c r="AA1558" s="15"/>
      <c r="AB1558" s="15"/>
      <c r="AF1558" t="str">
        <f t="shared" si="110"/>
        <v>Closed in May</v>
      </c>
    </row>
    <row r="1559" spans="1:32" hidden="1">
      <c r="A1559" s="6">
        <v>46107</v>
      </c>
      <c r="B1559" s="3">
        <v>2026</v>
      </c>
      <c r="C1559" s="3" t="s">
        <v>114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107"/>
        <v>24</v>
      </c>
      <c r="R1559" s="53" t="str">
        <f t="shared" si="108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73">
        <f t="shared" si="109"/>
        <v>55</v>
      </c>
      <c r="Z1559" s="18">
        <v>46162</v>
      </c>
      <c r="AA1559" s="15"/>
      <c r="AB1559" s="15"/>
      <c r="AF1559" t="str">
        <f t="shared" si="110"/>
        <v>Closed in May</v>
      </c>
    </row>
    <row r="1560" spans="1:32" hidden="1">
      <c r="A1560" s="6">
        <v>46107</v>
      </c>
      <c r="B1560" s="3">
        <v>2026</v>
      </c>
      <c r="C1560" s="3" t="s">
        <v>114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107"/>
        <v>24</v>
      </c>
      <c r="R1560" s="53" t="str">
        <f t="shared" si="108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73">
        <f t="shared" si="109"/>
        <v>55</v>
      </c>
      <c r="Z1560" s="18">
        <v>46162</v>
      </c>
      <c r="AA1560" s="15"/>
      <c r="AB1560" s="15"/>
      <c r="AF1560" t="str">
        <f t="shared" si="110"/>
        <v>Closed in May</v>
      </c>
    </row>
    <row r="1561" spans="1:32" hidden="1">
      <c r="A1561" s="6">
        <v>46107</v>
      </c>
      <c r="B1561" s="3">
        <v>2026</v>
      </c>
      <c r="C1561" s="3" t="s">
        <v>114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107"/>
        <v>24</v>
      </c>
      <c r="R1561" s="53" t="str">
        <f t="shared" si="108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73">
        <f t="shared" si="109"/>
        <v>55</v>
      </c>
      <c r="Z1561" s="18">
        <v>46162</v>
      </c>
      <c r="AA1561" s="15"/>
      <c r="AB1561" s="15"/>
      <c r="AF1561" t="str">
        <f t="shared" si="110"/>
        <v>Closed in May</v>
      </c>
    </row>
    <row r="1562" spans="1:32" hidden="1">
      <c r="A1562" s="6">
        <v>46107</v>
      </c>
      <c r="B1562" s="3">
        <v>2026</v>
      </c>
      <c r="C1562" s="3" t="s">
        <v>114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107"/>
        <v>24</v>
      </c>
      <c r="R1562" s="53" t="str">
        <f t="shared" si="108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73">
        <f t="shared" si="109"/>
        <v>55</v>
      </c>
      <c r="Z1562" s="18">
        <v>46162</v>
      </c>
      <c r="AA1562" s="15"/>
      <c r="AB1562" s="15"/>
      <c r="AF1562" t="str">
        <f t="shared" si="110"/>
        <v>Closed in May</v>
      </c>
    </row>
    <row r="1563" spans="1:32" hidden="1">
      <c r="A1563" s="6">
        <v>46107</v>
      </c>
      <c r="B1563" s="3">
        <v>2026</v>
      </c>
      <c r="C1563" s="3" t="s">
        <v>114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107"/>
        <v>24</v>
      </c>
      <c r="R1563" s="53" t="str">
        <f t="shared" si="108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73">
        <f t="shared" si="109"/>
        <v>55</v>
      </c>
      <c r="Z1563" s="18">
        <v>46162</v>
      </c>
      <c r="AA1563" s="15"/>
      <c r="AB1563" s="15"/>
      <c r="AF1563" t="str">
        <f t="shared" si="110"/>
        <v>Closed in May</v>
      </c>
    </row>
    <row r="1564" spans="1:32" hidden="1">
      <c r="A1564" s="6">
        <v>46107</v>
      </c>
      <c r="B1564" s="3">
        <v>2026</v>
      </c>
      <c r="C1564" s="3" t="s">
        <v>114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107"/>
        <v>24</v>
      </c>
      <c r="R1564" s="53" t="str">
        <f t="shared" si="108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73">
        <f t="shared" si="109"/>
        <v>55</v>
      </c>
      <c r="Z1564" s="18">
        <v>46162</v>
      </c>
      <c r="AA1564" s="15"/>
      <c r="AB1564" s="15"/>
      <c r="AF1564" t="str">
        <f t="shared" si="110"/>
        <v>Closed in May</v>
      </c>
    </row>
    <row r="1565" spans="1:32" hidden="1">
      <c r="A1565" s="6">
        <v>46107</v>
      </c>
      <c r="B1565" s="3">
        <v>2026</v>
      </c>
      <c r="C1565" s="3" t="s">
        <v>114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107"/>
        <v>24</v>
      </c>
      <c r="R1565" s="53" t="str">
        <f t="shared" si="108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73">
        <f t="shared" si="109"/>
        <v>55</v>
      </c>
      <c r="Z1565" s="18">
        <v>46162</v>
      </c>
      <c r="AA1565" s="15"/>
      <c r="AB1565" s="15"/>
      <c r="AF1565" t="str">
        <f t="shared" si="110"/>
        <v>Closed in May</v>
      </c>
    </row>
    <row r="1566" spans="1:32" hidden="1">
      <c r="A1566" s="6">
        <v>46107</v>
      </c>
      <c r="B1566" s="3">
        <v>2026</v>
      </c>
      <c r="C1566" s="3" t="s">
        <v>114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107"/>
        <v>24</v>
      </c>
      <c r="R1566" s="53" t="str">
        <f t="shared" si="108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73">
        <f t="shared" si="109"/>
        <v>55</v>
      </c>
      <c r="Z1566" s="18">
        <v>46162</v>
      </c>
      <c r="AA1566" s="15"/>
      <c r="AB1566" s="15"/>
      <c r="AF1566" t="str">
        <f t="shared" si="110"/>
        <v>Closed in May</v>
      </c>
    </row>
    <row r="1567" spans="1:32" hidden="1">
      <c r="A1567" s="6">
        <v>46107</v>
      </c>
      <c r="B1567" s="3">
        <v>2026</v>
      </c>
      <c r="C1567" s="3" t="s">
        <v>114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107"/>
        <v>24</v>
      </c>
      <c r="R1567" s="53" t="str">
        <f t="shared" si="108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73">
        <f t="shared" si="109"/>
        <v>55</v>
      </c>
      <c r="Z1567" s="18">
        <v>46162</v>
      </c>
      <c r="AA1567" s="15"/>
      <c r="AB1567" s="15"/>
      <c r="AF1567" t="str">
        <f t="shared" si="110"/>
        <v>Closed in May</v>
      </c>
    </row>
    <row r="1568" spans="1:32" hidden="1">
      <c r="A1568" s="6">
        <v>46107</v>
      </c>
      <c r="B1568" s="3">
        <v>2026</v>
      </c>
      <c r="C1568" s="3" t="s">
        <v>114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107"/>
        <v>24</v>
      </c>
      <c r="R1568" s="53" t="str">
        <f t="shared" si="108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73">
        <f t="shared" si="109"/>
        <v>55</v>
      </c>
      <c r="Z1568" s="18">
        <v>46162</v>
      </c>
      <c r="AA1568" s="15"/>
      <c r="AB1568" s="15"/>
      <c r="AF1568" t="str">
        <f t="shared" si="110"/>
        <v>Closed in May</v>
      </c>
    </row>
    <row r="1569" spans="1:32" hidden="1">
      <c r="A1569" s="6">
        <v>46107</v>
      </c>
      <c r="B1569" s="3">
        <v>2026</v>
      </c>
      <c r="C1569" s="3" t="s">
        <v>114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107"/>
        <v>24</v>
      </c>
      <c r="R1569" s="53" t="str">
        <f t="shared" si="108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73">
        <f t="shared" si="109"/>
        <v>55</v>
      </c>
      <c r="Z1569" s="18">
        <v>46162</v>
      </c>
      <c r="AA1569" s="15"/>
      <c r="AB1569" s="15"/>
      <c r="AF1569" t="str">
        <f t="shared" si="110"/>
        <v>Closed in May</v>
      </c>
    </row>
    <row r="1570" spans="1:32" hidden="1">
      <c r="A1570" s="6">
        <v>46107</v>
      </c>
      <c r="B1570" s="3">
        <v>2026</v>
      </c>
      <c r="C1570" s="3" t="s">
        <v>114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107"/>
        <v>24</v>
      </c>
      <c r="R1570" s="53" t="str">
        <f t="shared" si="108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73">
        <f t="shared" si="109"/>
        <v>55</v>
      </c>
      <c r="Z1570" s="18">
        <v>46162</v>
      </c>
      <c r="AA1570" s="15"/>
      <c r="AB1570" s="15"/>
      <c r="AF1570" t="str">
        <f t="shared" si="110"/>
        <v>Closed in May</v>
      </c>
    </row>
    <row r="1571" spans="1:32" hidden="1">
      <c r="A1571" s="6">
        <v>46107</v>
      </c>
      <c r="B1571" s="3">
        <v>2026</v>
      </c>
      <c r="C1571" s="3" t="s">
        <v>114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107"/>
        <v>24</v>
      </c>
      <c r="R1571" s="53" t="str">
        <f t="shared" si="108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73">
        <f t="shared" si="109"/>
        <v>55</v>
      </c>
      <c r="Z1571" s="18">
        <v>46162</v>
      </c>
      <c r="AA1571" s="15"/>
      <c r="AB1571" s="15"/>
      <c r="AF1571" t="str">
        <f t="shared" si="110"/>
        <v>Closed in May</v>
      </c>
    </row>
    <row r="1572" spans="1:32" hidden="1">
      <c r="A1572" s="6">
        <v>46107</v>
      </c>
      <c r="B1572" s="3">
        <v>2026</v>
      </c>
      <c r="C1572" s="3" t="s">
        <v>114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107"/>
        <v>24</v>
      </c>
      <c r="R1572" s="53" t="str">
        <f t="shared" si="108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73">
        <f t="shared" si="109"/>
        <v>55</v>
      </c>
      <c r="Z1572" s="18">
        <v>46162</v>
      </c>
      <c r="AA1572" s="15"/>
      <c r="AB1572" s="15"/>
      <c r="AF1572" t="str">
        <f t="shared" si="110"/>
        <v>Closed in May</v>
      </c>
    </row>
    <row r="1573" spans="1:32" hidden="1">
      <c r="A1573" s="6">
        <v>46107</v>
      </c>
      <c r="B1573" s="3">
        <v>2026</v>
      </c>
      <c r="C1573" s="3" t="s">
        <v>114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107"/>
        <v>24</v>
      </c>
      <c r="R1573" s="53" t="str">
        <f t="shared" si="108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73">
        <f t="shared" si="109"/>
        <v>55</v>
      </c>
      <c r="Z1573" s="18">
        <v>46162</v>
      </c>
      <c r="AA1573" s="15"/>
      <c r="AB1573" s="15"/>
      <c r="AF1573" t="str">
        <f t="shared" si="110"/>
        <v>Closed in May</v>
      </c>
    </row>
    <row r="1574" spans="1:32" hidden="1">
      <c r="A1574" s="6">
        <v>46107</v>
      </c>
      <c r="B1574" s="3">
        <v>2026</v>
      </c>
      <c r="C1574" s="3" t="s">
        <v>114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107"/>
        <v>24</v>
      </c>
      <c r="R1574" s="53" t="str">
        <f t="shared" si="108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73">
        <f t="shared" si="109"/>
        <v>55</v>
      </c>
      <c r="Z1574" s="18">
        <v>46162</v>
      </c>
      <c r="AA1574" s="15"/>
      <c r="AB1574" s="15"/>
      <c r="AF1574" t="str">
        <f t="shared" si="110"/>
        <v>Closed in May</v>
      </c>
    </row>
    <row r="1575" spans="1:32" hidden="1">
      <c r="A1575" s="6">
        <v>46107</v>
      </c>
      <c r="B1575" s="3">
        <v>2026</v>
      </c>
      <c r="C1575" s="3" t="s">
        <v>114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111">MID(P1575,5,2)</f>
        <v>24</v>
      </c>
      <c r="R1575" s="53" t="str">
        <f t="shared" ref="R1575:R1638" si="112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73">
        <f t="shared" si="109"/>
        <v>55</v>
      </c>
      <c r="Z1575" s="18">
        <v>46162</v>
      </c>
      <c r="AA1575" s="15"/>
      <c r="AB1575" s="15"/>
      <c r="AF1575" t="str">
        <f t="shared" si="110"/>
        <v>Closed in May</v>
      </c>
    </row>
    <row r="1576" spans="1:32" hidden="1">
      <c r="A1576" s="6">
        <v>46107</v>
      </c>
      <c r="B1576" s="3">
        <v>2026</v>
      </c>
      <c r="C1576" s="3" t="s">
        <v>114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111"/>
        <v>24</v>
      </c>
      <c r="R1576" s="53" t="str">
        <f t="shared" si="112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73">
        <f t="shared" si="109"/>
        <v>55</v>
      </c>
      <c r="Z1576" s="18">
        <v>46162</v>
      </c>
      <c r="AA1576" s="15"/>
      <c r="AB1576" s="15"/>
      <c r="AF1576" t="str">
        <f t="shared" si="110"/>
        <v>Closed in May</v>
      </c>
    </row>
    <row r="1577" spans="1:32" hidden="1">
      <c r="A1577" s="6">
        <v>46107</v>
      </c>
      <c r="B1577" s="3">
        <v>2026</v>
      </c>
      <c r="C1577" s="3" t="s">
        <v>114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111"/>
        <v>24</v>
      </c>
      <c r="R1577" s="53" t="str">
        <f t="shared" si="112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73">
        <f t="shared" si="109"/>
        <v>55</v>
      </c>
      <c r="Z1577" s="18">
        <v>46162</v>
      </c>
      <c r="AA1577" s="15"/>
      <c r="AB1577" s="15"/>
      <c r="AF1577" t="str">
        <f t="shared" si="110"/>
        <v>Closed in May</v>
      </c>
    </row>
    <row r="1578" spans="1:32" hidden="1">
      <c r="A1578" s="6">
        <v>46107</v>
      </c>
      <c r="B1578" s="3">
        <v>2026</v>
      </c>
      <c r="C1578" s="3" t="s">
        <v>114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111"/>
        <v>24</v>
      </c>
      <c r="R1578" s="53" t="str">
        <f t="shared" si="112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73">
        <f t="shared" si="109"/>
        <v>55</v>
      </c>
      <c r="Z1578" s="18">
        <v>46162</v>
      </c>
      <c r="AA1578" s="15"/>
      <c r="AB1578" s="15"/>
      <c r="AF1578" t="str">
        <f t="shared" si="110"/>
        <v>Closed in May</v>
      </c>
    </row>
    <row r="1579" spans="1:32" hidden="1">
      <c r="A1579" s="6">
        <v>46107</v>
      </c>
      <c r="B1579" s="3">
        <v>2026</v>
      </c>
      <c r="C1579" s="3" t="s">
        <v>114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111"/>
        <v>24</v>
      </c>
      <c r="R1579" s="53" t="str">
        <f t="shared" si="112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73">
        <f t="shared" si="109"/>
        <v>55</v>
      </c>
      <c r="Z1579" s="18">
        <v>46162</v>
      </c>
      <c r="AA1579" s="15"/>
      <c r="AB1579" s="15"/>
      <c r="AF1579" t="str">
        <f t="shared" si="110"/>
        <v>Closed in May</v>
      </c>
    </row>
    <row r="1580" spans="1:32" hidden="1">
      <c r="A1580" s="6">
        <v>46107</v>
      </c>
      <c r="B1580" s="3">
        <v>2026</v>
      </c>
      <c r="C1580" s="3" t="s">
        <v>114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111"/>
        <v>24</v>
      </c>
      <c r="R1580" s="53" t="str">
        <f t="shared" si="112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73">
        <f t="shared" si="109"/>
        <v>55</v>
      </c>
      <c r="Z1580" s="18">
        <v>46162</v>
      </c>
      <c r="AA1580" s="15"/>
      <c r="AB1580" s="15"/>
      <c r="AF1580" t="str">
        <f t="shared" si="110"/>
        <v>Closed in May</v>
      </c>
    </row>
    <row r="1581" spans="1:32" hidden="1">
      <c r="A1581" s="6">
        <v>46107</v>
      </c>
      <c r="B1581" s="3">
        <v>2026</v>
      </c>
      <c r="C1581" s="3" t="s">
        <v>114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111"/>
        <v>24</v>
      </c>
      <c r="R1581" s="53" t="str">
        <f t="shared" si="112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73">
        <f t="shared" si="109"/>
        <v>55</v>
      </c>
      <c r="Z1581" s="18">
        <v>46162</v>
      </c>
      <c r="AA1581" s="15"/>
      <c r="AB1581" s="15"/>
      <c r="AF1581" t="str">
        <f t="shared" si="110"/>
        <v>Closed in May</v>
      </c>
    </row>
    <row r="1582" spans="1:32" hidden="1">
      <c r="A1582" s="6">
        <v>46107</v>
      </c>
      <c r="B1582" s="3">
        <v>2026</v>
      </c>
      <c r="C1582" s="3" t="s">
        <v>114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111"/>
        <v>24</v>
      </c>
      <c r="R1582" s="53" t="str">
        <f t="shared" si="112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73">
        <f t="shared" si="109"/>
        <v>55</v>
      </c>
      <c r="Z1582" s="18">
        <v>46162</v>
      </c>
      <c r="AA1582" s="15"/>
      <c r="AB1582" s="15"/>
      <c r="AF1582" t="str">
        <f t="shared" si="110"/>
        <v>Closed in May</v>
      </c>
    </row>
    <row r="1583" spans="1:32" hidden="1">
      <c r="A1583" s="6">
        <v>46107</v>
      </c>
      <c r="B1583" s="3">
        <v>2026</v>
      </c>
      <c r="C1583" s="3" t="s">
        <v>114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111"/>
        <v>24</v>
      </c>
      <c r="R1583" s="53" t="str">
        <f t="shared" si="112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73">
        <f t="shared" si="109"/>
        <v>55</v>
      </c>
      <c r="Z1583" s="18">
        <v>46162</v>
      </c>
      <c r="AA1583" s="15"/>
      <c r="AB1583" s="15"/>
      <c r="AF1583" t="str">
        <f t="shared" si="110"/>
        <v>Closed in May</v>
      </c>
    </row>
    <row r="1584" spans="1:32" hidden="1">
      <c r="A1584" s="6">
        <v>46107</v>
      </c>
      <c r="B1584" s="3">
        <v>2026</v>
      </c>
      <c r="C1584" s="3" t="s">
        <v>114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111"/>
        <v>24</v>
      </c>
      <c r="R1584" s="53" t="str">
        <f t="shared" si="112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73">
        <f t="shared" si="109"/>
        <v>55</v>
      </c>
      <c r="Z1584" s="18">
        <v>46162</v>
      </c>
      <c r="AA1584" s="15"/>
      <c r="AB1584" s="15"/>
      <c r="AF1584" t="str">
        <f t="shared" si="110"/>
        <v>Closed in May</v>
      </c>
    </row>
    <row r="1585" spans="1:32" hidden="1">
      <c r="A1585" s="6">
        <v>46107</v>
      </c>
      <c r="B1585" s="3">
        <v>2026</v>
      </c>
      <c r="C1585" s="3" t="s">
        <v>114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111"/>
        <v>24</v>
      </c>
      <c r="R1585" s="53" t="str">
        <f t="shared" si="112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73">
        <f t="shared" si="109"/>
        <v>55</v>
      </c>
      <c r="Z1585" s="18">
        <v>46162</v>
      </c>
      <c r="AA1585" s="15"/>
      <c r="AB1585" s="15"/>
      <c r="AF1585" t="str">
        <f t="shared" si="110"/>
        <v>Closed in May</v>
      </c>
    </row>
    <row r="1586" spans="1:32" hidden="1">
      <c r="A1586" s="6">
        <v>46107</v>
      </c>
      <c r="B1586" s="3">
        <v>2026</v>
      </c>
      <c r="C1586" s="3" t="s">
        <v>114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111"/>
        <v>24</v>
      </c>
      <c r="R1586" s="53" t="str">
        <f t="shared" si="112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73">
        <f t="shared" si="109"/>
        <v>55</v>
      </c>
      <c r="Z1586" s="18">
        <v>46162</v>
      </c>
      <c r="AA1586" s="15"/>
      <c r="AB1586" s="15"/>
      <c r="AF1586" t="str">
        <f t="shared" si="110"/>
        <v>Closed in May</v>
      </c>
    </row>
    <row r="1587" spans="1:32" hidden="1">
      <c r="A1587" s="6">
        <v>46107</v>
      </c>
      <c r="B1587" s="3">
        <v>2026</v>
      </c>
      <c r="C1587" s="3" t="s">
        <v>114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111"/>
        <v>24</v>
      </c>
      <c r="R1587" s="53" t="str">
        <f t="shared" si="112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73">
        <f t="shared" si="109"/>
        <v>55</v>
      </c>
      <c r="Z1587" s="18">
        <v>46162</v>
      </c>
      <c r="AA1587" s="15"/>
      <c r="AB1587" s="15"/>
      <c r="AF1587" t="str">
        <f t="shared" si="110"/>
        <v>Closed in May</v>
      </c>
    </row>
    <row r="1588" spans="1:32" hidden="1">
      <c r="A1588" s="6">
        <v>46107</v>
      </c>
      <c r="B1588" s="3">
        <v>2026</v>
      </c>
      <c r="C1588" s="3" t="s">
        <v>114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111"/>
        <v>24</v>
      </c>
      <c r="R1588" s="53" t="str">
        <f t="shared" si="112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73">
        <f t="shared" si="109"/>
        <v>55</v>
      </c>
      <c r="Z1588" s="18">
        <v>46162</v>
      </c>
      <c r="AA1588" s="15"/>
      <c r="AB1588" s="15"/>
      <c r="AF1588" t="str">
        <f t="shared" si="110"/>
        <v>Closed in May</v>
      </c>
    </row>
    <row r="1589" spans="1:32" hidden="1">
      <c r="A1589" s="6">
        <v>46107</v>
      </c>
      <c r="B1589" s="3">
        <v>2026</v>
      </c>
      <c r="C1589" s="3" t="s">
        <v>114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111"/>
        <v>24</v>
      </c>
      <c r="R1589" s="53" t="str">
        <f t="shared" si="112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73">
        <f t="shared" si="109"/>
        <v>55</v>
      </c>
      <c r="Z1589" s="18">
        <v>46162</v>
      </c>
      <c r="AA1589" s="15"/>
      <c r="AB1589" s="15"/>
      <c r="AF1589" t="str">
        <f t="shared" si="110"/>
        <v>Closed in May</v>
      </c>
    </row>
    <row r="1590" spans="1:32" hidden="1">
      <c r="A1590" s="6">
        <v>46107</v>
      </c>
      <c r="B1590" s="3">
        <v>2026</v>
      </c>
      <c r="C1590" s="3" t="s">
        <v>114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111"/>
        <v>24</v>
      </c>
      <c r="R1590" s="53" t="str">
        <f t="shared" si="112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73">
        <f t="shared" si="109"/>
        <v>55</v>
      </c>
      <c r="Z1590" s="18">
        <v>46162</v>
      </c>
      <c r="AA1590" s="15"/>
      <c r="AB1590" s="15"/>
      <c r="AF1590" t="str">
        <f t="shared" si="110"/>
        <v>Closed in May</v>
      </c>
    </row>
    <row r="1591" spans="1:32" hidden="1">
      <c r="A1591" s="6">
        <v>46107</v>
      </c>
      <c r="B1591" s="3">
        <v>2026</v>
      </c>
      <c r="C1591" s="3" t="s">
        <v>114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111"/>
        <v>24</v>
      </c>
      <c r="R1591" s="53" t="str">
        <f t="shared" si="112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73">
        <f t="shared" si="109"/>
        <v>55</v>
      </c>
      <c r="Z1591" s="18">
        <v>46162</v>
      </c>
      <c r="AA1591" s="15"/>
      <c r="AB1591" s="15"/>
      <c r="AF1591" t="str">
        <f t="shared" si="110"/>
        <v>Closed in May</v>
      </c>
    </row>
    <row r="1592" spans="1:32" hidden="1">
      <c r="A1592" s="6">
        <v>46107</v>
      </c>
      <c r="B1592" s="3">
        <v>2026</v>
      </c>
      <c r="C1592" s="3" t="s">
        <v>114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111"/>
        <v>24</v>
      </c>
      <c r="R1592" s="53" t="str">
        <f t="shared" si="112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73">
        <f t="shared" si="109"/>
        <v>55</v>
      </c>
      <c r="Z1592" s="18">
        <v>46162</v>
      </c>
      <c r="AA1592" s="15"/>
      <c r="AB1592" s="15"/>
      <c r="AF1592" t="str">
        <f t="shared" si="110"/>
        <v>Closed in May</v>
      </c>
    </row>
    <row r="1593" spans="1:32" hidden="1">
      <c r="A1593" s="6">
        <v>46107</v>
      </c>
      <c r="B1593" s="3">
        <v>2026</v>
      </c>
      <c r="C1593" s="3" t="s">
        <v>114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111"/>
        <v>24</v>
      </c>
      <c r="R1593" s="53" t="str">
        <f t="shared" si="112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73">
        <f t="shared" si="109"/>
        <v>55</v>
      </c>
      <c r="Z1593" s="18">
        <v>46162</v>
      </c>
      <c r="AA1593" s="15"/>
      <c r="AB1593" s="15"/>
      <c r="AF1593" t="str">
        <f t="shared" si="110"/>
        <v>Closed in May</v>
      </c>
    </row>
    <row r="1594" spans="1:32" hidden="1">
      <c r="A1594" s="6">
        <v>46107</v>
      </c>
      <c r="B1594" s="3">
        <v>2026</v>
      </c>
      <c r="C1594" s="3" t="s">
        <v>114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111"/>
        <v>24</v>
      </c>
      <c r="R1594" s="53" t="str">
        <f t="shared" si="112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73">
        <f t="shared" si="109"/>
        <v>55</v>
      </c>
      <c r="Z1594" s="18">
        <v>46162</v>
      </c>
      <c r="AA1594" s="15"/>
      <c r="AB1594" s="15"/>
      <c r="AF1594" t="str">
        <f t="shared" si="110"/>
        <v>Closed in May</v>
      </c>
    </row>
    <row r="1595" spans="1:32" hidden="1">
      <c r="A1595" s="6">
        <v>46107</v>
      </c>
      <c r="B1595" s="3">
        <v>2026</v>
      </c>
      <c r="C1595" s="3" t="s">
        <v>114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111"/>
        <v>24</v>
      </c>
      <c r="R1595" s="53" t="str">
        <f t="shared" si="112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73">
        <f t="shared" si="109"/>
        <v>55</v>
      </c>
      <c r="Z1595" s="18">
        <v>46162</v>
      </c>
      <c r="AA1595" s="15"/>
      <c r="AB1595" s="15"/>
      <c r="AF1595" t="str">
        <f t="shared" si="110"/>
        <v>Closed in May</v>
      </c>
    </row>
    <row r="1596" spans="1:32" hidden="1">
      <c r="A1596" s="6">
        <v>46107</v>
      </c>
      <c r="B1596" s="3">
        <v>2026</v>
      </c>
      <c r="C1596" s="3" t="s">
        <v>114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111"/>
        <v>24</v>
      </c>
      <c r="R1596" s="53" t="str">
        <f t="shared" si="112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73">
        <f t="shared" si="109"/>
        <v>55</v>
      </c>
      <c r="Z1596" s="18">
        <v>46162</v>
      </c>
      <c r="AA1596" s="15"/>
      <c r="AB1596" s="15"/>
      <c r="AF1596" t="str">
        <f t="shared" si="110"/>
        <v>Closed in May</v>
      </c>
    </row>
    <row r="1597" spans="1:32" hidden="1">
      <c r="A1597" s="6">
        <v>46107</v>
      </c>
      <c r="B1597" s="3">
        <v>2026</v>
      </c>
      <c r="C1597" s="3" t="s">
        <v>114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111"/>
        <v>24</v>
      </c>
      <c r="R1597" s="53" t="str">
        <f t="shared" si="112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73">
        <f t="shared" si="109"/>
        <v>55</v>
      </c>
      <c r="Z1597" s="18">
        <v>46162</v>
      </c>
      <c r="AA1597" s="15"/>
      <c r="AB1597" s="15"/>
      <c r="AF1597" t="str">
        <f t="shared" si="110"/>
        <v>Closed in May</v>
      </c>
    </row>
    <row r="1598" spans="1:32" hidden="1">
      <c r="A1598" s="6">
        <v>46107</v>
      </c>
      <c r="B1598" s="3">
        <v>2026</v>
      </c>
      <c r="C1598" s="3" t="s">
        <v>114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111"/>
        <v>24</v>
      </c>
      <c r="R1598" s="53" t="str">
        <f t="shared" si="112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73">
        <f t="shared" si="109"/>
        <v>55</v>
      </c>
      <c r="Z1598" s="18">
        <v>46162</v>
      </c>
      <c r="AA1598" s="15"/>
      <c r="AB1598" s="15"/>
      <c r="AF1598" t="str">
        <f t="shared" si="110"/>
        <v>Closed in May</v>
      </c>
    </row>
    <row r="1599" spans="1:32" hidden="1">
      <c r="A1599" s="6">
        <v>46107</v>
      </c>
      <c r="B1599" s="3">
        <v>2026</v>
      </c>
      <c r="C1599" s="3" t="s">
        <v>114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111"/>
        <v>24</v>
      </c>
      <c r="R1599" s="53" t="str">
        <f t="shared" si="112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73">
        <f t="shared" si="109"/>
        <v>55</v>
      </c>
      <c r="Z1599" s="18">
        <v>46162</v>
      </c>
      <c r="AA1599" s="15"/>
      <c r="AB1599" s="15"/>
      <c r="AF1599" t="str">
        <f t="shared" si="110"/>
        <v>Closed in May</v>
      </c>
    </row>
    <row r="1600" spans="1:32" hidden="1">
      <c r="A1600" s="6">
        <v>46107</v>
      </c>
      <c r="B1600" s="3">
        <v>2026</v>
      </c>
      <c r="C1600" s="3" t="s">
        <v>114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111"/>
        <v>24</v>
      </c>
      <c r="R1600" s="53" t="str">
        <f t="shared" si="112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73">
        <f t="shared" si="109"/>
        <v>55</v>
      </c>
      <c r="Z1600" s="18">
        <v>46162</v>
      </c>
      <c r="AA1600" s="15"/>
      <c r="AB1600" s="15"/>
      <c r="AF1600" t="str">
        <f t="shared" si="110"/>
        <v>Closed in May</v>
      </c>
    </row>
    <row r="1601" spans="1:32" hidden="1">
      <c r="A1601" s="6">
        <v>46107</v>
      </c>
      <c r="B1601" s="3">
        <v>2026</v>
      </c>
      <c r="C1601" s="3" t="s">
        <v>114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111"/>
        <v>24</v>
      </c>
      <c r="R1601" s="53" t="str">
        <f t="shared" si="112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73">
        <f t="shared" si="109"/>
        <v>55</v>
      </c>
      <c r="Z1601" s="18">
        <v>46162</v>
      </c>
      <c r="AA1601" s="15"/>
      <c r="AB1601" s="15"/>
      <c r="AF1601" t="str">
        <f t="shared" si="110"/>
        <v>Closed in May</v>
      </c>
    </row>
    <row r="1602" spans="1:32" hidden="1">
      <c r="A1602" s="6">
        <v>46107</v>
      </c>
      <c r="B1602" s="3">
        <v>2026</v>
      </c>
      <c r="C1602" s="3" t="s">
        <v>114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111"/>
        <v>24</v>
      </c>
      <c r="R1602" s="53" t="str">
        <f t="shared" si="112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73">
        <f t="shared" ref="Y1602:Y1665" si="113">IF(X1602="","",X1602-A1602)</f>
        <v>55</v>
      </c>
      <c r="Z1602" s="18">
        <v>46162</v>
      </c>
      <c r="AA1602" s="15"/>
      <c r="AB1602" s="15"/>
      <c r="AF1602" t="str">
        <f t="shared" ref="AF1602:AF1665" si="114">IF(AND($F1602="Closed",$X1602&gt;=DATE(2026,5,1),$X1602&lt;=DATE(2026,5,31)),"Closed in May","Other")</f>
        <v>Closed in May</v>
      </c>
    </row>
    <row r="1603" spans="1:32" hidden="1">
      <c r="A1603" s="6">
        <v>46107</v>
      </c>
      <c r="B1603" s="3">
        <v>2026</v>
      </c>
      <c r="C1603" s="3" t="s">
        <v>114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111"/>
        <v>24</v>
      </c>
      <c r="R1603" s="53" t="str">
        <f t="shared" si="112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73">
        <f t="shared" si="113"/>
        <v>55</v>
      </c>
      <c r="Z1603" s="18">
        <v>46162</v>
      </c>
      <c r="AA1603" s="15"/>
      <c r="AB1603" s="15"/>
      <c r="AF1603" t="str">
        <f t="shared" si="114"/>
        <v>Closed in May</v>
      </c>
    </row>
    <row r="1604" spans="1:32" hidden="1">
      <c r="A1604" s="6">
        <v>46107</v>
      </c>
      <c r="B1604" s="3">
        <v>2026</v>
      </c>
      <c r="C1604" s="3" t="s">
        <v>114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111"/>
        <v>24</v>
      </c>
      <c r="R1604" s="53" t="str">
        <f t="shared" si="112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73">
        <f t="shared" si="113"/>
        <v>55</v>
      </c>
      <c r="Z1604" s="18">
        <v>46162</v>
      </c>
      <c r="AA1604" s="15"/>
      <c r="AB1604" s="15"/>
      <c r="AF1604" t="str">
        <f t="shared" si="114"/>
        <v>Closed in May</v>
      </c>
    </row>
    <row r="1605" spans="1:32" hidden="1">
      <c r="A1605" s="6">
        <v>46107</v>
      </c>
      <c r="B1605" s="3">
        <v>2026</v>
      </c>
      <c r="C1605" s="3" t="s">
        <v>114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111"/>
        <v>24</v>
      </c>
      <c r="R1605" s="53" t="str">
        <f t="shared" si="112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73">
        <f t="shared" si="113"/>
        <v>55</v>
      </c>
      <c r="Z1605" s="18">
        <v>46162</v>
      </c>
      <c r="AA1605" s="15"/>
      <c r="AB1605" s="15"/>
      <c r="AF1605" t="str">
        <f t="shared" si="114"/>
        <v>Closed in May</v>
      </c>
    </row>
    <row r="1606" spans="1:32" hidden="1">
      <c r="A1606" s="6">
        <v>46107</v>
      </c>
      <c r="B1606" s="3">
        <v>2026</v>
      </c>
      <c r="C1606" s="3" t="s">
        <v>114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111"/>
        <v>24</v>
      </c>
      <c r="R1606" s="53" t="str">
        <f t="shared" si="112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73">
        <f t="shared" si="113"/>
        <v>55</v>
      </c>
      <c r="Z1606" s="18">
        <v>46162</v>
      </c>
      <c r="AA1606" s="15"/>
      <c r="AB1606" s="15"/>
      <c r="AF1606" t="str">
        <f t="shared" si="114"/>
        <v>Closed in May</v>
      </c>
    </row>
    <row r="1607" spans="1:32" hidden="1">
      <c r="A1607" s="6">
        <v>46107</v>
      </c>
      <c r="B1607" s="3">
        <v>2026</v>
      </c>
      <c r="C1607" s="3" t="s">
        <v>114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111"/>
        <v>24</v>
      </c>
      <c r="R1607" s="53" t="str">
        <f t="shared" si="112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73">
        <f t="shared" si="113"/>
        <v>55</v>
      </c>
      <c r="Z1607" s="18">
        <v>46162</v>
      </c>
      <c r="AA1607" s="15"/>
      <c r="AB1607" s="15"/>
      <c r="AF1607" t="str">
        <f t="shared" si="114"/>
        <v>Closed in May</v>
      </c>
    </row>
    <row r="1608" spans="1:32" hidden="1">
      <c r="A1608" s="6">
        <v>46107</v>
      </c>
      <c r="B1608" s="3">
        <v>2026</v>
      </c>
      <c r="C1608" s="3" t="s">
        <v>114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111"/>
        <v>24</v>
      </c>
      <c r="R1608" s="53" t="str">
        <f t="shared" si="112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73">
        <f t="shared" si="113"/>
        <v>55</v>
      </c>
      <c r="Z1608" s="18">
        <v>46162</v>
      </c>
      <c r="AA1608" s="15"/>
      <c r="AB1608" s="15"/>
      <c r="AF1608" t="str">
        <f t="shared" si="114"/>
        <v>Closed in May</v>
      </c>
    </row>
    <row r="1609" spans="1:32" hidden="1">
      <c r="A1609" s="6">
        <v>46107</v>
      </c>
      <c r="B1609" s="3">
        <v>2026</v>
      </c>
      <c r="C1609" s="3" t="s">
        <v>114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111"/>
        <v>24</v>
      </c>
      <c r="R1609" s="53" t="str">
        <f t="shared" si="112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73">
        <f t="shared" si="113"/>
        <v>55</v>
      </c>
      <c r="Z1609" s="18">
        <v>46162</v>
      </c>
      <c r="AA1609" s="15"/>
      <c r="AB1609" s="15"/>
      <c r="AF1609" t="str">
        <f t="shared" si="114"/>
        <v>Closed in May</v>
      </c>
    </row>
    <row r="1610" spans="1:32" hidden="1">
      <c r="A1610" s="6">
        <v>46107</v>
      </c>
      <c r="B1610" s="3">
        <v>2026</v>
      </c>
      <c r="C1610" s="3" t="s">
        <v>114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111"/>
        <v>24</v>
      </c>
      <c r="R1610" s="53" t="str">
        <f t="shared" si="112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73">
        <f t="shared" si="113"/>
        <v>55</v>
      </c>
      <c r="Z1610" s="18">
        <v>46162</v>
      </c>
      <c r="AA1610" s="15"/>
      <c r="AB1610" s="15"/>
      <c r="AF1610" t="str">
        <f t="shared" si="114"/>
        <v>Closed in May</v>
      </c>
    </row>
    <row r="1611" spans="1:32" hidden="1">
      <c r="A1611" s="6">
        <v>46107</v>
      </c>
      <c r="B1611" s="3">
        <v>2026</v>
      </c>
      <c r="C1611" s="3" t="s">
        <v>114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111"/>
        <v>24</v>
      </c>
      <c r="R1611" s="53" t="str">
        <f t="shared" si="112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73">
        <f t="shared" si="113"/>
        <v>55</v>
      </c>
      <c r="Z1611" s="18">
        <v>46162</v>
      </c>
      <c r="AA1611" s="15"/>
      <c r="AB1611" s="15"/>
      <c r="AF1611" t="str">
        <f t="shared" si="114"/>
        <v>Closed in May</v>
      </c>
    </row>
    <row r="1612" spans="1:32" hidden="1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111"/>
        <v>24</v>
      </c>
      <c r="R1612" s="53" t="str">
        <f t="shared" si="112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73">
        <f t="shared" si="113"/>
        <v>19</v>
      </c>
      <c r="Z1612" s="18">
        <v>46162</v>
      </c>
      <c r="AA1612" s="15"/>
      <c r="AB1612" s="15"/>
      <c r="AF1612" t="str">
        <f t="shared" si="114"/>
        <v>Closed in May</v>
      </c>
    </row>
    <row r="1613" spans="1:32" hidden="1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111"/>
        <v>24</v>
      </c>
      <c r="R1613" s="53" t="str">
        <f t="shared" si="112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73">
        <f t="shared" si="113"/>
        <v>19</v>
      </c>
      <c r="Z1613" s="18">
        <v>46162</v>
      </c>
      <c r="AA1613" s="15"/>
      <c r="AB1613" s="15"/>
      <c r="AF1613" t="str">
        <f t="shared" si="114"/>
        <v>Closed in May</v>
      </c>
    </row>
    <row r="1614" spans="1:32" hidden="1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111"/>
        <v>24</v>
      </c>
      <c r="R1614" s="53" t="str">
        <f t="shared" si="112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73">
        <f t="shared" si="113"/>
        <v>19</v>
      </c>
      <c r="Z1614" s="18">
        <v>46162</v>
      </c>
      <c r="AA1614" s="15"/>
      <c r="AB1614" s="15"/>
      <c r="AF1614" t="str">
        <f t="shared" si="114"/>
        <v>Closed in May</v>
      </c>
    </row>
    <row r="1615" spans="1:32" hidden="1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111"/>
        <v>24</v>
      </c>
      <c r="R1615" s="53" t="str">
        <f t="shared" si="112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73">
        <f t="shared" si="113"/>
        <v>19</v>
      </c>
      <c r="Z1615" s="18">
        <v>46162</v>
      </c>
      <c r="AA1615" s="15"/>
      <c r="AB1615" s="15"/>
      <c r="AF1615" t="str">
        <f t="shared" si="114"/>
        <v>Closed in May</v>
      </c>
    </row>
    <row r="1616" spans="1:32" hidden="1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111"/>
        <v>24</v>
      </c>
      <c r="R1616" s="53" t="str">
        <f t="shared" si="112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73">
        <f t="shared" si="113"/>
        <v>19</v>
      </c>
      <c r="Z1616" s="18">
        <v>46162</v>
      </c>
      <c r="AA1616" s="15"/>
      <c r="AB1616" s="15"/>
      <c r="AF1616" t="str">
        <f t="shared" si="114"/>
        <v>Closed in May</v>
      </c>
    </row>
    <row r="1617" spans="1:32" hidden="1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111"/>
        <v>24</v>
      </c>
      <c r="R1617" s="53" t="str">
        <f t="shared" si="112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73">
        <f t="shared" si="113"/>
        <v>19</v>
      </c>
      <c r="Z1617" s="18">
        <v>46162</v>
      </c>
      <c r="AA1617" s="15"/>
      <c r="AB1617" s="15"/>
      <c r="AF1617" t="str">
        <f t="shared" si="114"/>
        <v>Closed in May</v>
      </c>
    </row>
    <row r="1618" spans="1:32" hidden="1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111"/>
        <v>24</v>
      </c>
      <c r="R1618" s="53" t="str">
        <f t="shared" si="112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73">
        <f t="shared" si="113"/>
        <v>19</v>
      </c>
      <c r="Z1618" s="18">
        <v>46162</v>
      </c>
      <c r="AA1618" s="15"/>
      <c r="AB1618" s="15"/>
      <c r="AF1618" t="str">
        <f t="shared" si="114"/>
        <v>Closed in May</v>
      </c>
    </row>
    <row r="1619" spans="1:32" hidden="1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111"/>
        <v>24</v>
      </c>
      <c r="R1619" s="53" t="str">
        <f t="shared" si="112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73">
        <f t="shared" si="113"/>
        <v>19</v>
      </c>
      <c r="Z1619" s="18">
        <v>46162</v>
      </c>
      <c r="AA1619" s="15"/>
      <c r="AB1619" s="15"/>
      <c r="AF1619" t="str">
        <f t="shared" si="114"/>
        <v>Closed in May</v>
      </c>
    </row>
    <row r="1620" spans="1:32" hidden="1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111"/>
        <v>24</v>
      </c>
      <c r="R1620" s="53" t="str">
        <f t="shared" si="112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73">
        <f t="shared" si="113"/>
        <v>19</v>
      </c>
      <c r="Z1620" s="18">
        <v>46162</v>
      </c>
      <c r="AA1620" s="15"/>
      <c r="AB1620" s="15"/>
      <c r="AF1620" t="str">
        <f t="shared" si="114"/>
        <v>Closed in May</v>
      </c>
    </row>
    <row r="1621" spans="1:32" hidden="1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111"/>
        <v>24</v>
      </c>
      <c r="R1621" s="53" t="str">
        <f t="shared" si="112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73">
        <f t="shared" si="113"/>
        <v>19</v>
      </c>
      <c r="Z1621" s="18">
        <v>46162</v>
      </c>
      <c r="AA1621" s="15"/>
      <c r="AB1621" s="15"/>
      <c r="AF1621" t="str">
        <f t="shared" si="114"/>
        <v>Closed in May</v>
      </c>
    </row>
    <row r="1622" spans="1:32" hidden="1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111"/>
        <v>24</v>
      </c>
      <c r="R1622" s="53" t="str">
        <f t="shared" si="112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73">
        <f t="shared" si="113"/>
        <v>19</v>
      </c>
      <c r="Z1622" s="18">
        <v>46162</v>
      </c>
      <c r="AA1622" s="15"/>
      <c r="AB1622" s="15"/>
      <c r="AF1622" t="str">
        <f t="shared" si="114"/>
        <v>Closed in May</v>
      </c>
    </row>
    <row r="1623" spans="1:32" hidden="1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111"/>
        <v>24</v>
      </c>
      <c r="R1623" s="53" t="str">
        <f t="shared" si="112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73">
        <f t="shared" si="113"/>
        <v>19</v>
      </c>
      <c r="Z1623" s="18">
        <v>46162</v>
      </c>
      <c r="AA1623" s="15"/>
      <c r="AB1623" s="15"/>
      <c r="AF1623" t="str">
        <f t="shared" si="114"/>
        <v>Closed in May</v>
      </c>
    </row>
    <row r="1624" spans="1:32" hidden="1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111"/>
        <v>24</v>
      </c>
      <c r="R1624" s="53" t="str">
        <f t="shared" si="112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73">
        <f t="shared" si="113"/>
        <v>19</v>
      </c>
      <c r="Z1624" s="18">
        <v>46162</v>
      </c>
      <c r="AA1624" s="15"/>
      <c r="AB1624" s="15"/>
      <c r="AF1624" t="str">
        <f t="shared" si="114"/>
        <v>Closed in May</v>
      </c>
    </row>
    <row r="1625" spans="1:32" hidden="1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111"/>
        <v>24</v>
      </c>
      <c r="R1625" s="53" t="str">
        <f t="shared" si="112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73">
        <f t="shared" si="113"/>
        <v>19</v>
      </c>
      <c r="Z1625" s="18">
        <v>46162</v>
      </c>
      <c r="AA1625" s="15"/>
      <c r="AB1625" s="15"/>
      <c r="AF1625" t="str">
        <f t="shared" si="114"/>
        <v>Closed in May</v>
      </c>
    </row>
    <row r="1626" spans="1:32" hidden="1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111"/>
        <v>24</v>
      </c>
      <c r="R1626" s="53" t="str">
        <f t="shared" si="112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73">
        <f t="shared" si="113"/>
        <v>19</v>
      </c>
      <c r="Z1626" s="18">
        <v>46162</v>
      </c>
      <c r="AA1626" s="15"/>
      <c r="AB1626" s="15"/>
      <c r="AF1626" t="str">
        <f t="shared" si="114"/>
        <v>Closed in May</v>
      </c>
    </row>
    <row r="1627" spans="1:32" hidden="1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111"/>
        <v>24</v>
      </c>
      <c r="R1627" s="53" t="str">
        <f t="shared" si="112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73">
        <f t="shared" si="113"/>
        <v>19</v>
      </c>
      <c r="Z1627" s="18">
        <v>46162</v>
      </c>
      <c r="AA1627" s="15"/>
      <c r="AB1627" s="15"/>
      <c r="AF1627" t="str">
        <f t="shared" si="114"/>
        <v>Closed in May</v>
      </c>
    </row>
    <row r="1628" spans="1:32" hidden="1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111"/>
        <v>24</v>
      </c>
      <c r="R1628" s="53" t="str">
        <f t="shared" si="112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73">
        <f t="shared" si="113"/>
        <v>19</v>
      </c>
      <c r="Z1628" s="18">
        <v>46162</v>
      </c>
      <c r="AA1628" s="15"/>
      <c r="AB1628" s="15"/>
      <c r="AF1628" t="str">
        <f t="shared" si="114"/>
        <v>Closed in May</v>
      </c>
    </row>
    <row r="1629" spans="1:32" hidden="1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111"/>
        <v>24</v>
      </c>
      <c r="R1629" s="53" t="str">
        <f t="shared" si="112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73">
        <f t="shared" si="113"/>
        <v>19</v>
      </c>
      <c r="Z1629" s="18">
        <v>46162</v>
      </c>
      <c r="AA1629" s="15"/>
      <c r="AB1629" s="15"/>
      <c r="AF1629" t="str">
        <f t="shared" si="114"/>
        <v>Closed in May</v>
      </c>
    </row>
    <row r="1630" spans="1:32" hidden="1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111"/>
        <v>24</v>
      </c>
      <c r="R1630" s="53" t="str">
        <f t="shared" si="112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73">
        <f t="shared" si="113"/>
        <v>19</v>
      </c>
      <c r="Z1630" s="18">
        <v>46162</v>
      </c>
      <c r="AA1630" s="15"/>
      <c r="AB1630" s="15"/>
      <c r="AF1630" t="str">
        <f t="shared" si="114"/>
        <v>Closed in May</v>
      </c>
    </row>
    <row r="1631" spans="1:32" hidden="1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111"/>
        <v>24</v>
      </c>
      <c r="R1631" s="53" t="str">
        <f t="shared" si="112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73">
        <f t="shared" si="113"/>
        <v>19</v>
      </c>
      <c r="Z1631" s="18">
        <v>46162</v>
      </c>
      <c r="AA1631" s="15"/>
      <c r="AB1631" s="15"/>
      <c r="AF1631" t="str">
        <f t="shared" si="114"/>
        <v>Closed in May</v>
      </c>
    </row>
    <row r="1632" spans="1:32" hidden="1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111"/>
        <v>24</v>
      </c>
      <c r="R1632" s="53" t="str">
        <f t="shared" si="112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73">
        <f t="shared" si="113"/>
        <v>19</v>
      </c>
      <c r="Z1632" s="18">
        <v>46162</v>
      </c>
      <c r="AA1632" s="15"/>
      <c r="AB1632" s="15"/>
      <c r="AF1632" t="str">
        <f t="shared" si="114"/>
        <v>Closed in May</v>
      </c>
    </row>
    <row r="1633" spans="1:32" hidden="1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111"/>
        <v>24</v>
      </c>
      <c r="R1633" s="53" t="str">
        <f t="shared" si="112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73">
        <f t="shared" si="113"/>
        <v>19</v>
      </c>
      <c r="Z1633" s="18">
        <v>46162</v>
      </c>
      <c r="AA1633" s="15"/>
      <c r="AB1633" s="15"/>
      <c r="AF1633" t="str">
        <f t="shared" si="114"/>
        <v>Closed in May</v>
      </c>
    </row>
    <row r="1634" spans="1:32" hidden="1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111"/>
        <v>24</v>
      </c>
      <c r="R1634" s="53" t="str">
        <f t="shared" si="112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73">
        <f t="shared" si="113"/>
        <v>19</v>
      </c>
      <c r="Z1634" s="18">
        <v>46162</v>
      </c>
      <c r="AA1634" s="15"/>
      <c r="AB1634" s="15"/>
      <c r="AF1634" t="str">
        <f t="shared" si="114"/>
        <v>Closed in May</v>
      </c>
    </row>
    <row r="1635" spans="1:32" hidden="1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111"/>
        <v>24</v>
      </c>
      <c r="R1635" s="53" t="str">
        <f t="shared" si="112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73">
        <f t="shared" si="113"/>
        <v>19</v>
      </c>
      <c r="Z1635" s="18">
        <v>46162</v>
      </c>
      <c r="AA1635" s="15"/>
      <c r="AB1635" s="15"/>
      <c r="AF1635" t="str">
        <f t="shared" si="114"/>
        <v>Closed in May</v>
      </c>
    </row>
    <row r="1636" spans="1:32" hidden="1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111"/>
        <v>24</v>
      </c>
      <c r="R1636" s="53" t="str">
        <f t="shared" si="112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73">
        <f t="shared" si="113"/>
        <v>19</v>
      </c>
      <c r="Z1636" s="18">
        <v>46162</v>
      </c>
      <c r="AA1636" s="15"/>
      <c r="AB1636" s="15"/>
      <c r="AF1636" t="str">
        <f t="shared" si="114"/>
        <v>Closed in May</v>
      </c>
    </row>
    <row r="1637" spans="1:32" hidden="1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111"/>
        <v>24</v>
      </c>
      <c r="R1637" s="53" t="str">
        <f t="shared" si="112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73">
        <f t="shared" si="113"/>
        <v>19</v>
      </c>
      <c r="Z1637" s="18">
        <v>46162</v>
      </c>
      <c r="AA1637" s="15"/>
      <c r="AB1637" s="15"/>
      <c r="AF1637" t="str">
        <f t="shared" si="114"/>
        <v>Closed in May</v>
      </c>
    </row>
    <row r="1638" spans="1:32" hidden="1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111"/>
        <v>24</v>
      </c>
      <c r="R1638" s="53" t="str">
        <f t="shared" si="112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73">
        <f t="shared" si="113"/>
        <v>19</v>
      </c>
      <c r="Z1638" s="18">
        <v>46162</v>
      </c>
      <c r="AA1638" s="15"/>
      <c r="AB1638" s="15"/>
      <c r="AF1638" t="str">
        <f t="shared" si="114"/>
        <v>Closed in May</v>
      </c>
    </row>
    <row r="1639" spans="1:32" hidden="1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115">MID(P1639,5,2)</f>
        <v>24</v>
      </c>
      <c r="R1639" s="53" t="str">
        <f t="shared" ref="R1639:R1702" si="116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73">
        <f t="shared" si="113"/>
        <v>19</v>
      </c>
      <c r="Z1639" s="18">
        <v>46162</v>
      </c>
      <c r="AA1639" s="15"/>
      <c r="AB1639" s="15"/>
      <c r="AF1639" t="str">
        <f t="shared" si="114"/>
        <v>Closed in May</v>
      </c>
    </row>
    <row r="1640" spans="1:32" hidden="1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115"/>
        <v>24</v>
      </c>
      <c r="R1640" s="53" t="str">
        <f t="shared" si="116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73">
        <f t="shared" si="113"/>
        <v>19</v>
      </c>
      <c r="Z1640" s="18">
        <v>46162</v>
      </c>
      <c r="AA1640" s="15"/>
      <c r="AB1640" s="15"/>
      <c r="AF1640" t="str">
        <f t="shared" si="114"/>
        <v>Closed in May</v>
      </c>
    </row>
    <row r="1641" spans="1:32" hidden="1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115"/>
        <v>24</v>
      </c>
      <c r="R1641" s="53" t="str">
        <f t="shared" si="116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73">
        <f t="shared" si="113"/>
        <v>19</v>
      </c>
      <c r="Z1641" s="18">
        <v>46162</v>
      </c>
      <c r="AA1641" s="15"/>
      <c r="AB1641" s="15"/>
      <c r="AF1641" t="str">
        <f t="shared" si="114"/>
        <v>Closed in May</v>
      </c>
    </row>
    <row r="1642" spans="1:32" hidden="1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115"/>
        <v>24</v>
      </c>
      <c r="R1642" s="53" t="str">
        <f t="shared" si="116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73">
        <f t="shared" si="113"/>
        <v>19</v>
      </c>
      <c r="Z1642" s="18">
        <v>46162</v>
      </c>
      <c r="AA1642" s="15"/>
      <c r="AB1642" s="15"/>
      <c r="AF1642" t="str">
        <f t="shared" si="114"/>
        <v>Closed in May</v>
      </c>
    </row>
    <row r="1643" spans="1:32" hidden="1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115"/>
        <v>24</v>
      </c>
      <c r="R1643" s="53" t="str">
        <f t="shared" si="116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73">
        <f t="shared" si="113"/>
        <v>19</v>
      </c>
      <c r="Z1643" s="18">
        <v>46162</v>
      </c>
      <c r="AA1643" s="15"/>
      <c r="AB1643" s="15"/>
      <c r="AF1643" t="str">
        <f t="shared" si="114"/>
        <v>Closed in May</v>
      </c>
    </row>
    <row r="1644" spans="1:32" hidden="1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115"/>
        <v>24</v>
      </c>
      <c r="R1644" s="53" t="str">
        <f t="shared" si="116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73">
        <f t="shared" si="113"/>
        <v>19</v>
      </c>
      <c r="Z1644" s="18">
        <v>46162</v>
      </c>
      <c r="AA1644" s="15"/>
      <c r="AB1644" s="15"/>
      <c r="AF1644" t="str">
        <f t="shared" si="114"/>
        <v>Closed in May</v>
      </c>
    </row>
    <row r="1645" spans="1:32" hidden="1">
      <c r="A1645" s="6">
        <v>46107</v>
      </c>
      <c r="B1645" s="3">
        <v>2026</v>
      </c>
      <c r="C1645" s="3" t="s">
        <v>114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115"/>
        <v>24</v>
      </c>
      <c r="R1645" s="53" t="str">
        <f t="shared" si="116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73">
        <f t="shared" si="113"/>
        <v>56</v>
      </c>
      <c r="Z1645" s="18">
        <v>46163</v>
      </c>
      <c r="AA1645" s="15"/>
      <c r="AB1645" s="15"/>
      <c r="AF1645" t="str">
        <f t="shared" si="114"/>
        <v>Closed in May</v>
      </c>
    </row>
    <row r="1646" spans="1:32" hidden="1">
      <c r="A1646" s="6">
        <v>46107</v>
      </c>
      <c r="B1646" s="3">
        <v>2026</v>
      </c>
      <c r="C1646" s="3" t="s">
        <v>114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115"/>
        <v>24</v>
      </c>
      <c r="R1646" s="53" t="str">
        <f t="shared" si="116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73">
        <f t="shared" si="113"/>
        <v>56</v>
      </c>
      <c r="Z1646" s="18">
        <v>46163</v>
      </c>
      <c r="AA1646" s="15"/>
      <c r="AB1646" s="15"/>
      <c r="AF1646" t="str">
        <f t="shared" si="114"/>
        <v>Closed in May</v>
      </c>
    </row>
    <row r="1647" spans="1:32" hidden="1">
      <c r="A1647" s="6">
        <v>46107</v>
      </c>
      <c r="B1647" s="3">
        <v>2026</v>
      </c>
      <c r="C1647" s="3" t="s">
        <v>114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115"/>
        <v>24</v>
      </c>
      <c r="R1647" s="53" t="str">
        <f t="shared" si="116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73">
        <f t="shared" si="113"/>
        <v>56</v>
      </c>
      <c r="Z1647" s="18">
        <v>46163</v>
      </c>
      <c r="AA1647" s="15"/>
      <c r="AB1647" s="15"/>
      <c r="AF1647" t="str">
        <f t="shared" si="114"/>
        <v>Closed in May</v>
      </c>
    </row>
    <row r="1648" spans="1:32" hidden="1">
      <c r="A1648" s="6">
        <v>46107</v>
      </c>
      <c r="B1648" s="3">
        <v>2026</v>
      </c>
      <c r="C1648" s="3" t="s">
        <v>114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115"/>
        <v>24</v>
      </c>
      <c r="R1648" s="53" t="str">
        <f t="shared" si="116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73">
        <f t="shared" si="113"/>
        <v>56</v>
      </c>
      <c r="Z1648" s="18">
        <v>46163</v>
      </c>
      <c r="AA1648" s="15"/>
      <c r="AB1648" s="15"/>
      <c r="AF1648" t="str">
        <f t="shared" si="114"/>
        <v>Closed in May</v>
      </c>
    </row>
    <row r="1649" spans="1:32" hidden="1">
      <c r="A1649" s="6">
        <v>46107</v>
      </c>
      <c r="B1649" s="3">
        <v>2026</v>
      </c>
      <c r="C1649" s="3" t="s">
        <v>114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115"/>
        <v>24</v>
      </c>
      <c r="R1649" s="53" t="str">
        <f t="shared" si="116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73">
        <f t="shared" si="113"/>
        <v>56</v>
      </c>
      <c r="Z1649" s="18">
        <v>46163</v>
      </c>
      <c r="AA1649" s="15"/>
      <c r="AB1649" s="15"/>
      <c r="AF1649" t="str">
        <f t="shared" si="114"/>
        <v>Closed in May</v>
      </c>
    </row>
    <row r="1650" spans="1:32" hidden="1">
      <c r="A1650" s="6">
        <v>46107</v>
      </c>
      <c r="B1650" s="3">
        <v>2026</v>
      </c>
      <c r="C1650" s="3" t="s">
        <v>114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115"/>
        <v>24</v>
      </c>
      <c r="R1650" s="53" t="str">
        <f t="shared" si="116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73">
        <f t="shared" si="113"/>
        <v>56</v>
      </c>
      <c r="Z1650" s="18">
        <v>46163</v>
      </c>
      <c r="AA1650" s="15"/>
      <c r="AB1650" s="15"/>
      <c r="AF1650" t="str">
        <f t="shared" si="114"/>
        <v>Closed in May</v>
      </c>
    </row>
    <row r="1651" spans="1:32" hidden="1">
      <c r="A1651" s="6">
        <v>46107</v>
      </c>
      <c r="B1651" s="3">
        <v>2026</v>
      </c>
      <c r="C1651" s="3" t="s">
        <v>114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115"/>
        <v>24</v>
      </c>
      <c r="R1651" s="53" t="str">
        <f t="shared" si="116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73">
        <f t="shared" si="113"/>
        <v>56</v>
      </c>
      <c r="Z1651" s="18">
        <v>46163</v>
      </c>
      <c r="AA1651" s="15"/>
      <c r="AB1651" s="15"/>
      <c r="AF1651" t="str">
        <f t="shared" si="114"/>
        <v>Closed in May</v>
      </c>
    </row>
    <row r="1652" spans="1:32" hidden="1">
      <c r="A1652" s="6">
        <v>46107</v>
      </c>
      <c r="B1652" s="3">
        <v>2026</v>
      </c>
      <c r="C1652" s="3" t="s">
        <v>114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115"/>
        <v>24</v>
      </c>
      <c r="R1652" s="53" t="str">
        <f t="shared" si="116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73">
        <f t="shared" si="113"/>
        <v>56</v>
      </c>
      <c r="Z1652" s="18">
        <v>46163</v>
      </c>
      <c r="AA1652" s="15"/>
      <c r="AB1652" s="15"/>
      <c r="AF1652" t="str">
        <f t="shared" si="114"/>
        <v>Closed in May</v>
      </c>
    </row>
    <row r="1653" spans="1:32" hidden="1">
      <c r="A1653" s="6">
        <v>46107</v>
      </c>
      <c r="B1653" s="3">
        <v>2026</v>
      </c>
      <c r="C1653" s="3" t="s">
        <v>114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115"/>
        <v>24</v>
      </c>
      <c r="R1653" s="53" t="str">
        <f t="shared" si="116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73">
        <f t="shared" si="113"/>
        <v>56</v>
      </c>
      <c r="Z1653" s="18">
        <v>46163</v>
      </c>
      <c r="AA1653" s="15"/>
      <c r="AB1653" s="15"/>
      <c r="AF1653" t="str">
        <f t="shared" si="114"/>
        <v>Closed in May</v>
      </c>
    </row>
    <row r="1654" spans="1:32" hidden="1">
      <c r="A1654" s="6">
        <v>46107</v>
      </c>
      <c r="B1654" s="3">
        <v>2026</v>
      </c>
      <c r="C1654" s="3" t="s">
        <v>114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115"/>
        <v>24</v>
      </c>
      <c r="R1654" s="53" t="str">
        <f t="shared" si="116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73">
        <f t="shared" si="113"/>
        <v>56</v>
      </c>
      <c r="Z1654" s="18">
        <v>46163</v>
      </c>
      <c r="AA1654" s="15"/>
      <c r="AB1654" s="15"/>
      <c r="AF1654" t="str">
        <f t="shared" si="114"/>
        <v>Closed in May</v>
      </c>
    </row>
    <row r="1655" spans="1:32" hidden="1">
      <c r="A1655" s="6">
        <v>46107</v>
      </c>
      <c r="B1655" s="3">
        <v>2026</v>
      </c>
      <c r="C1655" s="3" t="s">
        <v>114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115"/>
        <v>24</v>
      </c>
      <c r="R1655" s="53" t="str">
        <f t="shared" si="116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73">
        <f t="shared" si="113"/>
        <v>56</v>
      </c>
      <c r="Z1655" s="18">
        <v>46163</v>
      </c>
      <c r="AA1655" s="15"/>
      <c r="AB1655" s="15"/>
      <c r="AF1655" t="str">
        <f t="shared" si="114"/>
        <v>Closed in May</v>
      </c>
    </row>
    <row r="1656" spans="1:32" hidden="1">
      <c r="A1656" s="6">
        <v>46107</v>
      </c>
      <c r="B1656" s="3">
        <v>2026</v>
      </c>
      <c r="C1656" s="3" t="s">
        <v>114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115"/>
        <v>24</v>
      </c>
      <c r="R1656" s="53" t="str">
        <f t="shared" si="116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73">
        <f t="shared" si="113"/>
        <v>56</v>
      </c>
      <c r="Z1656" s="18">
        <v>46163</v>
      </c>
      <c r="AA1656" s="15"/>
      <c r="AB1656" s="15"/>
      <c r="AF1656" t="str">
        <f t="shared" si="114"/>
        <v>Closed in May</v>
      </c>
    </row>
    <row r="1657" spans="1:32" hidden="1">
      <c r="A1657" s="6">
        <v>46107</v>
      </c>
      <c r="B1657" s="3">
        <v>2026</v>
      </c>
      <c r="C1657" s="3" t="s">
        <v>114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115"/>
        <v>24</v>
      </c>
      <c r="R1657" s="53" t="str">
        <f t="shared" si="116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73">
        <f t="shared" si="113"/>
        <v>56</v>
      </c>
      <c r="Z1657" s="18">
        <v>46163</v>
      </c>
      <c r="AA1657" s="15"/>
      <c r="AB1657" s="15"/>
      <c r="AF1657" t="str">
        <f t="shared" si="114"/>
        <v>Closed in May</v>
      </c>
    </row>
    <row r="1658" spans="1:32" hidden="1">
      <c r="A1658" s="6">
        <v>46107</v>
      </c>
      <c r="B1658" s="3">
        <v>2026</v>
      </c>
      <c r="C1658" s="3" t="s">
        <v>114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115"/>
        <v>24</v>
      </c>
      <c r="R1658" s="53" t="str">
        <f t="shared" si="116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73">
        <f t="shared" si="113"/>
        <v>56</v>
      </c>
      <c r="Z1658" s="18">
        <v>46163</v>
      </c>
      <c r="AA1658" s="15"/>
      <c r="AB1658" s="15"/>
      <c r="AF1658" t="str">
        <f t="shared" si="114"/>
        <v>Closed in May</v>
      </c>
    </row>
    <row r="1659" spans="1:32" hidden="1">
      <c r="A1659" s="6">
        <v>46107</v>
      </c>
      <c r="B1659" s="3">
        <v>2026</v>
      </c>
      <c r="C1659" s="3" t="s">
        <v>114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115"/>
        <v>24</v>
      </c>
      <c r="R1659" s="53" t="str">
        <f t="shared" si="116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73">
        <f t="shared" si="113"/>
        <v>56</v>
      </c>
      <c r="Z1659" s="18">
        <v>46163</v>
      </c>
      <c r="AA1659" s="15"/>
      <c r="AB1659" s="15"/>
      <c r="AF1659" t="str">
        <f t="shared" si="114"/>
        <v>Closed in May</v>
      </c>
    </row>
    <row r="1660" spans="1:32" hidden="1">
      <c r="A1660" s="6">
        <v>46107</v>
      </c>
      <c r="B1660" s="3">
        <v>2026</v>
      </c>
      <c r="C1660" s="3" t="s">
        <v>114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115"/>
        <v>24</v>
      </c>
      <c r="R1660" s="53" t="str">
        <f t="shared" si="116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73">
        <f t="shared" si="113"/>
        <v>56</v>
      </c>
      <c r="Z1660" s="18">
        <v>46163</v>
      </c>
      <c r="AA1660" s="15"/>
      <c r="AB1660" s="15"/>
      <c r="AF1660" t="str">
        <f t="shared" si="114"/>
        <v>Closed in May</v>
      </c>
    </row>
    <row r="1661" spans="1:32" hidden="1">
      <c r="A1661" s="6">
        <v>46107</v>
      </c>
      <c r="B1661" s="3">
        <v>2026</v>
      </c>
      <c r="C1661" s="3" t="s">
        <v>114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115"/>
        <v>24</v>
      </c>
      <c r="R1661" s="53" t="str">
        <f t="shared" si="116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73">
        <f t="shared" si="113"/>
        <v>56</v>
      </c>
      <c r="Z1661" s="18">
        <v>46163</v>
      </c>
      <c r="AA1661" s="15"/>
      <c r="AB1661" s="15"/>
      <c r="AF1661" t="str">
        <f t="shared" si="114"/>
        <v>Closed in May</v>
      </c>
    </row>
    <row r="1662" spans="1:32" hidden="1">
      <c r="A1662" s="6">
        <v>46107</v>
      </c>
      <c r="B1662" s="3">
        <v>2026</v>
      </c>
      <c r="C1662" s="3" t="s">
        <v>114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115"/>
        <v>24</v>
      </c>
      <c r="R1662" s="53" t="str">
        <f t="shared" si="116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73">
        <f t="shared" si="113"/>
        <v>56</v>
      </c>
      <c r="Z1662" s="18">
        <v>46163</v>
      </c>
      <c r="AA1662" s="15"/>
      <c r="AB1662" s="15"/>
      <c r="AF1662" t="str">
        <f t="shared" si="114"/>
        <v>Closed in May</v>
      </c>
    </row>
    <row r="1663" spans="1:32" hidden="1">
      <c r="A1663" s="6">
        <v>46107</v>
      </c>
      <c r="B1663" s="3">
        <v>2026</v>
      </c>
      <c r="C1663" s="3" t="s">
        <v>114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115"/>
        <v>24</v>
      </c>
      <c r="R1663" s="53" t="str">
        <f t="shared" si="116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73">
        <f t="shared" si="113"/>
        <v>56</v>
      </c>
      <c r="Z1663" s="18">
        <v>46163</v>
      </c>
      <c r="AA1663" s="15"/>
      <c r="AB1663" s="15"/>
      <c r="AF1663" t="str">
        <f t="shared" si="114"/>
        <v>Closed in May</v>
      </c>
    </row>
    <row r="1664" spans="1:32" hidden="1">
      <c r="A1664" s="6">
        <v>46107</v>
      </c>
      <c r="B1664" s="3">
        <v>2026</v>
      </c>
      <c r="C1664" s="3" t="s">
        <v>114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115"/>
        <v>24</v>
      </c>
      <c r="R1664" s="53" t="str">
        <f t="shared" si="116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73">
        <f t="shared" si="113"/>
        <v>56</v>
      </c>
      <c r="Z1664" s="18">
        <v>46163</v>
      </c>
      <c r="AA1664" s="15"/>
      <c r="AB1664" s="15"/>
      <c r="AF1664" t="str">
        <f t="shared" si="114"/>
        <v>Closed in May</v>
      </c>
    </row>
    <row r="1665" spans="1:32" hidden="1">
      <c r="A1665" s="6">
        <v>46107</v>
      </c>
      <c r="B1665" s="3">
        <v>2026</v>
      </c>
      <c r="C1665" s="3" t="s">
        <v>114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115"/>
        <v>24</v>
      </c>
      <c r="R1665" s="53" t="str">
        <f t="shared" si="116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73">
        <f t="shared" si="113"/>
        <v>56</v>
      </c>
      <c r="Z1665" s="18">
        <v>46163</v>
      </c>
      <c r="AA1665" s="15"/>
      <c r="AB1665" s="15"/>
      <c r="AF1665" t="str">
        <f t="shared" si="114"/>
        <v>Closed in May</v>
      </c>
    </row>
    <row r="1666" spans="1:32" hidden="1">
      <c r="A1666" s="6">
        <v>46107</v>
      </c>
      <c r="B1666" s="3">
        <v>2026</v>
      </c>
      <c r="C1666" s="3" t="s">
        <v>114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115"/>
        <v>24</v>
      </c>
      <c r="R1666" s="53" t="str">
        <f t="shared" si="116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73">
        <f t="shared" ref="Y1666:Y1729" si="117">IF(X1666="","",X1666-A1666)</f>
        <v>56</v>
      </c>
      <c r="Z1666" s="18">
        <v>46163</v>
      </c>
      <c r="AA1666" s="15"/>
      <c r="AB1666" s="15"/>
      <c r="AF1666" t="str">
        <f t="shared" ref="AF1666:AF1729" si="118">IF(AND($F1666="Closed",$X1666&gt;=DATE(2026,5,1),$X1666&lt;=DATE(2026,5,31)),"Closed in May","Other")</f>
        <v>Closed in May</v>
      </c>
    </row>
    <row r="1667" spans="1:32" hidden="1">
      <c r="A1667" s="6">
        <v>46107</v>
      </c>
      <c r="B1667" s="3">
        <v>2026</v>
      </c>
      <c r="C1667" s="3" t="s">
        <v>114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115"/>
        <v>24</v>
      </c>
      <c r="R1667" s="53" t="str">
        <f t="shared" si="116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73">
        <f t="shared" si="117"/>
        <v>56</v>
      </c>
      <c r="Z1667" s="18">
        <v>46163</v>
      </c>
      <c r="AA1667" s="15"/>
      <c r="AB1667" s="15"/>
      <c r="AF1667" t="str">
        <f t="shared" si="118"/>
        <v>Closed in May</v>
      </c>
    </row>
    <row r="1668" spans="1:32" hidden="1">
      <c r="A1668" s="6">
        <v>46107</v>
      </c>
      <c r="B1668" s="3">
        <v>2026</v>
      </c>
      <c r="C1668" s="3" t="s">
        <v>114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115"/>
        <v>24</v>
      </c>
      <c r="R1668" s="53" t="str">
        <f t="shared" si="116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73">
        <f t="shared" si="117"/>
        <v>56</v>
      </c>
      <c r="Z1668" s="18">
        <v>46163</v>
      </c>
      <c r="AA1668" s="15"/>
      <c r="AB1668" s="15"/>
      <c r="AF1668" t="str">
        <f t="shared" si="118"/>
        <v>Closed in May</v>
      </c>
    </row>
    <row r="1669" spans="1:32" hidden="1">
      <c r="A1669" s="6">
        <v>46107</v>
      </c>
      <c r="B1669" s="3">
        <v>2026</v>
      </c>
      <c r="C1669" s="3" t="s">
        <v>114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115"/>
        <v>24</v>
      </c>
      <c r="R1669" s="53" t="str">
        <f t="shared" si="116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73">
        <f t="shared" si="117"/>
        <v>56</v>
      </c>
      <c r="Z1669" s="18">
        <v>46163</v>
      </c>
      <c r="AA1669" s="15"/>
      <c r="AB1669" s="15"/>
      <c r="AF1669" t="str">
        <f t="shared" si="118"/>
        <v>Closed in May</v>
      </c>
    </row>
    <row r="1670" spans="1:32" hidden="1">
      <c r="A1670" s="6">
        <v>46107</v>
      </c>
      <c r="B1670" s="3">
        <v>2026</v>
      </c>
      <c r="C1670" s="3" t="s">
        <v>114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115"/>
        <v>24</v>
      </c>
      <c r="R1670" s="53" t="str">
        <f t="shared" si="116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73">
        <f t="shared" si="117"/>
        <v>56</v>
      </c>
      <c r="Z1670" s="18">
        <v>46163</v>
      </c>
      <c r="AA1670" s="15"/>
      <c r="AB1670" s="15"/>
      <c r="AF1670" t="str">
        <f t="shared" si="118"/>
        <v>Closed in May</v>
      </c>
    </row>
    <row r="1671" spans="1:32" hidden="1">
      <c r="A1671" s="6">
        <v>46107</v>
      </c>
      <c r="B1671" s="3">
        <v>2026</v>
      </c>
      <c r="C1671" s="3" t="s">
        <v>114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115"/>
        <v>24</v>
      </c>
      <c r="R1671" s="53" t="str">
        <f t="shared" si="116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73">
        <f t="shared" si="117"/>
        <v>56</v>
      </c>
      <c r="Z1671" s="18">
        <v>46163</v>
      </c>
      <c r="AA1671" s="15"/>
      <c r="AB1671" s="15"/>
      <c r="AF1671" t="str">
        <f t="shared" si="118"/>
        <v>Closed in May</v>
      </c>
    </row>
    <row r="1672" spans="1:32" hidden="1">
      <c r="A1672" s="6">
        <v>46107</v>
      </c>
      <c r="B1672" s="3">
        <v>2026</v>
      </c>
      <c r="C1672" s="3" t="s">
        <v>114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115"/>
        <v>24</v>
      </c>
      <c r="R1672" s="53" t="str">
        <f t="shared" si="116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73">
        <f t="shared" si="117"/>
        <v>56</v>
      </c>
      <c r="Z1672" s="18">
        <v>46163</v>
      </c>
      <c r="AA1672" s="15"/>
      <c r="AB1672" s="15"/>
      <c r="AF1672" t="str">
        <f t="shared" si="118"/>
        <v>Closed in May</v>
      </c>
    </row>
    <row r="1673" spans="1:32" hidden="1">
      <c r="A1673" s="6">
        <v>46107</v>
      </c>
      <c r="B1673" s="3">
        <v>2026</v>
      </c>
      <c r="C1673" s="3" t="s">
        <v>114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115"/>
        <v>24</v>
      </c>
      <c r="R1673" s="53" t="str">
        <f t="shared" si="116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73">
        <f t="shared" si="117"/>
        <v>56</v>
      </c>
      <c r="Z1673" s="18">
        <v>46163</v>
      </c>
      <c r="AA1673" s="15"/>
      <c r="AB1673" s="15"/>
      <c r="AF1673" t="str">
        <f t="shared" si="118"/>
        <v>Closed in May</v>
      </c>
    </row>
    <row r="1674" spans="1:32" hidden="1">
      <c r="A1674" s="6">
        <v>46107</v>
      </c>
      <c r="B1674" s="3">
        <v>2026</v>
      </c>
      <c r="C1674" s="3" t="s">
        <v>114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115"/>
        <v>24</v>
      </c>
      <c r="R1674" s="53" t="str">
        <f t="shared" si="116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73">
        <f t="shared" si="117"/>
        <v>56</v>
      </c>
      <c r="Z1674" s="18">
        <v>46163</v>
      </c>
      <c r="AA1674" s="15"/>
      <c r="AB1674" s="15"/>
      <c r="AF1674" t="str">
        <f t="shared" si="118"/>
        <v>Closed in May</v>
      </c>
    </row>
    <row r="1675" spans="1:32" hidden="1">
      <c r="A1675" s="6">
        <v>46107</v>
      </c>
      <c r="B1675" s="3">
        <v>2026</v>
      </c>
      <c r="C1675" s="3" t="s">
        <v>114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115"/>
        <v>24</v>
      </c>
      <c r="R1675" s="53" t="str">
        <f t="shared" si="116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73">
        <f t="shared" si="117"/>
        <v>56</v>
      </c>
      <c r="Z1675" s="18">
        <v>46163</v>
      </c>
      <c r="AA1675" s="15"/>
      <c r="AB1675" s="15"/>
      <c r="AF1675" t="str">
        <f t="shared" si="118"/>
        <v>Closed in May</v>
      </c>
    </row>
    <row r="1676" spans="1:32" hidden="1">
      <c r="A1676" s="6">
        <v>46107</v>
      </c>
      <c r="B1676" s="3">
        <v>2026</v>
      </c>
      <c r="C1676" s="3" t="s">
        <v>114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115"/>
        <v>24</v>
      </c>
      <c r="R1676" s="53" t="str">
        <f t="shared" si="116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73">
        <f t="shared" si="117"/>
        <v>56</v>
      </c>
      <c r="Z1676" s="18">
        <v>46163</v>
      </c>
      <c r="AA1676" s="15"/>
      <c r="AB1676" s="15"/>
      <c r="AF1676" t="str">
        <f t="shared" si="118"/>
        <v>Closed in May</v>
      </c>
    </row>
    <row r="1677" spans="1:32" hidden="1">
      <c r="A1677" s="6">
        <v>46107</v>
      </c>
      <c r="B1677" s="3">
        <v>2026</v>
      </c>
      <c r="C1677" s="3" t="s">
        <v>114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115"/>
        <v>24</v>
      </c>
      <c r="R1677" s="53" t="str">
        <f t="shared" si="116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73">
        <f t="shared" si="117"/>
        <v>56</v>
      </c>
      <c r="Z1677" s="18">
        <v>46163</v>
      </c>
      <c r="AA1677" s="15"/>
      <c r="AB1677" s="15"/>
      <c r="AF1677" t="str">
        <f t="shared" si="118"/>
        <v>Closed in May</v>
      </c>
    </row>
    <row r="1678" spans="1:32" hidden="1">
      <c r="A1678" s="6">
        <v>46107</v>
      </c>
      <c r="B1678" s="3">
        <v>2026</v>
      </c>
      <c r="C1678" s="3" t="s">
        <v>114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115"/>
        <v>24</v>
      </c>
      <c r="R1678" s="53" t="str">
        <f t="shared" si="116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73">
        <f t="shared" si="117"/>
        <v>56</v>
      </c>
      <c r="Z1678" s="18">
        <v>46163</v>
      </c>
      <c r="AA1678" s="15"/>
      <c r="AB1678" s="15"/>
      <c r="AF1678" t="str">
        <f t="shared" si="118"/>
        <v>Closed in May</v>
      </c>
    </row>
    <row r="1679" spans="1:32" hidden="1">
      <c r="A1679" s="6">
        <v>46107</v>
      </c>
      <c r="B1679" s="3">
        <v>2026</v>
      </c>
      <c r="C1679" s="3" t="s">
        <v>114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115"/>
        <v>24</v>
      </c>
      <c r="R1679" s="53" t="str">
        <f t="shared" si="116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73">
        <f t="shared" si="117"/>
        <v>56</v>
      </c>
      <c r="Z1679" s="18">
        <v>46163</v>
      </c>
      <c r="AA1679" s="15"/>
      <c r="AB1679" s="15"/>
      <c r="AF1679" t="str">
        <f t="shared" si="118"/>
        <v>Closed in May</v>
      </c>
    </row>
    <row r="1680" spans="1:32" hidden="1">
      <c r="A1680" s="6">
        <v>46107</v>
      </c>
      <c r="B1680" s="3">
        <v>2026</v>
      </c>
      <c r="C1680" s="3" t="s">
        <v>114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115"/>
        <v>24</v>
      </c>
      <c r="R1680" s="53" t="str">
        <f t="shared" si="116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73">
        <f t="shared" si="117"/>
        <v>56</v>
      </c>
      <c r="Z1680" s="18">
        <v>46163</v>
      </c>
      <c r="AA1680" s="15"/>
      <c r="AB1680" s="15"/>
      <c r="AF1680" t="str">
        <f t="shared" si="118"/>
        <v>Closed in May</v>
      </c>
    </row>
    <row r="1681" spans="1:32" hidden="1">
      <c r="A1681" s="6">
        <v>46107</v>
      </c>
      <c r="B1681" s="3">
        <v>2026</v>
      </c>
      <c r="C1681" s="3" t="s">
        <v>114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115"/>
        <v>24</v>
      </c>
      <c r="R1681" s="53" t="str">
        <f t="shared" si="116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73">
        <f t="shared" si="117"/>
        <v>56</v>
      </c>
      <c r="Z1681" s="18">
        <v>46163</v>
      </c>
      <c r="AA1681" s="15"/>
      <c r="AB1681" s="15"/>
      <c r="AF1681" t="str">
        <f t="shared" si="118"/>
        <v>Closed in May</v>
      </c>
    </row>
    <row r="1682" spans="1:32" hidden="1">
      <c r="A1682" s="6">
        <v>46107</v>
      </c>
      <c r="B1682" s="3">
        <v>2026</v>
      </c>
      <c r="C1682" s="3" t="s">
        <v>114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115"/>
        <v>24</v>
      </c>
      <c r="R1682" s="53" t="str">
        <f t="shared" si="116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73">
        <f t="shared" si="117"/>
        <v>56</v>
      </c>
      <c r="Z1682" s="18">
        <v>46163</v>
      </c>
      <c r="AA1682" s="15"/>
      <c r="AB1682" s="15"/>
      <c r="AF1682" t="str">
        <f t="shared" si="118"/>
        <v>Closed in May</v>
      </c>
    </row>
    <row r="1683" spans="1:32" hidden="1">
      <c r="A1683" s="6">
        <v>46107</v>
      </c>
      <c r="B1683" s="3">
        <v>2026</v>
      </c>
      <c r="C1683" s="3" t="s">
        <v>114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115"/>
        <v>24</v>
      </c>
      <c r="R1683" s="53" t="str">
        <f t="shared" si="116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73">
        <f t="shared" si="117"/>
        <v>56</v>
      </c>
      <c r="Z1683" s="18">
        <v>46163</v>
      </c>
      <c r="AA1683" s="15"/>
      <c r="AB1683" s="15"/>
      <c r="AF1683" t="str">
        <f t="shared" si="118"/>
        <v>Closed in May</v>
      </c>
    </row>
    <row r="1684" spans="1:32" hidden="1">
      <c r="A1684" s="6">
        <v>46107</v>
      </c>
      <c r="B1684" s="3">
        <v>2026</v>
      </c>
      <c r="C1684" s="3" t="s">
        <v>114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115"/>
        <v>24</v>
      </c>
      <c r="R1684" s="53" t="str">
        <f t="shared" si="116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73">
        <f t="shared" si="117"/>
        <v>56</v>
      </c>
      <c r="Z1684" s="18">
        <v>46163</v>
      </c>
      <c r="AA1684" s="15"/>
      <c r="AB1684" s="15"/>
      <c r="AF1684" t="str">
        <f t="shared" si="118"/>
        <v>Closed in May</v>
      </c>
    </row>
    <row r="1685" spans="1:32" hidden="1">
      <c r="A1685" s="6">
        <v>46107</v>
      </c>
      <c r="B1685" s="3">
        <v>2026</v>
      </c>
      <c r="C1685" s="3" t="s">
        <v>114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115"/>
        <v>24</v>
      </c>
      <c r="R1685" s="53" t="str">
        <f t="shared" si="116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73">
        <f t="shared" si="117"/>
        <v>56</v>
      </c>
      <c r="Z1685" s="18">
        <v>46163</v>
      </c>
      <c r="AA1685" s="15"/>
      <c r="AB1685" s="15"/>
      <c r="AF1685" t="str">
        <f t="shared" si="118"/>
        <v>Closed in May</v>
      </c>
    </row>
    <row r="1686" spans="1:32" hidden="1">
      <c r="A1686" s="6">
        <v>46107</v>
      </c>
      <c r="B1686" s="3">
        <v>2026</v>
      </c>
      <c r="C1686" s="3" t="s">
        <v>114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115"/>
        <v>24</v>
      </c>
      <c r="R1686" s="53" t="str">
        <f t="shared" si="116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73">
        <f t="shared" si="117"/>
        <v>56</v>
      </c>
      <c r="Z1686" s="18">
        <v>46163</v>
      </c>
      <c r="AA1686" s="15"/>
      <c r="AB1686" s="15"/>
      <c r="AF1686" t="str">
        <f t="shared" si="118"/>
        <v>Closed in May</v>
      </c>
    </row>
    <row r="1687" spans="1:32" hidden="1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115"/>
        <v>24</v>
      </c>
      <c r="R1687" s="53" t="str">
        <f t="shared" si="116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73">
        <f t="shared" si="117"/>
        <v>20</v>
      </c>
      <c r="Z1687" s="18">
        <v>46163</v>
      </c>
      <c r="AA1687" s="15"/>
      <c r="AB1687" s="15"/>
      <c r="AF1687" t="str">
        <f t="shared" si="118"/>
        <v>Closed in May</v>
      </c>
    </row>
    <row r="1688" spans="1:32" hidden="1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115"/>
        <v>24</v>
      </c>
      <c r="R1688" s="53" t="str">
        <f t="shared" si="116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73">
        <f t="shared" si="117"/>
        <v>20</v>
      </c>
      <c r="Z1688" s="18">
        <v>46163</v>
      </c>
      <c r="AA1688" s="15"/>
      <c r="AB1688" s="15"/>
      <c r="AF1688" t="str">
        <f t="shared" si="118"/>
        <v>Closed in May</v>
      </c>
    </row>
    <row r="1689" spans="1:32" hidden="1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115"/>
        <v>24</v>
      </c>
      <c r="R1689" s="53" t="str">
        <f t="shared" si="116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73">
        <f t="shared" si="117"/>
        <v>20</v>
      </c>
      <c r="Z1689" s="18">
        <v>46163</v>
      </c>
      <c r="AA1689" s="15"/>
      <c r="AB1689" s="15"/>
      <c r="AF1689" t="str">
        <f t="shared" si="118"/>
        <v>Closed in May</v>
      </c>
    </row>
    <row r="1690" spans="1:32" hidden="1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115"/>
        <v>24</v>
      </c>
      <c r="R1690" s="53" t="str">
        <f t="shared" si="116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73">
        <f t="shared" si="117"/>
        <v>20</v>
      </c>
      <c r="Z1690" s="18">
        <v>46163</v>
      </c>
      <c r="AA1690" s="15"/>
      <c r="AB1690" s="15"/>
      <c r="AF1690" t="str">
        <f t="shared" si="118"/>
        <v>Closed in May</v>
      </c>
    </row>
    <row r="1691" spans="1:32" hidden="1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115"/>
        <v>24</v>
      </c>
      <c r="R1691" s="53" t="str">
        <f t="shared" si="116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73">
        <f t="shared" si="117"/>
        <v>20</v>
      </c>
      <c r="Z1691" s="18">
        <v>46163</v>
      </c>
      <c r="AA1691" s="15"/>
      <c r="AB1691" s="15"/>
      <c r="AF1691" t="str">
        <f t="shared" si="118"/>
        <v>Closed in May</v>
      </c>
    </row>
    <row r="1692" spans="1:32" hidden="1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115"/>
        <v>24</v>
      </c>
      <c r="R1692" s="53" t="str">
        <f t="shared" si="116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73">
        <f t="shared" si="117"/>
        <v>20</v>
      </c>
      <c r="Z1692" s="18">
        <v>46163</v>
      </c>
      <c r="AA1692" s="15"/>
      <c r="AB1692" s="15"/>
      <c r="AF1692" t="str">
        <f t="shared" si="118"/>
        <v>Closed in May</v>
      </c>
    </row>
    <row r="1693" spans="1:32" hidden="1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115"/>
        <v>24</v>
      </c>
      <c r="R1693" s="53" t="str">
        <f t="shared" si="116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73">
        <f t="shared" si="117"/>
        <v>20</v>
      </c>
      <c r="Z1693" s="18">
        <v>46163</v>
      </c>
      <c r="AA1693" s="15"/>
      <c r="AB1693" s="15"/>
      <c r="AF1693" t="str">
        <f t="shared" si="118"/>
        <v>Closed in May</v>
      </c>
    </row>
    <row r="1694" spans="1:32" hidden="1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115"/>
        <v>24</v>
      </c>
      <c r="R1694" s="53" t="str">
        <f t="shared" si="116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73">
        <f t="shared" si="117"/>
        <v>20</v>
      </c>
      <c r="Z1694" s="18">
        <v>46163</v>
      </c>
      <c r="AA1694" s="15"/>
      <c r="AB1694" s="15"/>
      <c r="AF1694" t="str">
        <f t="shared" si="118"/>
        <v>Closed in May</v>
      </c>
    </row>
    <row r="1695" spans="1:32" hidden="1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115"/>
        <v>24</v>
      </c>
      <c r="R1695" s="53" t="str">
        <f t="shared" si="116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73">
        <f t="shared" si="117"/>
        <v>20</v>
      </c>
      <c r="Z1695" s="18">
        <v>46163</v>
      </c>
      <c r="AA1695" s="15"/>
      <c r="AB1695" s="15"/>
      <c r="AF1695" t="str">
        <f t="shared" si="118"/>
        <v>Closed in May</v>
      </c>
    </row>
    <row r="1696" spans="1:32" hidden="1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115"/>
        <v>24</v>
      </c>
      <c r="R1696" s="53" t="str">
        <f t="shared" si="116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73">
        <f t="shared" si="117"/>
        <v>20</v>
      </c>
      <c r="Z1696" s="18">
        <v>46163</v>
      </c>
      <c r="AA1696" s="15"/>
      <c r="AB1696" s="15"/>
      <c r="AF1696" t="str">
        <f t="shared" si="118"/>
        <v>Closed in May</v>
      </c>
    </row>
    <row r="1697" spans="1:32" hidden="1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115"/>
        <v>24</v>
      </c>
      <c r="R1697" s="53" t="str">
        <f t="shared" si="116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73">
        <f t="shared" si="117"/>
        <v>20</v>
      </c>
      <c r="Z1697" s="18">
        <v>46163</v>
      </c>
      <c r="AA1697" s="15"/>
      <c r="AB1697" s="15"/>
      <c r="AF1697" t="str">
        <f t="shared" si="118"/>
        <v>Closed in May</v>
      </c>
    </row>
    <row r="1698" spans="1:32" hidden="1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115"/>
        <v>24</v>
      </c>
      <c r="R1698" s="53" t="str">
        <f t="shared" si="116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73">
        <f t="shared" si="117"/>
        <v>20</v>
      </c>
      <c r="Z1698" s="18">
        <v>46163</v>
      </c>
      <c r="AA1698" s="15"/>
      <c r="AB1698" s="15"/>
      <c r="AF1698" t="str">
        <f t="shared" si="118"/>
        <v>Closed in May</v>
      </c>
    </row>
    <row r="1699" spans="1:32" hidden="1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115"/>
        <v>24</v>
      </c>
      <c r="R1699" s="53" t="str">
        <f t="shared" si="116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73">
        <f t="shared" si="117"/>
        <v>20</v>
      </c>
      <c r="Z1699" s="18">
        <v>46163</v>
      </c>
      <c r="AA1699" s="15"/>
      <c r="AB1699" s="15"/>
      <c r="AF1699" t="str">
        <f t="shared" si="118"/>
        <v>Closed in May</v>
      </c>
    </row>
    <row r="1700" spans="1:32" hidden="1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115"/>
        <v>24</v>
      </c>
      <c r="R1700" s="53" t="str">
        <f t="shared" si="116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73">
        <f t="shared" si="117"/>
        <v>20</v>
      </c>
      <c r="Z1700" s="18">
        <v>46163</v>
      </c>
      <c r="AA1700" s="15"/>
      <c r="AB1700" s="15"/>
      <c r="AF1700" t="str">
        <f t="shared" si="118"/>
        <v>Closed in May</v>
      </c>
    </row>
    <row r="1701" spans="1:32" hidden="1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115"/>
        <v>24</v>
      </c>
      <c r="R1701" s="53" t="str">
        <f t="shared" si="116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73">
        <f t="shared" si="117"/>
        <v>20</v>
      </c>
      <c r="Z1701" s="18">
        <v>46163</v>
      </c>
      <c r="AA1701" s="15"/>
      <c r="AB1701" s="15"/>
      <c r="AF1701" t="str">
        <f t="shared" si="118"/>
        <v>Closed in May</v>
      </c>
    </row>
    <row r="1702" spans="1:32" hidden="1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115"/>
        <v>24</v>
      </c>
      <c r="R1702" s="53" t="str">
        <f t="shared" si="116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73">
        <f t="shared" si="117"/>
        <v>20</v>
      </c>
      <c r="Z1702" s="18">
        <v>46163</v>
      </c>
      <c r="AA1702" s="15"/>
      <c r="AB1702" s="15"/>
      <c r="AF1702" t="str">
        <f t="shared" si="118"/>
        <v>Closed in May</v>
      </c>
    </row>
    <row r="1703" spans="1:32" hidden="1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119">MID(P1703,5,2)</f>
        <v>24</v>
      </c>
      <c r="R1703" s="53" t="str">
        <f t="shared" ref="R1703:R1766" si="120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73">
        <f t="shared" si="117"/>
        <v>20</v>
      </c>
      <c r="Z1703" s="18">
        <v>46163</v>
      </c>
      <c r="AA1703" s="15"/>
      <c r="AB1703" s="15"/>
      <c r="AF1703" t="str">
        <f t="shared" si="118"/>
        <v>Closed in May</v>
      </c>
    </row>
    <row r="1704" spans="1:32" hidden="1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119"/>
        <v>24</v>
      </c>
      <c r="R1704" s="53" t="str">
        <f t="shared" si="120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73">
        <f t="shared" si="117"/>
        <v>20</v>
      </c>
      <c r="Z1704" s="18">
        <v>46163</v>
      </c>
      <c r="AA1704" s="15"/>
      <c r="AB1704" s="15"/>
      <c r="AF1704" t="str">
        <f t="shared" si="118"/>
        <v>Closed in May</v>
      </c>
    </row>
    <row r="1705" spans="1:32" hidden="1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119"/>
        <v>24</v>
      </c>
      <c r="R1705" s="53" t="str">
        <f t="shared" si="120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73">
        <f t="shared" si="117"/>
        <v>20</v>
      </c>
      <c r="Z1705" s="18">
        <v>46163</v>
      </c>
      <c r="AA1705" s="15"/>
      <c r="AB1705" s="15"/>
      <c r="AF1705" t="str">
        <f t="shared" si="118"/>
        <v>Closed in May</v>
      </c>
    </row>
    <row r="1706" spans="1:32" hidden="1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119"/>
        <v>24</v>
      </c>
      <c r="R1706" s="53" t="str">
        <f t="shared" si="120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73">
        <f t="shared" si="117"/>
        <v>20</v>
      </c>
      <c r="Z1706" s="18">
        <v>46163</v>
      </c>
      <c r="AA1706" s="15"/>
      <c r="AB1706" s="15"/>
      <c r="AF1706" t="str">
        <f t="shared" si="118"/>
        <v>Closed in May</v>
      </c>
    </row>
    <row r="1707" spans="1:32" hidden="1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119"/>
        <v>24</v>
      </c>
      <c r="R1707" s="53" t="str">
        <f t="shared" si="120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73">
        <f t="shared" si="117"/>
        <v>20</v>
      </c>
      <c r="Z1707" s="18">
        <v>46163</v>
      </c>
      <c r="AA1707" s="15"/>
      <c r="AB1707" s="15"/>
      <c r="AF1707" t="str">
        <f t="shared" si="118"/>
        <v>Closed in May</v>
      </c>
    </row>
    <row r="1708" spans="1:32" hidden="1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119"/>
        <v>24</v>
      </c>
      <c r="R1708" s="53" t="str">
        <f t="shared" si="120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73">
        <f t="shared" si="117"/>
        <v>20</v>
      </c>
      <c r="Z1708" s="18">
        <v>46163</v>
      </c>
      <c r="AA1708" s="15"/>
      <c r="AB1708" s="15"/>
      <c r="AF1708" t="str">
        <f t="shared" si="118"/>
        <v>Closed in May</v>
      </c>
    </row>
    <row r="1709" spans="1:32" hidden="1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119"/>
        <v>24</v>
      </c>
      <c r="R1709" s="53" t="str">
        <f t="shared" si="120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73">
        <f t="shared" si="117"/>
        <v>20</v>
      </c>
      <c r="Z1709" s="18">
        <v>46163</v>
      </c>
      <c r="AA1709" s="15"/>
      <c r="AB1709" s="15"/>
      <c r="AF1709" t="str">
        <f t="shared" si="118"/>
        <v>Closed in May</v>
      </c>
    </row>
    <row r="1710" spans="1:32" hidden="1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119"/>
        <v>24</v>
      </c>
      <c r="R1710" s="53" t="str">
        <f t="shared" si="120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73">
        <f t="shared" si="117"/>
        <v>20</v>
      </c>
      <c r="Z1710" s="18">
        <v>46163</v>
      </c>
      <c r="AA1710" s="15"/>
      <c r="AB1710" s="15"/>
      <c r="AF1710" t="str">
        <f t="shared" si="118"/>
        <v>Closed in May</v>
      </c>
    </row>
    <row r="1711" spans="1:32" hidden="1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119"/>
        <v>24</v>
      </c>
      <c r="R1711" s="53" t="str">
        <f t="shared" si="120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73">
        <f t="shared" si="117"/>
        <v>20</v>
      </c>
      <c r="Z1711" s="18">
        <v>46163</v>
      </c>
      <c r="AA1711" s="15"/>
      <c r="AB1711" s="15"/>
      <c r="AF1711" t="str">
        <f t="shared" si="118"/>
        <v>Closed in May</v>
      </c>
    </row>
    <row r="1712" spans="1:32" hidden="1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119"/>
        <v>24</v>
      </c>
      <c r="R1712" s="53" t="str">
        <f t="shared" si="120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73">
        <f t="shared" si="117"/>
        <v>20</v>
      </c>
      <c r="Z1712" s="18">
        <v>46163</v>
      </c>
      <c r="AA1712" s="15"/>
      <c r="AB1712" s="15"/>
      <c r="AF1712" t="str">
        <f t="shared" si="118"/>
        <v>Closed in May</v>
      </c>
    </row>
    <row r="1713" spans="1:32" hidden="1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119"/>
        <v>24</v>
      </c>
      <c r="R1713" s="53" t="str">
        <f t="shared" si="120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73">
        <f t="shared" si="117"/>
        <v>20</v>
      </c>
      <c r="Z1713" s="18">
        <v>46163</v>
      </c>
      <c r="AA1713" s="15"/>
      <c r="AB1713" s="15"/>
      <c r="AF1713" t="str">
        <f t="shared" si="118"/>
        <v>Closed in May</v>
      </c>
    </row>
    <row r="1714" spans="1:32" hidden="1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119"/>
        <v>24</v>
      </c>
      <c r="R1714" s="53" t="str">
        <f t="shared" si="120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73">
        <f t="shared" si="117"/>
        <v>20</v>
      </c>
      <c r="Z1714" s="18">
        <v>46163</v>
      </c>
      <c r="AA1714" s="15"/>
      <c r="AB1714" s="15"/>
      <c r="AF1714" t="str">
        <f t="shared" si="118"/>
        <v>Closed in May</v>
      </c>
    </row>
    <row r="1715" spans="1:32" hidden="1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119"/>
        <v>24</v>
      </c>
      <c r="R1715" s="53" t="str">
        <f t="shared" si="120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73">
        <f t="shared" si="117"/>
        <v>20</v>
      </c>
      <c r="Z1715" s="18">
        <v>46163</v>
      </c>
      <c r="AA1715" s="15"/>
      <c r="AB1715" s="15"/>
      <c r="AF1715" t="str">
        <f t="shared" si="118"/>
        <v>Closed in May</v>
      </c>
    </row>
    <row r="1716" spans="1:32" hidden="1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119"/>
        <v>24</v>
      </c>
      <c r="R1716" s="53" t="str">
        <f t="shared" si="120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73">
        <f t="shared" si="117"/>
        <v>20</v>
      </c>
      <c r="Z1716" s="18">
        <v>46163</v>
      </c>
      <c r="AA1716" s="15"/>
      <c r="AB1716" s="15"/>
      <c r="AF1716" t="str">
        <f t="shared" si="118"/>
        <v>Closed in May</v>
      </c>
    </row>
    <row r="1717" spans="1:32" hidden="1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119"/>
        <v>24</v>
      </c>
      <c r="R1717" s="53" t="str">
        <f t="shared" si="120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73">
        <f t="shared" si="117"/>
        <v>20</v>
      </c>
      <c r="Z1717" s="18">
        <v>46163</v>
      </c>
      <c r="AA1717" s="15"/>
      <c r="AB1717" s="15"/>
      <c r="AF1717" t="str">
        <f t="shared" si="118"/>
        <v>Closed in May</v>
      </c>
    </row>
    <row r="1718" spans="1:32" hidden="1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119"/>
        <v>24</v>
      </c>
      <c r="R1718" s="53" t="str">
        <f t="shared" si="120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73">
        <f t="shared" si="117"/>
        <v>20</v>
      </c>
      <c r="Z1718" s="18">
        <v>46163</v>
      </c>
      <c r="AA1718" s="15"/>
      <c r="AB1718" s="15"/>
      <c r="AF1718" t="str">
        <f t="shared" si="118"/>
        <v>Closed in May</v>
      </c>
    </row>
    <row r="1719" spans="1:32" hidden="1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119"/>
        <v>24</v>
      </c>
      <c r="R1719" s="53" t="str">
        <f t="shared" si="120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73">
        <f t="shared" si="117"/>
        <v>20</v>
      </c>
      <c r="Z1719" s="18">
        <v>46163</v>
      </c>
      <c r="AA1719" s="15"/>
      <c r="AB1719" s="15"/>
      <c r="AF1719" t="str">
        <f t="shared" si="118"/>
        <v>Closed in May</v>
      </c>
    </row>
    <row r="1720" spans="1:32" hidden="1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119"/>
        <v>24</v>
      </c>
      <c r="R1720" s="53" t="str">
        <f t="shared" si="120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73">
        <f t="shared" si="117"/>
        <v>20</v>
      </c>
      <c r="Z1720" s="18">
        <v>46163</v>
      </c>
      <c r="AA1720" s="15"/>
      <c r="AB1720" s="15"/>
      <c r="AF1720" t="str">
        <f t="shared" si="118"/>
        <v>Closed in May</v>
      </c>
    </row>
    <row r="1721" spans="1:32" hidden="1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119"/>
        <v>24</v>
      </c>
      <c r="R1721" s="53" t="str">
        <f t="shared" si="120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73">
        <f t="shared" si="117"/>
        <v>20</v>
      </c>
      <c r="Z1721" s="18">
        <v>46163</v>
      </c>
      <c r="AA1721" s="15"/>
      <c r="AB1721" s="15"/>
      <c r="AF1721" t="str">
        <f t="shared" si="118"/>
        <v>Closed in May</v>
      </c>
    </row>
    <row r="1722" spans="1:32" hidden="1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119"/>
        <v>24</v>
      </c>
      <c r="R1722" s="53" t="str">
        <f t="shared" si="120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73">
        <f t="shared" si="117"/>
        <v>20</v>
      </c>
      <c r="Z1722" s="18">
        <v>46163</v>
      </c>
      <c r="AA1722" s="15"/>
      <c r="AB1722" s="15"/>
      <c r="AF1722" t="str">
        <f t="shared" si="118"/>
        <v>Closed in May</v>
      </c>
    </row>
    <row r="1723" spans="1:32" hidden="1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119"/>
        <v>24</v>
      </c>
      <c r="R1723" s="53" t="str">
        <f t="shared" si="120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73">
        <f t="shared" si="117"/>
        <v>20</v>
      </c>
      <c r="Z1723" s="18">
        <v>46163</v>
      </c>
      <c r="AA1723" s="15"/>
      <c r="AB1723" s="15"/>
      <c r="AF1723" t="str">
        <f t="shared" si="118"/>
        <v>Closed in May</v>
      </c>
    </row>
    <row r="1724" spans="1:32" hidden="1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119"/>
        <v>24</v>
      </c>
      <c r="R1724" s="53" t="str">
        <f t="shared" si="120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73">
        <f t="shared" si="117"/>
        <v>20</v>
      </c>
      <c r="Z1724" s="18">
        <v>46163</v>
      </c>
      <c r="AA1724" s="15"/>
      <c r="AB1724" s="15"/>
      <c r="AF1724" t="str">
        <f t="shared" si="118"/>
        <v>Closed in May</v>
      </c>
    </row>
    <row r="1725" spans="1:32" hidden="1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119"/>
        <v>24</v>
      </c>
      <c r="R1725" s="53" t="str">
        <f t="shared" si="120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73">
        <f t="shared" si="117"/>
        <v>20</v>
      </c>
      <c r="Z1725" s="18">
        <v>46163</v>
      </c>
      <c r="AA1725" s="15"/>
      <c r="AB1725" s="15"/>
      <c r="AF1725" t="str">
        <f t="shared" si="118"/>
        <v>Closed in May</v>
      </c>
    </row>
    <row r="1726" spans="1:32" hidden="1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119"/>
        <v>24</v>
      </c>
      <c r="R1726" s="53" t="str">
        <f t="shared" si="120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73">
        <f t="shared" si="117"/>
        <v>20</v>
      </c>
      <c r="Z1726" s="18">
        <v>46163</v>
      </c>
      <c r="AA1726" s="15"/>
      <c r="AB1726" s="15"/>
      <c r="AF1726" t="str">
        <f t="shared" si="118"/>
        <v>Closed in May</v>
      </c>
    </row>
    <row r="1727" spans="1:32" hidden="1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119"/>
        <v>24</v>
      </c>
      <c r="R1727" s="53" t="str">
        <f t="shared" si="120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73">
        <f t="shared" si="117"/>
        <v>20</v>
      </c>
      <c r="Z1727" s="18">
        <v>46163</v>
      </c>
      <c r="AA1727" s="15"/>
      <c r="AB1727" s="15"/>
      <c r="AF1727" t="str">
        <f t="shared" si="118"/>
        <v>Closed in May</v>
      </c>
    </row>
    <row r="1728" spans="1:32" hidden="1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119"/>
        <v>24</v>
      </c>
      <c r="R1728" s="53" t="str">
        <f t="shared" si="120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73">
        <f t="shared" si="117"/>
        <v>20</v>
      </c>
      <c r="Z1728" s="18">
        <v>46163</v>
      </c>
      <c r="AA1728" s="15"/>
      <c r="AB1728" s="15"/>
      <c r="AF1728" t="str">
        <f t="shared" si="118"/>
        <v>Closed in May</v>
      </c>
    </row>
    <row r="1729" spans="1:32" hidden="1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119"/>
        <v>24</v>
      </c>
      <c r="R1729" s="53" t="str">
        <f t="shared" si="120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73">
        <f t="shared" si="117"/>
        <v>20</v>
      </c>
      <c r="Z1729" s="18">
        <v>46163</v>
      </c>
      <c r="AA1729" s="15"/>
      <c r="AB1729" s="15"/>
      <c r="AF1729" t="str">
        <f t="shared" si="118"/>
        <v>Closed in May</v>
      </c>
    </row>
    <row r="1730" spans="1:32" hidden="1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119"/>
        <v>24</v>
      </c>
      <c r="R1730" s="53" t="str">
        <f t="shared" si="120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73">
        <f t="shared" ref="Y1730:Y1793" si="121">IF(X1730="","",X1730-A1730)</f>
        <v>20</v>
      </c>
      <c r="Z1730" s="18">
        <v>46163</v>
      </c>
      <c r="AA1730" s="15"/>
      <c r="AB1730" s="15"/>
      <c r="AF1730" t="str">
        <f t="shared" ref="AF1730:AF1793" si="122">IF(AND($F1730="Closed",$X1730&gt;=DATE(2026,5,1),$X1730&lt;=DATE(2026,5,31)),"Closed in May","Other")</f>
        <v>Closed in May</v>
      </c>
    </row>
    <row r="1731" spans="1:32" hidden="1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119"/>
        <v>24</v>
      </c>
      <c r="R1731" s="53" t="str">
        <f t="shared" si="120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73">
        <f t="shared" si="121"/>
        <v>20</v>
      </c>
      <c r="Z1731" s="18">
        <v>46163</v>
      </c>
      <c r="AA1731" s="15"/>
      <c r="AB1731" s="15"/>
      <c r="AF1731" t="str">
        <f t="shared" si="122"/>
        <v>Closed in May</v>
      </c>
    </row>
    <row r="1732" spans="1:32" hidden="1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119"/>
        <v>24</v>
      </c>
      <c r="R1732" s="53" t="str">
        <f t="shared" si="120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73">
        <f t="shared" si="121"/>
        <v>20</v>
      </c>
      <c r="Z1732" s="18">
        <v>46163</v>
      </c>
      <c r="AA1732" s="15"/>
      <c r="AB1732" s="15"/>
      <c r="AF1732" t="str">
        <f t="shared" si="122"/>
        <v>Closed in May</v>
      </c>
    </row>
    <row r="1733" spans="1:32" hidden="1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119"/>
        <v>24</v>
      </c>
      <c r="R1733" s="53" t="str">
        <f t="shared" si="120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73">
        <f t="shared" si="121"/>
        <v>20</v>
      </c>
      <c r="Z1733" s="18">
        <v>46163</v>
      </c>
      <c r="AA1733" s="15"/>
      <c r="AB1733" s="15"/>
      <c r="AF1733" t="str">
        <f t="shared" si="122"/>
        <v>Closed in May</v>
      </c>
    </row>
    <row r="1734" spans="1:32" hidden="1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119"/>
        <v>24</v>
      </c>
      <c r="R1734" s="53" t="str">
        <f t="shared" si="120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73">
        <f t="shared" si="121"/>
        <v>20</v>
      </c>
      <c r="Z1734" s="18">
        <v>46163</v>
      </c>
      <c r="AA1734" s="15"/>
      <c r="AB1734" s="15"/>
      <c r="AF1734" t="str">
        <f t="shared" si="122"/>
        <v>Closed in May</v>
      </c>
    </row>
    <row r="1735" spans="1:32" hidden="1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119"/>
        <v>24</v>
      </c>
      <c r="R1735" s="53" t="str">
        <f t="shared" si="120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73">
        <f t="shared" si="121"/>
        <v>20</v>
      </c>
      <c r="Z1735" s="18">
        <v>46163</v>
      </c>
      <c r="AA1735" s="15"/>
      <c r="AB1735" s="15"/>
      <c r="AF1735" t="str">
        <f t="shared" si="122"/>
        <v>Closed in May</v>
      </c>
    </row>
    <row r="1736" spans="1:32" hidden="1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119"/>
        <v>24</v>
      </c>
      <c r="R1736" s="53" t="str">
        <f t="shared" si="120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73">
        <f t="shared" si="121"/>
        <v>20</v>
      </c>
      <c r="Z1736" s="18">
        <v>46163</v>
      </c>
      <c r="AA1736" s="15"/>
      <c r="AB1736" s="15"/>
      <c r="AF1736" t="str">
        <f t="shared" si="122"/>
        <v>Closed in May</v>
      </c>
    </row>
    <row r="1737" spans="1:32" hidden="1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119"/>
        <v>24</v>
      </c>
      <c r="R1737" s="53" t="str">
        <f t="shared" si="120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73">
        <f t="shared" si="121"/>
        <v>20</v>
      </c>
      <c r="Z1737" s="18">
        <v>46163</v>
      </c>
      <c r="AA1737" s="15"/>
      <c r="AB1737" s="15"/>
      <c r="AF1737" t="str">
        <f t="shared" si="122"/>
        <v>Closed in May</v>
      </c>
    </row>
    <row r="1738" spans="1:32" hidden="1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119"/>
        <v>24</v>
      </c>
      <c r="R1738" s="53" t="str">
        <f t="shared" si="120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73">
        <f t="shared" si="121"/>
        <v>20</v>
      </c>
      <c r="Z1738" s="18">
        <v>46163</v>
      </c>
      <c r="AA1738" s="15"/>
      <c r="AB1738" s="15"/>
      <c r="AF1738" t="str">
        <f t="shared" si="122"/>
        <v>Closed in May</v>
      </c>
    </row>
    <row r="1739" spans="1:32" hidden="1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119"/>
        <v>24</v>
      </c>
      <c r="R1739" s="53" t="str">
        <f t="shared" si="120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73">
        <f t="shared" si="121"/>
        <v>20</v>
      </c>
      <c r="Z1739" s="18">
        <v>46163</v>
      </c>
      <c r="AA1739" s="15"/>
      <c r="AB1739" s="15"/>
      <c r="AF1739" t="str">
        <f t="shared" si="122"/>
        <v>Closed in May</v>
      </c>
    </row>
    <row r="1740" spans="1:32" hidden="1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119"/>
        <v>24</v>
      </c>
      <c r="R1740" s="53" t="str">
        <f t="shared" si="120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73">
        <f t="shared" si="121"/>
        <v>20</v>
      </c>
      <c r="Z1740" s="18">
        <v>46163</v>
      </c>
      <c r="AA1740" s="15"/>
      <c r="AB1740" s="15"/>
      <c r="AF1740" t="str">
        <f t="shared" si="122"/>
        <v>Closed in May</v>
      </c>
    </row>
    <row r="1741" spans="1:32" hidden="1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119"/>
        <v>24</v>
      </c>
      <c r="R1741" s="53" t="str">
        <f t="shared" si="120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73">
        <f t="shared" si="121"/>
        <v>20</v>
      </c>
      <c r="Z1741" s="18">
        <v>46163</v>
      </c>
      <c r="AA1741" s="15"/>
      <c r="AB1741" s="15"/>
      <c r="AF1741" t="str">
        <f t="shared" si="122"/>
        <v>Closed in May</v>
      </c>
    </row>
    <row r="1742" spans="1:32" hidden="1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119"/>
        <v>24</v>
      </c>
      <c r="R1742" s="53" t="str">
        <f t="shared" si="120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73">
        <f t="shared" si="121"/>
        <v>20</v>
      </c>
      <c r="Z1742" s="18">
        <v>46163</v>
      </c>
      <c r="AA1742" s="15"/>
      <c r="AB1742" s="15"/>
      <c r="AF1742" t="str">
        <f t="shared" si="122"/>
        <v>Closed in May</v>
      </c>
    </row>
    <row r="1743" spans="1:32" hidden="1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119"/>
        <v>24</v>
      </c>
      <c r="R1743" s="53" t="str">
        <f t="shared" si="120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73">
        <f t="shared" si="121"/>
        <v>20</v>
      </c>
      <c r="Z1743" s="18">
        <v>46163</v>
      </c>
      <c r="AA1743" s="15"/>
      <c r="AB1743" s="15"/>
      <c r="AF1743" t="str">
        <f t="shared" si="122"/>
        <v>Closed in May</v>
      </c>
    </row>
    <row r="1744" spans="1:32" hidden="1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119"/>
        <v>24</v>
      </c>
      <c r="R1744" s="53" t="str">
        <f t="shared" si="120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73">
        <f t="shared" si="121"/>
        <v>20</v>
      </c>
      <c r="Z1744" s="18">
        <v>46163</v>
      </c>
      <c r="AA1744" s="15"/>
      <c r="AB1744" s="15"/>
      <c r="AF1744" t="str">
        <f t="shared" si="122"/>
        <v>Closed in May</v>
      </c>
    </row>
    <row r="1745" spans="1:32" hidden="1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119"/>
        <v>24</v>
      </c>
      <c r="R1745" s="53" t="str">
        <f t="shared" si="120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73">
        <f t="shared" si="121"/>
        <v>20</v>
      </c>
      <c r="Z1745" s="18">
        <v>46163</v>
      </c>
      <c r="AA1745" s="15"/>
      <c r="AB1745" s="15"/>
      <c r="AF1745" t="str">
        <f t="shared" si="122"/>
        <v>Closed in May</v>
      </c>
    </row>
    <row r="1746" spans="1:32" hidden="1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119"/>
        <v>24</v>
      </c>
      <c r="R1746" s="53" t="str">
        <f t="shared" si="120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73">
        <f t="shared" si="121"/>
        <v>20</v>
      </c>
      <c r="Z1746" s="18">
        <v>46163</v>
      </c>
      <c r="AA1746" s="15"/>
      <c r="AB1746" s="15"/>
      <c r="AF1746" t="str">
        <f t="shared" si="122"/>
        <v>Closed in May</v>
      </c>
    </row>
    <row r="1747" spans="1:32" hidden="1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119"/>
        <v>24</v>
      </c>
      <c r="R1747" s="53" t="str">
        <f t="shared" si="120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73">
        <f t="shared" si="121"/>
        <v>20</v>
      </c>
      <c r="Z1747" s="18">
        <v>46163</v>
      </c>
      <c r="AA1747" s="15"/>
      <c r="AB1747" s="15"/>
      <c r="AF1747" t="str">
        <f t="shared" si="122"/>
        <v>Closed in May</v>
      </c>
    </row>
    <row r="1748" spans="1:32" hidden="1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119"/>
        <v>24</v>
      </c>
      <c r="R1748" s="53" t="str">
        <f t="shared" si="120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73">
        <f t="shared" si="121"/>
        <v>20</v>
      </c>
      <c r="Z1748" s="18">
        <v>46163</v>
      </c>
      <c r="AA1748" s="15"/>
      <c r="AB1748" s="15"/>
      <c r="AF1748" t="str">
        <f t="shared" si="122"/>
        <v>Closed in May</v>
      </c>
    </row>
    <row r="1749" spans="1:32" hidden="1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119"/>
        <v>24</v>
      </c>
      <c r="R1749" s="53" t="str">
        <f t="shared" si="120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73">
        <f t="shared" si="121"/>
        <v>21</v>
      </c>
      <c r="Z1749" s="18">
        <v>46164</v>
      </c>
      <c r="AA1749" s="15"/>
      <c r="AB1749" s="15"/>
      <c r="AF1749" t="str">
        <f t="shared" si="122"/>
        <v>Closed in May</v>
      </c>
    </row>
    <row r="1750" spans="1:32" hidden="1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119"/>
        <v>24</v>
      </c>
      <c r="R1750" s="53" t="str">
        <f t="shared" si="120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73">
        <f t="shared" si="121"/>
        <v>21</v>
      </c>
      <c r="Z1750" s="18">
        <v>46164</v>
      </c>
      <c r="AA1750" s="15"/>
      <c r="AB1750" s="15"/>
      <c r="AF1750" t="str">
        <f t="shared" si="122"/>
        <v>Closed in May</v>
      </c>
    </row>
    <row r="1751" spans="1:32" hidden="1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119"/>
        <v>24</v>
      </c>
      <c r="R1751" s="53" t="str">
        <f t="shared" si="120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73">
        <f t="shared" si="121"/>
        <v>21</v>
      </c>
      <c r="Z1751" s="18">
        <v>46164</v>
      </c>
      <c r="AA1751" s="15"/>
      <c r="AB1751" s="15"/>
      <c r="AF1751" t="str">
        <f t="shared" si="122"/>
        <v>Closed in May</v>
      </c>
    </row>
    <row r="1752" spans="1:32" hidden="1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119"/>
        <v>24</v>
      </c>
      <c r="R1752" s="53" t="str">
        <f t="shared" si="120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73">
        <f t="shared" si="121"/>
        <v>21</v>
      </c>
      <c r="Z1752" s="18">
        <v>46164</v>
      </c>
      <c r="AA1752" s="15"/>
      <c r="AB1752" s="15"/>
      <c r="AF1752" t="str">
        <f t="shared" si="122"/>
        <v>Closed in May</v>
      </c>
    </row>
    <row r="1753" spans="1:32" hidden="1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119"/>
        <v>24</v>
      </c>
      <c r="R1753" s="53" t="str">
        <f t="shared" si="120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73">
        <f t="shared" si="121"/>
        <v>21</v>
      </c>
      <c r="Z1753" s="18">
        <v>46164</v>
      </c>
      <c r="AA1753" s="15"/>
      <c r="AB1753" s="15"/>
      <c r="AF1753" t="str">
        <f t="shared" si="122"/>
        <v>Closed in May</v>
      </c>
    </row>
    <row r="1754" spans="1:32" hidden="1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119"/>
        <v>24</v>
      </c>
      <c r="R1754" s="53" t="str">
        <f t="shared" si="120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73">
        <f t="shared" si="121"/>
        <v>21</v>
      </c>
      <c r="Z1754" s="18">
        <v>46164</v>
      </c>
      <c r="AA1754" s="15"/>
      <c r="AB1754" s="15"/>
      <c r="AF1754" t="str">
        <f t="shared" si="122"/>
        <v>Closed in May</v>
      </c>
    </row>
    <row r="1755" spans="1:32" hidden="1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119"/>
        <v>24</v>
      </c>
      <c r="R1755" s="53" t="str">
        <f t="shared" si="120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73">
        <f t="shared" si="121"/>
        <v>21</v>
      </c>
      <c r="Z1755" s="18">
        <v>46164</v>
      </c>
      <c r="AA1755" s="15"/>
      <c r="AB1755" s="15"/>
      <c r="AF1755" t="str">
        <f t="shared" si="122"/>
        <v>Closed in May</v>
      </c>
    </row>
    <row r="1756" spans="1:32" hidden="1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119"/>
        <v>24</v>
      </c>
      <c r="R1756" s="53" t="str">
        <f t="shared" si="120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73">
        <f t="shared" si="121"/>
        <v>21</v>
      </c>
      <c r="Z1756" s="18">
        <v>46164</v>
      </c>
      <c r="AA1756" s="15"/>
      <c r="AB1756" s="15"/>
      <c r="AF1756" t="str">
        <f t="shared" si="122"/>
        <v>Closed in May</v>
      </c>
    </row>
    <row r="1757" spans="1:32" hidden="1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119"/>
        <v>24</v>
      </c>
      <c r="R1757" s="53" t="str">
        <f t="shared" si="120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73">
        <f t="shared" si="121"/>
        <v>21</v>
      </c>
      <c r="Z1757" s="18">
        <v>46164</v>
      </c>
      <c r="AA1757" s="15"/>
      <c r="AB1757" s="15"/>
      <c r="AF1757" t="str">
        <f t="shared" si="122"/>
        <v>Closed in May</v>
      </c>
    </row>
    <row r="1758" spans="1:32" hidden="1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119"/>
        <v>24</v>
      </c>
      <c r="R1758" s="53" t="str">
        <f t="shared" si="120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73">
        <f t="shared" si="121"/>
        <v>21</v>
      </c>
      <c r="Z1758" s="18">
        <v>46164</v>
      </c>
      <c r="AA1758" s="15"/>
      <c r="AB1758" s="15"/>
      <c r="AF1758" t="str">
        <f t="shared" si="122"/>
        <v>Closed in May</v>
      </c>
    </row>
    <row r="1759" spans="1:32" hidden="1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119"/>
        <v>24</v>
      </c>
      <c r="R1759" s="53" t="str">
        <f t="shared" si="120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73">
        <f t="shared" si="121"/>
        <v>21</v>
      </c>
      <c r="Z1759" s="18">
        <v>46164</v>
      </c>
      <c r="AA1759" s="15"/>
      <c r="AB1759" s="15"/>
      <c r="AF1759" t="str">
        <f t="shared" si="122"/>
        <v>Closed in May</v>
      </c>
    </row>
    <row r="1760" spans="1:32" hidden="1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119"/>
        <v>24</v>
      </c>
      <c r="R1760" s="53" t="str">
        <f t="shared" si="120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73">
        <f t="shared" si="121"/>
        <v>21</v>
      </c>
      <c r="Z1760" s="18">
        <v>46164</v>
      </c>
      <c r="AA1760" s="15"/>
      <c r="AB1760" s="15"/>
      <c r="AF1760" t="str">
        <f t="shared" si="122"/>
        <v>Closed in May</v>
      </c>
    </row>
    <row r="1761" spans="1:32" hidden="1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119"/>
        <v>24</v>
      </c>
      <c r="R1761" s="53" t="str">
        <f t="shared" si="120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73">
        <f t="shared" si="121"/>
        <v>21</v>
      </c>
      <c r="Z1761" s="18">
        <v>46164</v>
      </c>
      <c r="AA1761" s="15"/>
      <c r="AB1761" s="15"/>
      <c r="AF1761" t="str">
        <f t="shared" si="122"/>
        <v>Closed in May</v>
      </c>
    </row>
    <row r="1762" spans="1:32" hidden="1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119"/>
        <v>24</v>
      </c>
      <c r="R1762" s="53" t="str">
        <f t="shared" si="120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73">
        <f t="shared" si="121"/>
        <v>21</v>
      </c>
      <c r="Z1762" s="18">
        <v>46164</v>
      </c>
      <c r="AA1762" s="15"/>
      <c r="AB1762" s="15"/>
      <c r="AF1762" t="str">
        <f t="shared" si="122"/>
        <v>Closed in May</v>
      </c>
    </row>
    <row r="1763" spans="1:32" hidden="1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119"/>
        <v>24</v>
      </c>
      <c r="R1763" s="53" t="str">
        <f t="shared" si="120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73">
        <f t="shared" si="121"/>
        <v>21</v>
      </c>
      <c r="Z1763" s="18">
        <v>46164</v>
      </c>
      <c r="AA1763" s="15"/>
      <c r="AB1763" s="15"/>
      <c r="AF1763" t="str">
        <f t="shared" si="122"/>
        <v>Closed in May</v>
      </c>
    </row>
    <row r="1764" spans="1:32" hidden="1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119"/>
        <v>24</v>
      </c>
      <c r="R1764" s="53" t="str">
        <f t="shared" si="120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73">
        <f t="shared" si="121"/>
        <v>21</v>
      </c>
      <c r="Z1764" s="18">
        <v>46164</v>
      </c>
      <c r="AA1764" s="15"/>
      <c r="AB1764" s="15"/>
      <c r="AF1764" t="str">
        <f t="shared" si="122"/>
        <v>Closed in May</v>
      </c>
    </row>
    <row r="1765" spans="1:32" hidden="1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119"/>
        <v>24</v>
      </c>
      <c r="R1765" s="53" t="str">
        <f t="shared" si="120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73">
        <f t="shared" si="121"/>
        <v>21</v>
      </c>
      <c r="Z1765" s="18">
        <v>46164</v>
      </c>
      <c r="AA1765" s="15"/>
      <c r="AB1765" s="15"/>
      <c r="AF1765" t="str">
        <f t="shared" si="122"/>
        <v>Closed in May</v>
      </c>
    </row>
    <row r="1766" spans="1:32" hidden="1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119"/>
        <v>24</v>
      </c>
      <c r="R1766" s="53" t="str">
        <f t="shared" si="120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73">
        <f t="shared" si="121"/>
        <v>21</v>
      </c>
      <c r="Z1766" s="18">
        <v>46164</v>
      </c>
      <c r="AA1766" s="15"/>
      <c r="AB1766" s="15"/>
      <c r="AF1766" t="str">
        <f t="shared" si="122"/>
        <v>Closed in May</v>
      </c>
    </row>
    <row r="1767" spans="1:32" hidden="1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123">MID(P1767,5,2)</f>
        <v>24</v>
      </c>
      <c r="R1767" s="53" t="str">
        <f t="shared" ref="R1767:R1830" si="124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73">
        <f t="shared" si="121"/>
        <v>21</v>
      </c>
      <c r="Z1767" s="18">
        <v>46164</v>
      </c>
      <c r="AA1767" s="15"/>
      <c r="AB1767" s="15"/>
      <c r="AF1767" t="str">
        <f t="shared" si="122"/>
        <v>Closed in May</v>
      </c>
    </row>
    <row r="1768" spans="1:32" hidden="1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123"/>
        <v>24</v>
      </c>
      <c r="R1768" s="53" t="str">
        <f t="shared" si="124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73">
        <f t="shared" si="121"/>
        <v>21</v>
      </c>
      <c r="Z1768" s="18">
        <v>46164</v>
      </c>
      <c r="AA1768" s="15"/>
      <c r="AB1768" s="15"/>
      <c r="AF1768" t="str">
        <f t="shared" si="122"/>
        <v>Closed in May</v>
      </c>
    </row>
    <row r="1769" spans="1:32" hidden="1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123"/>
        <v>24</v>
      </c>
      <c r="R1769" s="53" t="str">
        <f t="shared" si="124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73">
        <f t="shared" si="121"/>
        <v>21</v>
      </c>
      <c r="Z1769" s="18">
        <v>46164</v>
      </c>
      <c r="AA1769" s="15"/>
      <c r="AB1769" s="15"/>
      <c r="AF1769" t="str">
        <f t="shared" si="122"/>
        <v>Closed in May</v>
      </c>
    </row>
    <row r="1770" spans="1:32" hidden="1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123"/>
        <v>24</v>
      </c>
      <c r="R1770" s="53" t="str">
        <f t="shared" si="124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73">
        <f t="shared" si="121"/>
        <v>21</v>
      </c>
      <c r="Z1770" s="18">
        <v>46164</v>
      </c>
      <c r="AA1770" s="15"/>
      <c r="AB1770" s="15"/>
      <c r="AF1770" t="str">
        <f t="shared" si="122"/>
        <v>Closed in May</v>
      </c>
    </row>
    <row r="1771" spans="1:32" hidden="1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123"/>
        <v>24</v>
      </c>
      <c r="R1771" s="53" t="str">
        <f t="shared" si="124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73">
        <f t="shared" si="121"/>
        <v>21</v>
      </c>
      <c r="Z1771" s="18">
        <v>46164</v>
      </c>
      <c r="AA1771" s="15"/>
      <c r="AB1771" s="15"/>
      <c r="AF1771" t="str">
        <f t="shared" si="122"/>
        <v>Closed in May</v>
      </c>
    </row>
    <row r="1772" spans="1:32" hidden="1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123"/>
        <v>24</v>
      </c>
      <c r="R1772" s="53" t="str">
        <f t="shared" si="124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73">
        <f t="shared" si="121"/>
        <v>21</v>
      </c>
      <c r="Z1772" s="18">
        <v>46164</v>
      </c>
      <c r="AA1772" s="15"/>
      <c r="AB1772" s="15"/>
      <c r="AF1772" t="str">
        <f t="shared" si="122"/>
        <v>Closed in May</v>
      </c>
    </row>
    <row r="1773" spans="1:32" hidden="1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123"/>
        <v>24</v>
      </c>
      <c r="R1773" s="53" t="str">
        <f t="shared" si="124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73">
        <f t="shared" si="121"/>
        <v>21</v>
      </c>
      <c r="Z1773" s="18">
        <v>46164</v>
      </c>
      <c r="AA1773" s="15"/>
      <c r="AB1773" s="15"/>
      <c r="AF1773" t="str">
        <f t="shared" si="122"/>
        <v>Closed in May</v>
      </c>
    </row>
    <row r="1774" spans="1:32" hidden="1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123"/>
        <v>24</v>
      </c>
      <c r="R1774" s="53" t="str">
        <f t="shared" si="124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73">
        <f t="shared" si="121"/>
        <v>21</v>
      </c>
      <c r="Z1774" s="18">
        <v>46164</v>
      </c>
      <c r="AA1774" s="15"/>
      <c r="AB1774" s="15"/>
      <c r="AF1774" t="str">
        <f t="shared" si="122"/>
        <v>Closed in May</v>
      </c>
    </row>
    <row r="1775" spans="1:32" hidden="1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123"/>
        <v>24</v>
      </c>
      <c r="R1775" s="53" t="str">
        <f t="shared" si="124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73">
        <f t="shared" si="121"/>
        <v>21</v>
      </c>
      <c r="Z1775" s="18">
        <v>46164</v>
      </c>
      <c r="AA1775" s="15"/>
      <c r="AB1775" s="15"/>
      <c r="AF1775" t="str">
        <f t="shared" si="122"/>
        <v>Closed in May</v>
      </c>
    </row>
    <row r="1776" spans="1:32" hidden="1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123"/>
        <v>23</v>
      </c>
      <c r="R1776" s="53" t="str">
        <f t="shared" si="124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73">
        <f t="shared" si="121"/>
        <v>17</v>
      </c>
      <c r="Z1776" s="18">
        <v>46165</v>
      </c>
      <c r="AA1776" s="15"/>
      <c r="AB1776" s="15"/>
      <c r="AF1776" t="str">
        <f t="shared" si="122"/>
        <v>Closed in May</v>
      </c>
    </row>
    <row r="1777" spans="1:32" hidden="1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123"/>
        <v>23</v>
      </c>
      <c r="R1777" s="53" t="str">
        <f t="shared" si="124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73">
        <f t="shared" si="121"/>
        <v>17</v>
      </c>
      <c r="Z1777" s="18">
        <v>46165</v>
      </c>
      <c r="AA1777" s="15"/>
      <c r="AB1777" s="15"/>
      <c r="AF1777" t="str">
        <f t="shared" si="122"/>
        <v>Closed in May</v>
      </c>
    </row>
    <row r="1778" spans="1:32" hidden="1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123"/>
        <v>23</v>
      </c>
      <c r="R1778" s="53" t="str">
        <f t="shared" si="124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73">
        <f t="shared" si="121"/>
        <v>17</v>
      </c>
      <c r="Z1778" s="18">
        <v>46165</v>
      </c>
      <c r="AA1778" s="15"/>
      <c r="AB1778" s="15"/>
      <c r="AF1778" t="str">
        <f t="shared" si="122"/>
        <v>Closed in May</v>
      </c>
    </row>
    <row r="1779" spans="1:32" hidden="1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123"/>
        <v>23</v>
      </c>
      <c r="R1779" s="53" t="str">
        <f t="shared" si="124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73">
        <f t="shared" si="121"/>
        <v>17</v>
      </c>
      <c r="Z1779" s="18">
        <v>46165</v>
      </c>
      <c r="AA1779" s="15"/>
      <c r="AB1779" s="15"/>
      <c r="AF1779" t="str">
        <f t="shared" si="122"/>
        <v>Closed in May</v>
      </c>
    </row>
    <row r="1780" spans="1:32" hidden="1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123"/>
        <v>23</v>
      </c>
      <c r="R1780" s="53" t="str">
        <f t="shared" si="124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73">
        <f t="shared" si="121"/>
        <v>17</v>
      </c>
      <c r="Z1780" s="18">
        <v>46165</v>
      </c>
      <c r="AA1780" s="15"/>
      <c r="AB1780" s="15"/>
      <c r="AF1780" t="str">
        <f t="shared" si="122"/>
        <v>Closed in May</v>
      </c>
    </row>
    <row r="1781" spans="1:32" hidden="1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123"/>
        <v>23</v>
      </c>
      <c r="R1781" s="53" t="str">
        <f t="shared" si="124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73">
        <f t="shared" si="121"/>
        <v>17</v>
      </c>
      <c r="Z1781" s="18">
        <v>46165</v>
      </c>
      <c r="AA1781" s="15"/>
      <c r="AB1781" s="15"/>
      <c r="AF1781" t="str">
        <f t="shared" si="122"/>
        <v>Closed in May</v>
      </c>
    </row>
    <row r="1782" spans="1:32" hidden="1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123"/>
        <v>23</v>
      </c>
      <c r="R1782" s="53" t="str">
        <f t="shared" si="124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73">
        <f t="shared" si="121"/>
        <v>17</v>
      </c>
      <c r="Z1782" s="18">
        <v>46165</v>
      </c>
      <c r="AA1782" s="15"/>
      <c r="AB1782" s="15"/>
      <c r="AF1782" t="str">
        <f t="shared" si="122"/>
        <v>Closed in May</v>
      </c>
    </row>
    <row r="1783" spans="1:32" hidden="1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123"/>
        <v>23</v>
      </c>
      <c r="R1783" s="53" t="str">
        <f t="shared" si="124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73">
        <f t="shared" si="121"/>
        <v>17</v>
      </c>
      <c r="Z1783" s="18">
        <v>46165</v>
      </c>
      <c r="AA1783" s="15"/>
      <c r="AB1783" s="15"/>
      <c r="AF1783" t="str">
        <f t="shared" si="122"/>
        <v>Closed in May</v>
      </c>
    </row>
    <row r="1784" spans="1:32" hidden="1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123"/>
        <v>23</v>
      </c>
      <c r="R1784" s="53" t="str">
        <f t="shared" si="124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73">
        <f t="shared" si="121"/>
        <v>17</v>
      </c>
      <c r="Z1784" s="18">
        <v>46165</v>
      </c>
      <c r="AA1784" s="15"/>
      <c r="AB1784" s="15"/>
      <c r="AF1784" t="str">
        <f t="shared" si="122"/>
        <v>Closed in May</v>
      </c>
    </row>
    <row r="1785" spans="1:32" hidden="1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123"/>
        <v>23</v>
      </c>
      <c r="R1785" s="53" t="str">
        <f t="shared" si="124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73">
        <f t="shared" si="121"/>
        <v>17</v>
      </c>
      <c r="Z1785" s="18">
        <v>46165</v>
      </c>
      <c r="AA1785" s="15"/>
      <c r="AB1785" s="15"/>
      <c r="AF1785" t="str">
        <f t="shared" si="122"/>
        <v>Closed in May</v>
      </c>
    </row>
    <row r="1786" spans="1:32" hidden="1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123"/>
        <v>23</v>
      </c>
      <c r="R1786" s="53" t="str">
        <f t="shared" si="124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73">
        <f t="shared" si="121"/>
        <v>17</v>
      </c>
      <c r="Z1786" s="18">
        <v>46165</v>
      </c>
      <c r="AA1786" s="15"/>
      <c r="AB1786" s="15"/>
      <c r="AF1786" t="str">
        <f t="shared" si="122"/>
        <v>Closed in May</v>
      </c>
    </row>
    <row r="1787" spans="1:32" hidden="1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123"/>
        <v>23</v>
      </c>
      <c r="R1787" s="53" t="str">
        <f t="shared" si="124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73">
        <f t="shared" si="121"/>
        <v>17</v>
      </c>
      <c r="Z1787" s="18">
        <v>46165</v>
      </c>
      <c r="AA1787" s="15"/>
      <c r="AB1787" s="15"/>
      <c r="AF1787" t="str">
        <f t="shared" si="122"/>
        <v>Closed in May</v>
      </c>
    </row>
    <row r="1788" spans="1:32" hidden="1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123"/>
        <v>23</v>
      </c>
      <c r="R1788" s="53" t="str">
        <f t="shared" si="124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73">
        <f t="shared" si="121"/>
        <v>17</v>
      </c>
      <c r="Z1788" s="18">
        <v>46165</v>
      </c>
      <c r="AA1788" s="15"/>
      <c r="AB1788" s="15"/>
      <c r="AF1788" t="str">
        <f t="shared" si="122"/>
        <v>Closed in May</v>
      </c>
    </row>
    <row r="1789" spans="1:32" hidden="1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123"/>
        <v>23</v>
      </c>
      <c r="R1789" s="53" t="str">
        <f t="shared" si="124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73">
        <f t="shared" si="121"/>
        <v>17</v>
      </c>
      <c r="Z1789" s="18">
        <v>46165</v>
      </c>
      <c r="AA1789" s="15"/>
      <c r="AB1789" s="15"/>
      <c r="AF1789" t="str">
        <f t="shared" si="122"/>
        <v>Closed in May</v>
      </c>
    </row>
    <row r="1790" spans="1:32" hidden="1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123"/>
        <v>23</v>
      </c>
      <c r="R1790" s="53" t="str">
        <f t="shared" si="124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73">
        <f t="shared" si="121"/>
        <v>17</v>
      </c>
      <c r="Z1790" s="18">
        <v>46165</v>
      </c>
      <c r="AA1790" s="15"/>
      <c r="AB1790" s="15"/>
      <c r="AF1790" t="str">
        <f t="shared" si="122"/>
        <v>Closed in May</v>
      </c>
    </row>
    <row r="1791" spans="1:32" hidden="1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123"/>
        <v>23</v>
      </c>
      <c r="R1791" s="53" t="str">
        <f t="shared" si="124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73">
        <f t="shared" si="121"/>
        <v>17</v>
      </c>
      <c r="Z1791" s="18">
        <v>46165</v>
      </c>
      <c r="AA1791" s="15"/>
      <c r="AB1791" s="15"/>
      <c r="AF1791" t="str">
        <f t="shared" si="122"/>
        <v>Closed in May</v>
      </c>
    </row>
    <row r="1792" spans="1:32" hidden="1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123"/>
        <v>23</v>
      </c>
      <c r="R1792" s="53" t="str">
        <f t="shared" si="124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73">
        <f t="shared" si="121"/>
        <v>17</v>
      </c>
      <c r="Z1792" s="18">
        <v>46165</v>
      </c>
      <c r="AA1792" s="15"/>
      <c r="AB1792" s="15"/>
      <c r="AF1792" t="str">
        <f t="shared" si="122"/>
        <v>Closed in May</v>
      </c>
    </row>
    <row r="1793" spans="1:32" hidden="1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123"/>
        <v>23</v>
      </c>
      <c r="R1793" s="53" t="str">
        <f t="shared" si="124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73">
        <f t="shared" si="121"/>
        <v>17</v>
      </c>
      <c r="Z1793" s="18">
        <v>46165</v>
      </c>
      <c r="AA1793" s="15"/>
      <c r="AB1793" s="15"/>
      <c r="AF1793" t="str">
        <f t="shared" si="122"/>
        <v>Closed in May</v>
      </c>
    </row>
    <row r="1794" spans="1:32" hidden="1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123"/>
        <v>23</v>
      </c>
      <c r="R1794" s="53" t="str">
        <f t="shared" si="124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73">
        <f t="shared" ref="Y1794:Y1857" si="125">IF(X1794="","",X1794-A1794)</f>
        <v>17</v>
      </c>
      <c r="Z1794" s="18">
        <v>46165</v>
      </c>
      <c r="AA1794" s="15"/>
      <c r="AB1794" s="15"/>
      <c r="AF1794" t="str">
        <f t="shared" ref="AF1794:AF1857" si="126">IF(AND($F1794="Closed",$X1794&gt;=DATE(2026,5,1),$X1794&lt;=DATE(2026,5,31)),"Closed in May","Other")</f>
        <v>Closed in May</v>
      </c>
    </row>
    <row r="1795" spans="1:32" hidden="1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123"/>
        <v>23</v>
      </c>
      <c r="R1795" s="53" t="str">
        <f t="shared" si="124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73">
        <f t="shared" si="125"/>
        <v>17</v>
      </c>
      <c r="Z1795" s="18">
        <v>46165</v>
      </c>
      <c r="AA1795" s="15"/>
      <c r="AB1795" s="15"/>
      <c r="AF1795" t="str">
        <f t="shared" si="126"/>
        <v>Closed in May</v>
      </c>
    </row>
    <row r="1796" spans="1:32" hidden="1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123"/>
        <v>23</v>
      </c>
      <c r="R1796" s="53" t="str">
        <f t="shared" si="124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73">
        <f t="shared" si="125"/>
        <v>17</v>
      </c>
      <c r="Z1796" s="18">
        <v>46165</v>
      </c>
      <c r="AA1796" s="15"/>
      <c r="AB1796" s="15"/>
      <c r="AF1796" t="str">
        <f t="shared" si="126"/>
        <v>Closed in May</v>
      </c>
    </row>
    <row r="1797" spans="1:32" hidden="1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123"/>
        <v>23</v>
      </c>
      <c r="R1797" s="53" t="str">
        <f t="shared" si="124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73">
        <f t="shared" si="125"/>
        <v>17</v>
      </c>
      <c r="Z1797" s="18">
        <v>46165</v>
      </c>
      <c r="AA1797" s="15"/>
      <c r="AB1797" s="15"/>
      <c r="AF1797" t="str">
        <f t="shared" si="126"/>
        <v>Closed in May</v>
      </c>
    </row>
    <row r="1798" spans="1:32" hidden="1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123"/>
        <v>23</v>
      </c>
      <c r="R1798" s="53" t="str">
        <f t="shared" si="124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73">
        <f t="shared" si="125"/>
        <v>17</v>
      </c>
      <c r="Z1798" s="18">
        <v>46165</v>
      </c>
      <c r="AA1798" s="15"/>
      <c r="AB1798" s="15"/>
      <c r="AF1798" t="str">
        <f t="shared" si="126"/>
        <v>Closed in May</v>
      </c>
    </row>
    <row r="1799" spans="1:32" hidden="1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123"/>
        <v>23</v>
      </c>
      <c r="R1799" s="53" t="str">
        <f t="shared" si="124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73">
        <f t="shared" si="125"/>
        <v>17</v>
      </c>
      <c r="Z1799" s="18">
        <v>46165</v>
      </c>
      <c r="AA1799" s="15"/>
      <c r="AB1799" s="15"/>
      <c r="AF1799" t="str">
        <f t="shared" si="126"/>
        <v>Closed in May</v>
      </c>
    </row>
    <row r="1800" spans="1:32" hidden="1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123"/>
        <v>23</v>
      </c>
      <c r="R1800" s="53" t="str">
        <f t="shared" si="124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73">
        <f t="shared" si="125"/>
        <v>17</v>
      </c>
      <c r="Z1800" s="18">
        <v>46165</v>
      </c>
      <c r="AA1800" s="15"/>
      <c r="AB1800" s="15"/>
      <c r="AF1800" t="str">
        <f t="shared" si="126"/>
        <v>Closed in May</v>
      </c>
    </row>
    <row r="1801" spans="1:32" hidden="1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123"/>
        <v>23</v>
      </c>
      <c r="R1801" s="53" t="str">
        <f t="shared" si="124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73">
        <f t="shared" si="125"/>
        <v>17</v>
      </c>
      <c r="Z1801" s="18">
        <v>46165</v>
      </c>
      <c r="AA1801" s="15"/>
      <c r="AB1801" s="15"/>
      <c r="AF1801" t="str">
        <f t="shared" si="126"/>
        <v>Closed in May</v>
      </c>
    </row>
    <row r="1802" spans="1:32" hidden="1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123"/>
        <v>23</v>
      </c>
      <c r="R1802" s="53" t="str">
        <f t="shared" si="124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73">
        <f t="shared" si="125"/>
        <v>17</v>
      </c>
      <c r="Z1802" s="18">
        <v>46165</v>
      </c>
      <c r="AA1802" s="15"/>
      <c r="AB1802" s="15"/>
      <c r="AF1802" t="str">
        <f t="shared" si="126"/>
        <v>Closed in May</v>
      </c>
    </row>
    <row r="1803" spans="1:32" hidden="1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123"/>
        <v>23</v>
      </c>
      <c r="R1803" s="53" t="str">
        <f t="shared" si="124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73">
        <f t="shared" si="125"/>
        <v>17</v>
      </c>
      <c r="Z1803" s="18">
        <v>46165</v>
      </c>
      <c r="AA1803" s="15"/>
      <c r="AB1803" s="15"/>
      <c r="AF1803" t="str">
        <f t="shared" si="126"/>
        <v>Closed in May</v>
      </c>
    </row>
    <row r="1804" spans="1:32" hidden="1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123"/>
        <v>23</v>
      </c>
      <c r="R1804" s="53" t="str">
        <f t="shared" si="124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73">
        <f t="shared" si="125"/>
        <v>17</v>
      </c>
      <c r="Z1804" s="18">
        <v>46165</v>
      </c>
      <c r="AA1804" s="15"/>
      <c r="AB1804" s="15"/>
      <c r="AF1804" t="str">
        <f t="shared" si="126"/>
        <v>Closed in May</v>
      </c>
    </row>
    <row r="1805" spans="1:32" hidden="1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123"/>
        <v>23</v>
      </c>
      <c r="R1805" s="53" t="str">
        <f t="shared" si="124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73">
        <f t="shared" si="125"/>
        <v>17</v>
      </c>
      <c r="Z1805" s="18">
        <v>46165</v>
      </c>
      <c r="AA1805" s="15"/>
      <c r="AB1805" s="15"/>
      <c r="AF1805" t="str">
        <f t="shared" si="126"/>
        <v>Closed in May</v>
      </c>
    </row>
    <row r="1806" spans="1:32" hidden="1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123"/>
        <v>23</v>
      </c>
      <c r="R1806" s="53" t="str">
        <f t="shared" si="124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73">
        <f t="shared" si="125"/>
        <v>17</v>
      </c>
      <c r="Z1806" s="18">
        <v>46165</v>
      </c>
      <c r="AA1806" s="15"/>
      <c r="AB1806" s="15"/>
      <c r="AF1806" t="str">
        <f t="shared" si="126"/>
        <v>Closed in May</v>
      </c>
    </row>
    <row r="1807" spans="1:32" hidden="1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123"/>
        <v>23</v>
      </c>
      <c r="R1807" s="53" t="str">
        <f t="shared" si="124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73">
        <f t="shared" si="125"/>
        <v>17</v>
      </c>
      <c r="Z1807" s="18">
        <v>46165</v>
      </c>
      <c r="AA1807" s="15"/>
      <c r="AB1807" s="15"/>
      <c r="AF1807" t="str">
        <f t="shared" si="126"/>
        <v>Closed in May</v>
      </c>
    </row>
    <row r="1808" spans="1:32" hidden="1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123"/>
        <v>23</v>
      </c>
      <c r="R1808" s="53" t="str">
        <f t="shared" si="124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73">
        <f t="shared" si="125"/>
        <v>17</v>
      </c>
      <c r="Z1808" s="18">
        <v>46165</v>
      </c>
      <c r="AA1808" s="15"/>
      <c r="AB1808" s="15"/>
      <c r="AF1808" t="str">
        <f t="shared" si="126"/>
        <v>Closed in May</v>
      </c>
    </row>
    <row r="1809" spans="1:32" hidden="1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123"/>
        <v>23</v>
      </c>
      <c r="R1809" s="53" t="str">
        <f t="shared" si="124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73">
        <f t="shared" si="125"/>
        <v>17</v>
      </c>
      <c r="Z1809" s="18">
        <v>46165</v>
      </c>
      <c r="AA1809" s="15"/>
      <c r="AB1809" s="15"/>
      <c r="AF1809" t="str">
        <f t="shared" si="126"/>
        <v>Closed in May</v>
      </c>
    </row>
    <row r="1810" spans="1:32" hidden="1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123"/>
        <v>23</v>
      </c>
      <c r="R1810" s="53" t="str">
        <f t="shared" si="124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73">
        <f t="shared" si="125"/>
        <v>17</v>
      </c>
      <c r="Z1810" s="18">
        <v>46165</v>
      </c>
      <c r="AA1810" s="15"/>
      <c r="AB1810" s="15"/>
      <c r="AF1810" t="str">
        <f t="shared" si="126"/>
        <v>Closed in May</v>
      </c>
    </row>
    <row r="1811" spans="1:32" hidden="1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123"/>
        <v>23</v>
      </c>
      <c r="R1811" s="53" t="str">
        <f t="shared" si="124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73">
        <f t="shared" si="125"/>
        <v>17</v>
      </c>
      <c r="Z1811" s="18">
        <v>46165</v>
      </c>
      <c r="AA1811" s="15"/>
      <c r="AB1811" s="15"/>
      <c r="AF1811" t="str">
        <f t="shared" si="126"/>
        <v>Closed in May</v>
      </c>
    </row>
    <row r="1812" spans="1:32" hidden="1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123"/>
        <v>23</v>
      </c>
      <c r="R1812" s="53" t="str">
        <f t="shared" si="124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73">
        <f t="shared" si="125"/>
        <v>17</v>
      </c>
      <c r="Z1812" s="18">
        <v>46165</v>
      </c>
      <c r="AA1812" s="15"/>
      <c r="AB1812" s="15"/>
      <c r="AF1812" t="str">
        <f t="shared" si="126"/>
        <v>Closed in May</v>
      </c>
    </row>
    <row r="1813" spans="1:32" hidden="1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123"/>
        <v>23</v>
      </c>
      <c r="R1813" s="53" t="str">
        <f t="shared" si="124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73">
        <f t="shared" si="125"/>
        <v>17</v>
      </c>
      <c r="Z1813" s="18">
        <v>46165</v>
      </c>
      <c r="AA1813" s="15"/>
      <c r="AB1813" s="15"/>
      <c r="AF1813" t="str">
        <f t="shared" si="126"/>
        <v>Closed in May</v>
      </c>
    </row>
    <row r="1814" spans="1:32" hidden="1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123"/>
        <v>23</v>
      </c>
      <c r="R1814" s="53" t="str">
        <f t="shared" si="124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73">
        <f t="shared" si="125"/>
        <v>17</v>
      </c>
      <c r="Z1814" s="18">
        <v>46165</v>
      </c>
      <c r="AA1814" s="15"/>
      <c r="AB1814" s="15"/>
      <c r="AF1814" t="str">
        <f t="shared" si="126"/>
        <v>Closed in May</v>
      </c>
    </row>
    <row r="1815" spans="1:32" hidden="1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123"/>
        <v>23</v>
      </c>
      <c r="R1815" s="53" t="str">
        <f t="shared" si="124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73">
        <f t="shared" si="125"/>
        <v>17</v>
      </c>
      <c r="Z1815" s="18">
        <v>46165</v>
      </c>
      <c r="AA1815" s="15"/>
      <c r="AB1815" s="15"/>
      <c r="AF1815" t="str">
        <f t="shared" si="126"/>
        <v>Closed in May</v>
      </c>
    </row>
    <row r="1816" spans="1:32" hidden="1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123"/>
        <v>23</v>
      </c>
      <c r="R1816" s="53" t="str">
        <f t="shared" si="124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73">
        <f t="shared" si="125"/>
        <v>17</v>
      </c>
      <c r="Z1816" s="18">
        <v>46165</v>
      </c>
      <c r="AA1816" s="15"/>
      <c r="AB1816" s="15"/>
      <c r="AF1816" t="str">
        <f t="shared" si="126"/>
        <v>Closed in May</v>
      </c>
    </row>
    <row r="1817" spans="1:32" hidden="1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123"/>
        <v>24</v>
      </c>
      <c r="R1817" s="77" t="str">
        <f t="shared" si="124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125"/>
        <v>22</v>
      </c>
      <c r="Z1817" s="85">
        <v>46165</v>
      </c>
      <c r="AA1817" s="86"/>
      <c r="AB1817" s="86"/>
      <c r="AF1817" t="str">
        <f t="shared" si="126"/>
        <v>Closed in May</v>
      </c>
    </row>
    <row r="1818" spans="1:32" hidden="1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123"/>
        <v>24</v>
      </c>
      <c r="R1818" s="53" t="str">
        <f t="shared" si="124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73">
        <f t="shared" si="125"/>
        <v>22</v>
      </c>
      <c r="Z1818" s="18">
        <v>46165</v>
      </c>
      <c r="AA1818" s="15"/>
      <c r="AB1818" s="15"/>
      <c r="AF1818" t="str">
        <f t="shared" si="126"/>
        <v>Closed in May</v>
      </c>
    </row>
    <row r="1819" spans="1:32" hidden="1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123"/>
        <v>24</v>
      </c>
      <c r="R1819" s="53" t="str">
        <f t="shared" si="124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73">
        <f t="shared" si="125"/>
        <v>22</v>
      </c>
      <c r="Z1819" s="18">
        <v>46165</v>
      </c>
      <c r="AA1819" s="15"/>
      <c r="AB1819" s="15"/>
      <c r="AF1819" t="str">
        <f t="shared" si="126"/>
        <v>Closed in May</v>
      </c>
    </row>
    <row r="1820" spans="1:32" hidden="1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123"/>
        <v>24</v>
      </c>
      <c r="R1820" s="53" t="str">
        <f t="shared" si="124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73">
        <f t="shared" si="125"/>
        <v>22</v>
      </c>
      <c r="Z1820" s="18">
        <v>46165</v>
      </c>
      <c r="AA1820" s="15"/>
      <c r="AB1820" s="15"/>
      <c r="AF1820" t="str">
        <f t="shared" si="126"/>
        <v>Closed in May</v>
      </c>
    </row>
    <row r="1821" spans="1:32" hidden="1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123"/>
        <v>24</v>
      </c>
      <c r="R1821" s="53" t="str">
        <f t="shared" si="124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73">
        <f t="shared" si="125"/>
        <v>22</v>
      </c>
      <c r="Z1821" s="18">
        <v>46165</v>
      </c>
      <c r="AA1821" s="15"/>
      <c r="AB1821" s="15"/>
      <c r="AF1821" t="str">
        <f t="shared" si="126"/>
        <v>Closed in May</v>
      </c>
    </row>
    <row r="1822" spans="1:32" hidden="1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123"/>
        <v>24</v>
      </c>
      <c r="R1822" s="53" t="str">
        <f t="shared" si="124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73">
        <f t="shared" si="125"/>
        <v>22</v>
      </c>
      <c r="Z1822" s="18">
        <v>46165</v>
      </c>
      <c r="AA1822" s="15"/>
      <c r="AB1822" s="15"/>
      <c r="AF1822" t="str">
        <f t="shared" si="126"/>
        <v>Closed in May</v>
      </c>
    </row>
    <row r="1823" spans="1:32" hidden="1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123"/>
        <v>24</v>
      </c>
      <c r="R1823" s="53" t="str">
        <f t="shared" si="124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73">
        <f t="shared" si="125"/>
        <v>22</v>
      </c>
      <c r="Z1823" s="18">
        <v>46165</v>
      </c>
      <c r="AA1823" s="15"/>
      <c r="AB1823" s="15"/>
      <c r="AF1823" t="str">
        <f t="shared" si="126"/>
        <v>Closed in May</v>
      </c>
    </row>
    <row r="1824" spans="1:32" hidden="1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123"/>
        <v>24</v>
      </c>
      <c r="R1824" s="53" t="str">
        <f t="shared" si="124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73">
        <f t="shared" si="125"/>
        <v>22</v>
      </c>
      <c r="Z1824" s="18">
        <v>46165</v>
      </c>
      <c r="AA1824" s="15"/>
      <c r="AB1824" s="15"/>
      <c r="AF1824" t="str">
        <f t="shared" si="126"/>
        <v>Closed in May</v>
      </c>
    </row>
    <row r="1825" spans="1:32" hidden="1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123"/>
        <v>24</v>
      </c>
      <c r="R1825" s="53" t="str">
        <f t="shared" si="124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73">
        <f t="shared" si="125"/>
        <v>22</v>
      </c>
      <c r="Z1825" s="18">
        <v>46165</v>
      </c>
      <c r="AA1825" s="15"/>
      <c r="AB1825" s="15"/>
      <c r="AF1825" t="str">
        <f t="shared" si="126"/>
        <v>Closed in May</v>
      </c>
    </row>
    <row r="1826" spans="1:32" hidden="1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123"/>
        <v>24</v>
      </c>
      <c r="R1826" s="53" t="str">
        <f t="shared" si="124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73">
        <f t="shared" si="125"/>
        <v>22</v>
      </c>
      <c r="Z1826" s="18">
        <v>46165</v>
      </c>
      <c r="AA1826" s="15"/>
      <c r="AB1826" s="15"/>
      <c r="AF1826" t="str">
        <f t="shared" si="126"/>
        <v>Closed in May</v>
      </c>
    </row>
    <row r="1827" spans="1:32" hidden="1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123"/>
        <v>24</v>
      </c>
      <c r="R1827" s="53" t="str">
        <f t="shared" si="124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73">
        <f t="shared" si="125"/>
        <v>22</v>
      </c>
      <c r="Z1827" s="18">
        <v>46165</v>
      </c>
      <c r="AA1827" s="15"/>
      <c r="AB1827" s="15"/>
      <c r="AF1827" t="str">
        <f t="shared" si="126"/>
        <v>Closed in May</v>
      </c>
    </row>
    <row r="1828" spans="1:32" hidden="1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123"/>
        <v>24</v>
      </c>
      <c r="R1828" s="53" t="str">
        <f t="shared" si="124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73">
        <f t="shared" si="125"/>
        <v>22</v>
      </c>
      <c r="Z1828" s="18">
        <v>46165</v>
      </c>
      <c r="AA1828" s="15"/>
      <c r="AB1828" s="15"/>
      <c r="AF1828" t="str">
        <f t="shared" si="126"/>
        <v>Closed in May</v>
      </c>
    </row>
    <row r="1829" spans="1:32" hidden="1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123"/>
        <v>24</v>
      </c>
      <c r="R1829" s="53" t="str">
        <f t="shared" si="124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73">
        <f t="shared" si="125"/>
        <v>22</v>
      </c>
      <c r="Z1829" s="18">
        <v>46165</v>
      </c>
      <c r="AA1829" s="15"/>
      <c r="AB1829" s="15"/>
      <c r="AF1829" t="str">
        <f t="shared" si="126"/>
        <v>Closed in May</v>
      </c>
    </row>
    <row r="1830" spans="1:32" hidden="1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123"/>
        <v>24</v>
      </c>
      <c r="R1830" s="53" t="str">
        <f t="shared" si="124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73">
        <f t="shared" si="125"/>
        <v>22</v>
      </c>
      <c r="Z1830" s="18">
        <v>46165</v>
      </c>
      <c r="AA1830" s="15"/>
      <c r="AB1830" s="15"/>
      <c r="AF1830" t="str">
        <f t="shared" si="126"/>
        <v>Closed in May</v>
      </c>
    </row>
    <row r="1831" spans="1:32" hidden="1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127">MID(P1831,5,2)</f>
        <v>24</v>
      </c>
      <c r="R1831" s="53" t="str">
        <f t="shared" ref="R1831:R1894" si="128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73">
        <f t="shared" si="125"/>
        <v>22</v>
      </c>
      <c r="Z1831" s="18">
        <v>46165</v>
      </c>
      <c r="AA1831" s="15"/>
      <c r="AB1831" s="15"/>
      <c r="AF1831" t="str">
        <f t="shared" si="126"/>
        <v>Closed in May</v>
      </c>
    </row>
    <row r="1832" spans="1:32" hidden="1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127"/>
        <v>24</v>
      </c>
      <c r="R1832" s="53" t="str">
        <f t="shared" si="128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73">
        <f t="shared" si="125"/>
        <v>22</v>
      </c>
      <c r="Z1832" s="18">
        <v>46165</v>
      </c>
      <c r="AA1832" s="15"/>
      <c r="AB1832" s="15"/>
      <c r="AF1832" t="str">
        <f t="shared" si="126"/>
        <v>Closed in May</v>
      </c>
    </row>
    <row r="1833" spans="1:32" hidden="1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127"/>
        <v>24</v>
      </c>
      <c r="R1833" s="53" t="str">
        <f t="shared" si="128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73">
        <f t="shared" si="125"/>
        <v>22</v>
      </c>
      <c r="Z1833" s="18">
        <v>46165</v>
      </c>
      <c r="AA1833" s="15"/>
      <c r="AB1833" s="15"/>
      <c r="AF1833" t="str">
        <f t="shared" si="126"/>
        <v>Closed in May</v>
      </c>
    </row>
    <row r="1834" spans="1:32" hidden="1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127"/>
        <v>24</v>
      </c>
      <c r="R1834" s="53" t="str">
        <f t="shared" si="128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73">
        <f t="shared" si="125"/>
        <v>22</v>
      </c>
      <c r="Z1834" s="18">
        <v>46165</v>
      </c>
      <c r="AA1834" s="15"/>
      <c r="AB1834" s="15"/>
      <c r="AF1834" t="str">
        <f t="shared" si="126"/>
        <v>Closed in May</v>
      </c>
    </row>
    <row r="1835" spans="1:32" hidden="1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127"/>
        <v>24</v>
      </c>
      <c r="R1835" s="53" t="str">
        <f t="shared" si="128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73">
        <f t="shared" si="125"/>
        <v>22</v>
      </c>
      <c r="Z1835" s="18">
        <v>46165</v>
      </c>
      <c r="AA1835" s="15"/>
      <c r="AB1835" s="15"/>
      <c r="AF1835" t="str">
        <f t="shared" si="126"/>
        <v>Closed in May</v>
      </c>
    </row>
    <row r="1836" spans="1:32" hidden="1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127"/>
        <v>24</v>
      </c>
      <c r="R1836" s="53" t="str">
        <f t="shared" si="128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73">
        <f t="shared" si="125"/>
        <v>22</v>
      </c>
      <c r="Z1836" s="18">
        <v>46165</v>
      </c>
      <c r="AA1836" s="15"/>
      <c r="AB1836" s="15"/>
      <c r="AF1836" t="str">
        <f t="shared" si="126"/>
        <v>Closed in May</v>
      </c>
    </row>
    <row r="1837" spans="1:32" hidden="1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127"/>
        <v>24</v>
      </c>
      <c r="R1837" s="53" t="str">
        <f t="shared" si="128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73">
        <f t="shared" si="125"/>
        <v>22</v>
      </c>
      <c r="Z1837" s="18">
        <v>46165</v>
      </c>
      <c r="AA1837" s="15"/>
      <c r="AB1837" s="15"/>
      <c r="AF1837" t="str">
        <f t="shared" si="126"/>
        <v>Closed in May</v>
      </c>
    </row>
    <row r="1838" spans="1:32" hidden="1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127"/>
        <v>24</v>
      </c>
      <c r="R1838" s="53" t="str">
        <f t="shared" si="128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73">
        <f t="shared" si="125"/>
        <v>22</v>
      </c>
      <c r="Z1838" s="18">
        <v>46165</v>
      </c>
      <c r="AA1838" s="15"/>
      <c r="AB1838" s="15"/>
      <c r="AF1838" t="str">
        <f t="shared" si="126"/>
        <v>Closed in May</v>
      </c>
    </row>
    <row r="1839" spans="1:32" hidden="1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127"/>
        <v>24</v>
      </c>
      <c r="R1839" s="53" t="str">
        <f t="shared" si="128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73">
        <f t="shared" si="125"/>
        <v>22</v>
      </c>
      <c r="Z1839" s="18">
        <v>46165</v>
      </c>
      <c r="AA1839" s="15"/>
      <c r="AB1839" s="15"/>
      <c r="AF1839" t="str">
        <f t="shared" si="126"/>
        <v>Closed in May</v>
      </c>
    </row>
    <row r="1840" spans="1:32" hidden="1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127"/>
        <v>24</v>
      </c>
      <c r="R1840" s="53" t="str">
        <f t="shared" si="128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73">
        <f t="shared" si="125"/>
        <v>22</v>
      </c>
      <c r="Z1840" s="18">
        <v>46165</v>
      </c>
      <c r="AA1840" s="15"/>
      <c r="AB1840" s="15"/>
      <c r="AF1840" t="str">
        <f t="shared" si="126"/>
        <v>Closed in May</v>
      </c>
    </row>
    <row r="1841" spans="1:32" hidden="1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127"/>
        <v>24</v>
      </c>
      <c r="R1841" s="53" t="str">
        <f t="shared" si="128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73">
        <f t="shared" si="125"/>
        <v>22</v>
      </c>
      <c r="Z1841" s="18">
        <v>46165</v>
      </c>
      <c r="AA1841" s="15"/>
      <c r="AB1841" s="15"/>
      <c r="AF1841" t="str">
        <f t="shared" si="126"/>
        <v>Closed in May</v>
      </c>
    </row>
    <row r="1842" spans="1:32" hidden="1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127"/>
        <v>24</v>
      </c>
      <c r="R1842" s="53" t="str">
        <f t="shared" si="128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73">
        <f t="shared" si="125"/>
        <v>22</v>
      </c>
      <c r="Z1842" s="18">
        <v>46165</v>
      </c>
      <c r="AA1842" s="15"/>
      <c r="AB1842" s="15"/>
      <c r="AF1842" t="str">
        <f t="shared" si="126"/>
        <v>Closed in May</v>
      </c>
    </row>
    <row r="1843" spans="1:32" hidden="1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127"/>
        <v>24</v>
      </c>
      <c r="R1843" s="53" t="str">
        <f t="shared" si="128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73">
        <f t="shared" si="125"/>
        <v>22</v>
      </c>
      <c r="Z1843" s="18">
        <v>46165</v>
      </c>
      <c r="AA1843" s="15"/>
      <c r="AB1843" s="15"/>
      <c r="AF1843" t="str">
        <f t="shared" si="126"/>
        <v>Closed in May</v>
      </c>
    </row>
    <row r="1844" spans="1:32" hidden="1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127"/>
        <v>24</v>
      </c>
      <c r="R1844" s="53" t="str">
        <f t="shared" si="128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73">
        <f t="shared" si="125"/>
        <v>22</v>
      </c>
      <c r="Z1844" s="18">
        <v>46165</v>
      </c>
      <c r="AA1844" s="15"/>
      <c r="AB1844" s="15"/>
      <c r="AF1844" t="str">
        <f t="shared" si="126"/>
        <v>Closed in May</v>
      </c>
    </row>
    <row r="1845" spans="1:32" hidden="1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127"/>
        <v>24</v>
      </c>
      <c r="R1845" s="53" t="str">
        <f t="shared" si="128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73">
        <f t="shared" si="125"/>
        <v>22</v>
      </c>
      <c r="Z1845" s="18">
        <v>46165</v>
      </c>
      <c r="AA1845" s="15"/>
      <c r="AB1845" s="15"/>
      <c r="AF1845" t="str">
        <f t="shared" si="126"/>
        <v>Closed in May</v>
      </c>
    </row>
    <row r="1846" spans="1:32" hidden="1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127"/>
        <v>24</v>
      </c>
      <c r="R1846" s="53" t="str">
        <f t="shared" si="128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73">
        <f t="shared" si="125"/>
        <v>22</v>
      </c>
      <c r="Z1846" s="18">
        <v>46165</v>
      </c>
      <c r="AA1846" s="15"/>
      <c r="AB1846" s="15"/>
      <c r="AF1846" t="str">
        <f t="shared" si="126"/>
        <v>Closed in May</v>
      </c>
    </row>
    <row r="1847" spans="1:32" hidden="1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127"/>
        <v>24</v>
      </c>
      <c r="R1847" s="53" t="str">
        <f t="shared" si="128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73">
        <f t="shared" si="125"/>
        <v>22</v>
      </c>
      <c r="Z1847" s="18">
        <v>46165</v>
      </c>
      <c r="AA1847" s="15"/>
      <c r="AB1847" s="15"/>
      <c r="AF1847" t="str">
        <f t="shared" si="126"/>
        <v>Closed in May</v>
      </c>
    </row>
    <row r="1848" spans="1:32" hidden="1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127"/>
        <v>24</v>
      </c>
      <c r="R1848" s="53" t="str">
        <f t="shared" si="128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73">
        <f t="shared" si="125"/>
        <v>22</v>
      </c>
      <c r="Z1848" s="18">
        <v>46165</v>
      </c>
      <c r="AA1848" s="15"/>
      <c r="AB1848" s="15"/>
      <c r="AF1848" t="str">
        <f t="shared" si="126"/>
        <v>Closed in May</v>
      </c>
    </row>
    <row r="1849" spans="1:32" hidden="1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127"/>
        <v>24</v>
      </c>
      <c r="R1849" s="53" t="str">
        <f t="shared" si="128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73">
        <f t="shared" si="125"/>
        <v>22</v>
      </c>
      <c r="Z1849" s="18">
        <v>46165</v>
      </c>
      <c r="AA1849" s="15"/>
      <c r="AB1849" s="15"/>
      <c r="AF1849" t="str">
        <f t="shared" si="126"/>
        <v>Closed in May</v>
      </c>
    </row>
    <row r="1850" spans="1:32" hidden="1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127"/>
        <v>24</v>
      </c>
      <c r="R1850" s="53" t="str">
        <f t="shared" si="128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73">
        <f t="shared" si="125"/>
        <v>22</v>
      </c>
      <c r="Z1850" s="18">
        <v>46165</v>
      </c>
      <c r="AA1850" s="15"/>
      <c r="AB1850" s="15"/>
      <c r="AF1850" t="str">
        <f t="shared" si="126"/>
        <v>Closed in May</v>
      </c>
    </row>
    <row r="1851" spans="1:32" hidden="1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127"/>
        <v>24</v>
      </c>
      <c r="R1851" s="53" t="str">
        <f t="shared" si="128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73">
        <f t="shared" si="125"/>
        <v>22</v>
      </c>
      <c r="Z1851" s="18">
        <v>46165</v>
      </c>
      <c r="AA1851" s="15"/>
      <c r="AB1851" s="15"/>
      <c r="AF1851" t="str">
        <f t="shared" si="126"/>
        <v>Closed in May</v>
      </c>
    </row>
    <row r="1852" spans="1:32" hidden="1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127"/>
        <v>24</v>
      </c>
      <c r="R1852" s="53" t="str">
        <f t="shared" si="128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73">
        <f t="shared" si="125"/>
        <v>22</v>
      </c>
      <c r="Z1852" s="18">
        <v>46165</v>
      </c>
      <c r="AA1852" s="15"/>
      <c r="AB1852" s="15"/>
      <c r="AF1852" t="str">
        <f t="shared" si="126"/>
        <v>Closed in May</v>
      </c>
    </row>
    <row r="1853" spans="1:32" hidden="1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127"/>
        <v>24</v>
      </c>
      <c r="R1853" s="53" t="str">
        <f t="shared" si="128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73">
        <f t="shared" si="125"/>
        <v>22</v>
      </c>
      <c r="Z1853" s="18">
        <v>46165</v>
      </c>
      <c r="AA1853" s="15"/>
      <c r="AB1853" s="15"/>
      <c r="AF1853" t="str">
        <f t="shared" si="126"/>
        <v>Closed in May</v>
      </c>
    </row>
    <row r="1854" spans="1:32" hidden="1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127"/>
        <v>24</v>
      </c>
      <c r="R1854" s="53" t="str">
        <f t="shared" si="128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73">
        <f t="shared" si="125"/>
        <v>22</v>
      </c>
      <c r="Z1854" s="18">
        <v>46165</v>
      </c>
      <c r="AA1854" s="15"/>
      <c r="AB1854" s="15"/>
      <c r="AF1854" t="str">
        <f t="shared" si="126"/>
        <v>Closed in May</v>
      </c>
    </row>
    <row r="1855" spans="1:32" hidden="1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127"/>
        <v>24</v>
      </c>
      <c r="R1855" s="53" t="str">
        <f t="shared" si="128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73">
        <f t="shared" si="125"/>
        <v>22</v>
      </c>
      <c r="Z1855" s="18">
        <v>46165</v>
      </c>
      <c r="AA1855" s="15"/>
      <c r="AB1855" s="15"/>
      <c r="AF1855" t="str">
        <f t="shared" si="126"/>
        <v>Closed in May</v>
      </c>
    </row>
    <row r="1856" spans="1:32" hidden="1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127"/>
        <v>24</v>
      </c>
      <c r="R1856" s="53" t="str">
        <f t="shared" si="128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73">
        <f t="shared" si="125"/>
        <v>22</v>
      </c>
      <c r="Z1856" s="18">
        <v>46165</v>
      </c>
      <c r="AA1856" s="15"/>
      <c r="AB1856" s="15"/>
      <c r="AF1856" t="str">
        <f t="shared" si="126"/>
        <v>Closed in May</v>
      </c>
    </row>
    <row r="1857" spans="1:32" hidden="1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127"/>
        <v>24</v>
      </c>
      <c r="R1857" s="53" t="str">
        <f t="shared" si="128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73">
        <f t="shared" si="125"/>
        <v>22</v>
      </c>
      <c r="Z1857" s="18">
        <v>46165</v>
      </c>
      <c r="AA1857" s="15"/>
      <c r="AB1857" s="15"/>
      <c r="AF1857" t="str">
        <f t="shared" si="126"/>
        <v>Closed in May</v>
      </c>
    </row>
    <row r="1858" spans="1:32" hidden="1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127"/>
        <v>24</v>
      </c>
      <c r="R1858" s="53" t="str">
        <f t="shared" si="128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73">
        <f t="shared" ref="Y1858:Y1921" si="129">IF(X1858="","",X1858-A1858)</f>
        <v>22</v>
      </c>
      <c r="Z1858" s="18">
        <v>46165</v>
      </c>
      <c r="AA1858" s="15"/>
      <c r="AB1858" s="15"/>
      <c r="AF1858" t="str">
        <f t="shared" ref="AF1858:AF1921" si="130">IF(AND($F1858="Closed",$X1858&gt;=DATE(2026,5,1),$X1858&lt;=DATE(2026,5,31)),"Closed in May","Other")</f>
        <v>Closed in May</v>
      </c>
    </row>
    <row r="1859" spans="1:32" hidden="1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127"/>
        <v>24</v>
      </c>
      <c r="R1859" s="53" t="str">
        <f t="shared" si="128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73">
        <f t="shared" si="129"/>
        <v>22</v>
      </c>
      <c r="Z1859" s="18">
        <v>46165</v>
      </c>
      <c r="AA1859" s="15"/>
      <c r="AB1859" s="15"/>
      <c r="AF1859" t="str">
        <f t="shared" si="130"/>
        <v>Closed in May</v>
      </c>
    </row>
    <row r="1860" spans="1:32" hidden="1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127"/>
        <v>24</v>
      </c>
      <c r="R1860" s="53" t="str">
        <f t="shared" si="128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73">
        <f t="shared" si="129"/>
        <v>22</v>
      </c>
      <c r="Z1860" s="18">
        <v>46165</v>
      </c>
      <c r="AA1860" s="15"/>
      <c r="AB1860" s="15"/>
      <c r="AF1860" t="str">
        <f t="shared" si="130"/>
        <v>Closed in May</v>
      </c>
    </row>
    <row r="1861" spans="1:32" hidden="1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127"/>
        <v>24</v>
      </c>
      <c r="R1861" s="53" t="str">
        <f t="shared" si="128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73">
        <f t="shared" si="129"/>
        <v>22</v>
      </c>
      <c r="Z1861" s="18">
        <v>46165</v>
      </c>
      <c r="AA1861" s="15"/>
      <c r="AB1861" s="15"/>
      <c r="AF1861" t="str">
        <f t="shared" si="130"/>
        <v>Closed in May</v>
      </c>
    </row>
    <row r="1862" spans="1:32" hidden="1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127"/>
        <v>24</v>
      </c>
      <c r="R1862" s="53" t="str">
        <f t="shared" si="128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73">
        <f t="shared" si="129"/>
        <v>22</v>
      </c>
      <c r="Z1862" s="18">
        <v>46165</v>
      </c>
      <c r="AA1862" s="15"/>
      <c r="AB1862" s="15"/>
      <c r="AF1862" t="str">
        <f t="shared" si="130"/>
        <v>Closed in May</v>
      </c>
    </row>
    <row r="1863" spans="1:32" hidden="1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127"/>
        <v>24</v>
      </c>
      <c r="R1863" s="53" t="str">
        <f t="shared" si="128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73">
        <f t="shared" si="129"/>
        <v>22</v>
      </c>
      <c r="Z1863" s="18">
        <v>46165</v>
      </c>
      <c r="AA1863" s="15"/>
      <c r="AB1863" s="15"/>
      <c r="AF1863" t="str">
        <f t="shared" si="130"/>
        <v>Closed in May</v>
      </c>
    </row>
    <row r="1864" spans="1:32" hidden="1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127"/>
        <v>24</v>
      </c>
      <c r="R1864" s="53" t="str">
        <f t="shared" si="128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73">
        <f t="shared" si="129"/>
        <v>22</v>
      </c>
      <c r="Z1864" s="18">
        <v>46165</v>
      </c>
      <c r="AA1864" s="15"/>
      <c r="AB1864" s="15"/>
      <c r="AF1864" t="str">
        <f t="shared" si="130"/>
        <v>Closed in May</v>
      </c>
    </row>
    <row r="1865" spans="1:32" hidden="1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127"/>
        <v>24</v>
      </c>
      <c r="R1865" s="53" t="str">
        <f t="shared" si="128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73">
        <f t="shared" si="129"/>
        <v>22</v>
      </c>
      <c r="Z1865" s="18">
        <v>46165</v>
      </c>
      <c r="AA1865" s="15"/>
      <c r="AB1865" s="15"/>
      <c r="AF1865" t="str">
        <f t="shared" si="130"/>
        <v>Closed in May</v>
      </c>
    </row>
    <row r="1866" spans="1:32" hidden="1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127"/>
        <v>24</v>
      </c>
      <c r="R1866" s="53" t="str">
        <f t="shared" si="128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73">
        <f t="shared" si="129"/>
        <v>22</v>
      </c>
      <c r="Z1866" s="18">
        <v>46165</v>
      </c>
      <c r="AA1866" s="15"/>
      <c r="AB1866" s="15"/>
      <c r="AF1866" t="str">
        <f t="shared" si="130"/>
        <v>Closed in May</v>
      </c>
    </row>
    <row r="1867" spans="1:32" hidden="1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127"/>
        <v>24</v>
      </c>
      <c r="R1867" s="53" t="str">
        <f t="shared" si="128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73">
        <f t="shared" si="129"/>
        <v>22</v>
      </c>
      <c r="Z1867" s="18">
        <v>46165</v>
      </c>
      <c r="AA1867" s="15"/>
      <c r="AB1867" s="15"/>
      <c r="AF1867" t="str">
        <f t="shared" si="130"/>
        <v>Closed in May</v>
      </c>
    </row>
    <row r="1868" spans="1:32" hidden="1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127"/>
        <v>24</v>
      </c>
      <c r="R1868" s="53" t="str">
        <f t="shared" si="128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73">
        <f t="shared" si="129"/>
        <v>22</v>
      </c>
      <c r="Z1868" s="18">
        <v>46165</v>
      </c>
      <c r="AA1868" s="15"/>
      <c r="AB1868" s="15"/>
      <c r="AF1868" t="str">
        <f t="shared" si="130"/>
        <v>Closed in May</v>
      </c>
    </row>
    <row r="1869" spans="1:32" hidden="1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127"/>
        <v>24</v>
      </c>
      <c r="R1869" s="53" t="str">
        <f t="shared" si="128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73">
        <f t="shared" si="129"/>
        <v>23</v>
      </c>
      <c r="Z1869" s="18">
        <v>46166</v>
      </c>
      <c r="AA1869" s="15"/>
      <c r="AB1869" s="15"/>
      <c r="AF1869" t="str">
        <f t="shared" si="130"/>
        <v>Closed in May</v>
      </c>
    </row>
    <row r="1870" spans="1:32" hidden="1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127"/>
        <v>24</v>
      </c>
      <c r="R1870" s="53" t="str">
        <f t="shared" si="128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73">
        <f t="shared" si="129"/>
        <v>23</v>
      </c>
      <c r="Z1870" s="18">
        <v>46166</v>
      </c>
      <c r="AA1870" s="15"/>
      <c r="AB1870" s="15"/>
      <c r="AF1870" t="str">
        <f t="shared" si="130"/>
        <v>Closed in May</v>
      </c>
    </row>
    <row r="1871" spans="1:32" hidden="1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127"/>
        <v>24</v>
      </c>
      <c r="R1871" s="53" t="str">
        <f t="shared" si="128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73">
        <f t="shared" si="129"/>
        <v>23</v>
      </c>
      <c r="Z1871" s="18">
        <v>46166</v>
      </c>
      <c r="AA1871" s="15"/>
      <c r="AB1871" s="15"/>
      <c r="AF1871" t="str">
        <f t="shared" si="130"/>
        <v>Closed in May</v>
      </c>
    </row>
    <row r="1872" spans="1:32" hidden="1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127"/>
        <v>24</v>
      </c>
      <c r="R1872" s="53" t="str">
        <f t="shared" si="128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73">
        <f t="shared" si="129"/>
        <v>23</v>
      </c>
      <c r="Z1872" s="18">
        <v>46166</v>
      </c>
      <c r="AA1872" s="15"/>
      <c r="AB1872" s="15"/>
      <c r="AF1872" t="str">
        <f t="shared" si="130"/>
        <v>Closed in May</v>
      </c>
    </row>
    <row r="1873" spans="1:32" hidden="1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127"/>
        <v>24</v>
      </c>
      <c r="R1873" s="53" t="str">
        <f t="shared" si="128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73">
        <f t="shared" si="129"/>
        <v>23</v>
      </c>
      <c r="Z1873" s="18">
        <v>46166</v>
      </c>
      <c r="AA1873" s="15"/>
      <c r="AB1873" s="15"/>
      <c r="AF1873" t="str">
        <f t="shared" si="130"/>
        <v>Closed in May</v>
      </c>
    </row>
    <row r="1874" spans="1:32" hidden="1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127"/>
        <v>24</v>
      </c>
      <c r="R1874" s="53" t="str">
        <f t="shared" si="128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73">
        <f t="shared" si="129"/>
        <v>23</v>
      </c>
      <c r="Z1874" s="18">
        <v>46166</v>
      </c>
      <c r="AA1874" s="15"/>
      <c r="AB1874" s="15"/>
      <c r="AF1874" t="str">
        <f t="shared" si="130"/>
        <v>Closed in May</v>
      </c>
    </row>
    <row r="1875" spans="1:32" hidden="1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127"/>
        <v>24</v>
      </c>
      <c r="R1875" s="53" t="str">
        <f t="shared" si="128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73">
        <f t="shared" si="129"/>
        <v>23</v>
      </c>
      <c r="Z1875" s="18">
        <v>46166</v>
      </c>
      <c r="AA1875" s="15"/>
      <c r="AB1875" s="15"/>
      <c r="AF1875" t="str">
        <f t="shared" si="130"/>
        <v>Closed in May</v>
      </c>
    </row>
    <row r="1876" spans="1:32" hidden="1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127"/>
        <v>24</v>
      </c>
      <c r="R1876" s="53" t="str">
        <f t="shared" si="128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73">
        <f t="shared" si="129"/>
        <v>23</v>
      </c>
      <c r="Z1876" s="18">
        <v>46166</v>
      </c>
      <c r="AA1876" s="15"/>
      <c r="AB1876" s="15"/>
      <c r="AF1876" t="str">
        <f t="shared" si="130"/>
        <v>Closed in May</v>
      </c>
    </row>
    <row r="1877" spans="1:32" hidden="1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127"/>
        <v>24</v>
      </c>
      <c r="R1877" s="53" t="str">
        <f t="shared" si="128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73">
        <f t="shared" si="129"/>
        <v>23</v>
      </c>
      <c r="Z1877" s="18">
        <v>46166</v>
      </c>
      <c r="AA1877" s="15"/>
      <c r="AB1877" s="15"/>
      <c r="AF1877" t="str">
        <f t="shared" si="130"/>
        <v>Closed in May</v>
      </c>
    </row>
    <row r="1878" spans="1:32" hidden="1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127"/>
        <v>24</v>
      </c>
      <c r="R1878" s="53" t="str">
        <f t="shared" si="128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73">
        <f t="shared" si="129"/>
        <v>23</v>
      </c>
      <c r="Z1878" s="18">
        <v>46166</v>
      </c>
      <c r="AA1878" s="15"/>
      <c r="AB1878" s="15"/>
      <c r="AF1878" t="str">
        <f t="shared" si="130"/>
        <v>Closed in May</v>
      </c>
    </row>
    <row r="1879" spans="1:32" hidden="1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127"/>
        <v>24</v>
      </c>
      <c r="R1879" s="53" t="str">
        <f t="shared" si="128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73">
        <f t="shared" si="129"/>
        <v>23</v>
      </c>
      <c r="Z1879" s="18">
        <v>46166</v>
      </c>
      <c r="AA1879" s="15"/>
      <c r="AB1879" s="15"/>
      <c r="AF1879" t="str">
        <f t="shared" si="130"/>
        <v>Closed in May</v>
      </c>
    </row>
    <row r="1880" spans="1:32" hidden="1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127"/>
        <v>24</v>
      </c>
      <c r="R1880" s="53" t="str">
        <f t="shared" si="128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73">
        <f t="shared" si="129"/>
        <v>23</v>
      </c>
      <c r="Z1880" s="18">
        <v>46166</v>
      </c>
      <c r="AA1880" s="15"/>
      <c r="AB1880" s="15"/>
      <c r="AF1880" t="str">
        <f t="shared" si="130"/>
        <v>Closed in May</v>
      </c>
    </row>
    <row r="1881" spans="1:32" hidden="1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127"/>
        <v>24</v>
      </c>
      <c r="R1881" s="53" t="str">
        <f t="shared" si="128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73">
        <f t="shared" si="129"/>
        <v>23</v>
      </c>
      <c r="Z1881" s="18">
        <v>46166</v>
      </c>
      <c r="AA1881" s="15"/>
      <c r="AB1881" s="15"/>
      <c r="AF1881" t="str">
        <f t="shared" si="130"/>
        <v>Closed in May</v>
      </c>
    </row>
    <row r="1882" spans="1:32" hidden="1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127"/>
        <v>24</v>
      </c>
      <c r="R1882" s="53" t="str">
        <f t="shared" si="128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73">
        <f t="shared" si="129"/>
        <v>23</v>
      </c>
      <c r="Z1882" s="18">
        <v>46166</v>
      </c>
      <c r="AA1882" s="15"/>
      <c r="AB1882" s="15"/>
      <c r="AF1882" t="str">
        <f t="shared" si="130"/>
        <v>Closed in May</v>
      </c>
    </row>
    <row r="1883" spans="1:32" hidden="1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127"/>
        <v>24</v>
      </c>
      <c r="R1883" s="53" t="str">
        <f t="shared" si="128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73">
        <f t="shared" si="129"/>
        <v>23</v>
      </c>
      <c r="Z1883" s="18">
        <v>46166</v>
      </c>
      <c r="AA1883" s="15"/>
      <c r="AB1883" s="15"/>
      <c r="AF1883" t="str">
        <f t="shared" si="130"/>
        <v>Closed in May</v>
      </c>
    </row>
    <row r="1884" spans="1:32" hidden="1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127"/>
        <v>24</v>
      </c>
      <c r="R1884" s="53" t="str">
        <f t="shared" si="128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73">
        <f t="shared" si="129"/>
        <v>23</v>
      </c>
      <c r="Z1884" s="18">
        <v>46166</v>
      </c>
      <c r="AA1884" s="15"/>
      <c r="AB1884" s="15"/>
      <c r="AF1884" t="str">
        <f t="shared" si="130"/>
        <v>Closed in May</v>
      </c>
    </row>
    <row r="1885" spans="1:32" hidden="1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127"/>
        <v>24</v>
      </c>
      <c r="R1885" s="53" t="str">
        <f t="shared" si="128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73">
        <f t="shared" si="129"/>
        <v>23</v>
      </c>
      <c r="Z1885" s="18">
        <v>46166</v>
      </c>
      <c r="AA1885" s="15"/>
      <c r="AB1885" s="15"/>
      <c r="AF1885" t="str">
        <f t="shared" si="130"/>
        <v>Closed in May</v>
      </c>
    </row>
    <row r="1886" spans="1:32" hidden="1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127"/>
        <v>24</v>
      </c>
      <c r="R1886" s="53" t="str">
        <f t="shared" si="128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73">
        <f t="shared" si="129"/>
        <v>23</v>
      </c>
      <c r="Z1886" s="18">
        <v>46166</v>
      </c>
      <c r="AA1886" s="15"/>
      <c r="AB1886" s="15"/>
      <c r="AF1886" t="str">
        <f t="shared" si="130"/>
        <v>Closed in May</v>
      </c>
    </row>
    <row r="1887" spans="1:32" hidden="1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127"/>
        <v>24</v>
      </c>
      <c r="R1887" s="53" t="str">
        <f t="shared" si="128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73">
        <f t="shared" si="129"/>
        <v>23</v>
      </c>
      <c r="Z1887" s="18">
        <v>46166</v>
      </c>
      <c r="AA1887" s="15"/>
      <c r="AB1887" s="15"/>
      <c r="AF1887" t="str">
        <f t="shared" si="130"/>
        <v>Closed in May</v>
      </c>
    </row>
    <row r="1888" spans="1:32" hidden="1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127"/>
        <v>24</v>
      </c>
      <c r="R1888" s="53" t="str">
        <f t="shared" si="128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73">
        <f t="shared" si="129"/>
        <v>23</v>
      </c>
      <c r="Z1888" s="18">
        <v>46166</v>
      </c>
      <c r="AA1888" s="15"/>
      <c r="AB1888" s="15"/>
      <c r="AF1888" t="str">
        <f t="shared" si="130"/>
        <v>Closed in May</v>
      </c>
    </row>
    <row r="1889" spans="1:32" hidden="1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127"/>
        <v>24</v>
      </c>
      <c r="R1889" s="53" t="str">
        <f t="shared" si="128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73">
        <f t="shared" si="129"/>
        <v>23</v>
      </c>
      <c r="Z1889" s="18">
        <v>46166</v>
      </c>
      <c r="AA1889" s="15"/>
      <c r="AB1889" s="15"/>
      <c r="AF1889" t="str">
        <f t="shared" si="130"/>
        <v>Closed in May</v>
      </c>
    </row>
    <row r="1890" spans="1:32" hidden="1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127"/>
        <v>24</v>
      </c>
      <c r="R1890" s="53" t="str">
        <f t="shared" si="128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73">
        <f t="shared" si="129"/>
        <v>23</v>
      </c>
      <c r="Z1890" s="18">
        <v>46166</v>
      </c>
      <c r="AA1890" s="15"/>
      <c r="AB1890" s="15"/>
      <c r="AF1890" t="str">
        <f t="shared" si="130"/>
        <v>Closed in May</v>
      </c>
    </row>
    <row r="1891" spans="1:32" hidden="1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127"/>
        <v>24</v>
      </c>
      <c r="R1891" s="53" t="str">
        <f t="shared" si="128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73">
        <f t="shared" si="129"/>
        <v>23</v>
      </c>
      <c r="Z1891" s="18">
        <v>46166</v>
      </c>
      <c r="AA1891" s="15"/>
      <c r="AB1891" s="15"/>
      <c r="AF1891" t="str">
        <f t="shared" si="130"/>
        <v>Closed in May</v>
      </c>
    </row>
    <row r="1892" spans="1:32" hidden="1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127"/>
        <v>24</v>
      </c>
      <c r="R1892" s="53" t="str">
        <f t="shared" si="128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73">
        <f t="shared" si="129"/>
        <v>23</v>
      </c>
      <c r="Z1892" s="18">
        <v>46166</v>
      </c>
      <c r="AA1892" s="15"/>
      <c r="AB1892" s="15"/>
      <c r="AF1892" t="str">
        <f t="shared" si="130"/>
        <v>Closed in May</v>
      </c>
    </row>
    <row r="1893" spans="1:32" hidden="1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127"/>
        <v>24</v>
      </c>
      <c r="R1893" s="53" t="str">
        <f t="shared" si="128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73">
        <f t="shared" si="129"/>
        <v>23</v>
      </c>
      <c r="Z1893" s="18">
        <v>46166</v>
      </c>
      <c r="AA1893" s="15"/>
      <c r="AB1893" s="15"/>
      <c r="AF1893" t="str">
        <f t="shared" si="130"/>
        <v>Closed in May</v>
      </c>
    </row>
    <row r="1894" spans="1:32" hidden="1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127"/>
        <v>24</v>
      </c>
      <c r="R1894" s="53" t="str">
        <f t="shared" si="128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73">
        <f t="shared" si="129"/>
        <v>23</v>
      </c>
      <c r="Z1894" s="18">
        <v>46166</v>
      </c>
      <c r="AA1894" s="15"/>
      <c r="AB1894" s="15"/>
      <c r="AF1894" t="str">
        <f t="shared" si="130"/>
        <v>Closed in May</v>
      </c>
    </row>
    <row r="1895" spans="1:32" hidden="1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131">MID(P1895,5,2)</f>
        <v>24</v>
      </c>
      <c r="R1895" s="53" t="str">
        <f t="shared" ref="R1895:R1958" si="132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73">
        <f t="shared" si="129"/>
        <v>23</v>
      </c>
      <c r="Z1895" s="18">
        <v>46166</v>
      </c>
      <c r="AA1895" s="15"/>
      <c r="AB1895" s="15"/>
      <c r="AF1895" t="str">
        <f t="shared" si="130"/>
        <v>Closed in May</v>
      </c>
    </row>
    <row r="1896" spans="1:32" hidden="1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131"/>
        <v>24</v>
      </c>
      <c r="R1896" s="53" t="str">
        <f t="shared" si="132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73">
        <f t="shared" si="129"/>
        <v>23</v>
      </c>
      <c r="Z1896" s="18">
        <v>46166</v>
      </c>
      <c r="AA1896" s="15"/>
      <c r="AB1896" s="15"/>
      <c r="AF1896" t="str">
        <f t="shared" si="130"/>
        <v>Closed in May</v>
      </c>
    </row>
    <row r="1897" spans="1:32" hidden="1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131"/>
        <v>24</v>
      </c>
      <c r="R1897" s="53" t="str">
        <f t="shared" si="132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73">
        <f t="shared" si="129"/>
        <v>23</v>
      </c>
      <c r="Z1897" s="18">
        <v>46166</v>
      </c>
      <c r="AA1897" s="15"/>
      <c r="AB1897" s="15"/>
      <c r="AF1897" t="str">
        <f t="shared" si="130"/>
        <v>Closed in May</v>
      </c>
    </row>
    <row r="1898" spans="1:32" hidden="1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131"/>
        <v>24</v>
      </c>
      <c r="R1898" s="53" t="str">
        <f t="shared" si="132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73">
        <f t="shared" si="129"/>
        <v>23</v>
      </c>
      <c r="Z1898" s="18">
        <v>46166</v>
      </c>
      <c r="AA1898" s="15"/>
      <c r="AB1898" s="15"/>
      <c r="AF1898" t="str">
        <f t="shared" si="130"/>
        <v>Closed in May</v>
      </c>
    </row>
    <row r="1899" spans="1:32" hidden="1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131"/>
        <v>24</v>
      </c>
      <c r="R1899" s="53" t="str">
        <f t="shared" si="132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73">
        <f t="shared" si="129"/>
        <v>23</v>
      </c>
      <c r="Z1899" s="18">
        <v>46166</v>
      </c>
      <c r="AA1899" s="15"/>
      <c r="AB1899" s="15"/>
      <c r="AF1899" t="str">
        <f t="shared" si="130"/>
        <v>Closed in May</v>
      </c>
    </row>
    <row r="1900" spans="1:32" hidden="1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131"/>
        <v>24</v>
      </c>
      <c r="R1900" s="53" t="str">
        <f t="shared" si="132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73">
        <f t="shared" si="129"/>
        <v>23</v>
      </c>
      <c r="Z1900" s="18">
        <v>46166</v>
      </c>
      <c r="AA1900" s="15"/>
      <c r="AB1900" s="15"/>
      <c r="AF1900" t="str">
        <f t="shared" si="130"/>
        <v>Closed in May</v>
      </c>
    </row>
    <row r="1901" spans="1:32" hidden="1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131"/>
        <v>24</v>
      </c>
      <c r="R1901" s="53" t="str">
        <f t="shared" si="132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73">
        <f t="shared" si="129"/>
        <v>23</v>
      </c>
      <c r="Z1901" s="18">
        <v>46166</v>
      </c>
      <c r="AA1901" s="15"/>
      <c r="AB1901" s="15"/>
      <c r="AF1901" t="str">
        <f t="shared" si="130"/>
        <v>Closed in May</v>
      </c>
    </row>
    <row r="1902" spans="1:32" hidden="1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131"/>
        <v>24</v>
      </c>
      <c r="R1902" s="53" t="str">
        <f t="shared" si="132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73">
        <f t="shared" si="129"/>
        <v>23</v>
      </c>
      <c r="Z1902" s="18">
        <v>46166</v>
      </c>
      <c r="AA1902" s="15"/>
      <c r="AB1902" s="15"/>
      <c r="AF1902" t="str">
        <f t="shared" si="130"/>
        <v>Closed in May</v>
      </c>
    </row>
    <row r="1903" spans="1:32" hidden="1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131"/>
        <v>24</v>
      </c>
      <c r="R1903" s="53" t="str">
        <f t="shared" si="132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73">
        <f t="shared" si="129"/>
        <v>23</v>
      </c>
      <c r="Z1903" s="18">
        <v>46166</v>
      </c>
      <c r="AA1903" s="15"/>
      <c r="AB1903" s="15"/>
      <c r="AF1903" t="str">
        <f t="shared" si="130"/>
        <v>Closed in May</v>
      </c>
    </row>
    <row r="1904" spans="1:32" hidden="1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131"/>
        <v>24</v>
      </c>
      <c r="R1904" s="53" t="str">
        <f t="shared" si="132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73">
        <f t="shared" si="129"/>
        <v>23</v>
      </c>
      <c r="Z1904" s="18">
        <v>46166</v>
      </c>
      <c r="AA1904" s="15"/>
      <c r="AB1904" s="15"/>
      <c r="AF1904" t="str">
        <f t="shared" si="130"/>
        <v>Closed in May</v>
      </c>
    </row>
    <row r="1905" spans="1:32" hidden="1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131"/>
        <v>24</v>
      </c>
      <c r="R1905" s="53" t="str">
        <f t="shared" si="132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73">
        <f t="shared" si="129"/>
        <v>23</v>
      </c>
      <c r="Z1905" s="18">
        <v>46166</v>
      </c>
      <c r="AA1905" s="15"/>
      <c r="AB1905" s="15"/>
      <c r="AF1905" t="str">
        <f t="shared" si="130"/>
        <v>Closed in May</v>
      </c>
    </row>
    <row r="1906" spans="1:32" hidden="1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131"/>
        <v>24</v>
      </c>
      <c r="R1906" s="53" t="str">
        <f t="shared" si="132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73">
        <f t="shared" si="129"/>
        <v>23</v>
      </c>
      <c r="Z1906" s="18">
        <v>46166</v>
      </c>
      <c r="AA1906" s="15"/>
      <c r="AB1906" s="15"/>
      <c r="AF1906" t="str">
        <f t="shared" si="130"/>
        <v>Closed in May</v>
      </c>
    </row>
    <row r="1907" spans="1:32" hidden="1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131"/>
        <v>24</v>
      </c>
      <c r="R1907" s="53" t="str">
        <f t="shared" si="132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73">
        <f t="shared" si="129"/>
        <v>23</v>
      </c>
      <c r="Z1907" s="18">
        <v>46166</v>
      </c>
      <c r="AA1907" s="15"/>
      <c r="AB1907" s="15"/>
      <c r="AF1907" t="str">
        <f t="shared" si="130"/>
        <v>Closed in May</v>
      </c>
    </row>
    <row r="1908" spans="1:32" hidden="1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131"/>
        <v>24</v>
      </c>
      <c r="R1908" s="53" t="str">
        <f t="shared" si="132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73">
        <f t="shared" si="129"/>
        <v>23</v>
      </c>
      <c r="Z1908" s="18">
        <v>46166</v>
      </c>
      <c r="AA1908" s="15"/>
      <c r="AB1908" s="15"/>
      <c r="AF1908" t="str">
        <f t="shared" si="130"/>
        <v>Closed in May</v>
      </c>
    </row>
    <row r="1909" spans="1:32" hidden="1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131"/>
        <v>24</v>
      </c>
      <c r="R1909" s="53" t="str">
        <f t="shared" si="132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73">
        <f t="shared" si="129"/>
        <v>23</v>
      </c>
      <c r="Z1909" s="18">
        <v>46166</v>
      </c>
      <c r="AA1909" s="15"/>
      <c r="AB1909" s="15"/>
      <c r="AF1909" t="str">
        <f t="shared" si="130"/>
        <v>Closed in May</v>
      </c>
    </row>
    <row r="1910" spans="1:32" hidden="1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131"/>
        <v>24</v>
      </c>
      <c r="R1910" s="53" t="str">
        <f t="shared" si="132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73">
        <f t="shared" si="129"/>
        <v>23</v>
      </c>
      <c r="Z1910" s="18">
        <v>46166</v>
      </c>
      <c r="AA1910" s="15"/>
      <c r="AB1910" s="15"/>
      <c r="AF1910" t="str">
        <f t="shared" si="130"/>
        <v>Closed in May</v>
      </c>
    </row>
    <row r="1911" spans="1:32" hidden="1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131"/>
        <v>24</v>
      </c>
      <c r="R1911" s="53" t="str">
        <f t="shared" si="132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73">
        <f t="shared" si="129"/>
        <v>23</v>
      </c>
      <c r="Z1911" s="18">
        <v>46166</v>
      </c>
      <c r="AA1911" s="15"/>
      <c r="AB1911" s="15"/>
      <c r="AF1911" t="str">
        <f t="shared" si="130"/>
        <v>Closed in May</v>
      </c>
    </row>
    <row r="1912" spans="1:32" hidden="1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131"/>
        <v>24</v>
      </c>
      <c r="R1912" s="53" t="str">
        <f t="shared" si="132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73">
        <f t="shared" si="129"/>
        <v>23</v>
      </c>
      <c r="Z1912" s="18">
        <v>46166</v>
      </c>
      <c r="AA1912" s="15"/>
      <c r="AB1912" s="15"/>
      <c r="AF1912" t="str">
        <f t="shared" si="130"/>
        <v>Closed in May</v>
      </c>
    </row>
    <row r="1913" spans="1:32" hidden="1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131"/>
        <v>24</v>
      </c>
      <c r="R1913" s="53" t="str">
        <f t="shared" si="132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73">
        <f t="shared" si="129"/>
        <v>23</v>
      </c>
      <c r="Z1913" s="18">
        <v>46166</v>
      </c>
      <c r="AA1913" s="15"/>
      <c r="AB1913" s="15"/>
      <c r="AF1913" t="str">
        <f t="shared" si="130"/>
        <v>Closed in May</v>
      </c>
    </row>
    <row r="1914" spans="1:32" hidden="1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131"/>
        <v>24</v>
      </c>
      <c r="R1914" s="53" t="str">
        <f t="shared" si="132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73">
        <f t="shared" si="129"/>
        <v>23</v>
      </c>
      <c r="Z1914" s="18">
        <v>46166</v>
      </c>
      <c r="AA1914" s="15"/>
      <c r="AB1914" s="15"/>
      <c r="AF1914" t="str">
        <f t="shared" si="130"/>
        <v>Closed in May</v>
      </c>
    </row>
    <row r="1915" spans="1:32" hidden="1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131"/>
        <v>24</v>
      </c>
      <c r="R1915" s="53" t="str">
        <f t="shared" si="132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73">
        <f t="shared" si="129"/>
        <v>23</v>
      </c>
      <c r="Z1915" s="18">
        <v>46166</v>
      </c>
      <c r="AA1915" s="15"/>
      <c r="AB1915" s="15"/>
      <c r="AF1915" t="str">
        <f t="shared" si="130"/>
        <v>Closed in May</v>
      </c>
    </row>
    <row r="1916" spans="1:32" hidden="1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131"/>
        <v>24</v>
      </c>
      <c r="R1916" s="53" t="str">
        <f t="shared" si="132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73">
        <f t="shared" si="129"/>
        <v>23</v>
      </c>
      <c r="Z1916" s="18">
        <v>46166</v>
      </c>
      <c r="AA1916" s="15"/>
      <c r="AB1916" s="15"/>
      <c r="AF1916" t="str">
        <f t="shared" si="130"/>
        <v>Closed in May</v>
      </c>
    </row>
    <row r="1917" spans="1:32" hidden="1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131"/>
        <v>24</v>
      </c>
      <c r="R1917" s="53" t="str">
        <f t="shared" si="132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73">
        <f t="shared" si="129"/>
        <v>23</v>
      </c>
      <c r="Z1917" s="18">
        <v>46166</v>
      </c>
      <c r="AA1917" s="15"/>
      <c r="AB1917" s="15"/>
      <c r="AF1917" t="str">
        <f t="shared" si="130"/>
        <v>Closed in May</v>
      </c>
    </row>
    <row r="1918" spans="1:32" hidden="1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131"/>
        <v>24</v>
      </c>
      <c r="R1918" s="53" t="str">
        <f t="shared" si="132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73">
        <f t="shared" si="129"/>
        <v>23</v>
      </c>
      <c r="Z1918" s="18">
        <v>46166</v>
      </c>
      <c r="AA1918" s="15"/>
      <c r="AB1918" s="15"/>
      <c r="AF1918" t="str">
        <f t="shared" si="130"/>
        <v>Closed in May</v>
      </c>
    </row>
    <row r="1919" spans="1:32" hidden="1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131"/>
        <v>24</v>
      </c>
      <c r="R1919" s="53" t="str">
        <f t="shared" si="132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73">
        <f t="shared" si="129"/>
        <v>23</v>
      </c>
      <c r="Z1919" s="18">
        <v>46166</v>
      </c>
      <c r="AA1919" s="15"/>
      <c r="AB1919" s="15"/>
      <c r="AF1919" t="str">
        <f t="shared" si="130"/>
        <v>Closed in May</v>
      </c>
    </row>
    <row r="1920" spans="1:32" hidden="1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131"/>
        <v>24</v>
      </c>
      <c r="R1920" s="53" t="str">
        <f t="shared" si="132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73">
        <f t="shared" si="129"/>
        <v>23</v>
      </c>
      <c r="Z1920" s="18">
        <v>46166</v>
      </c>
      <c r="AA1920" s="15"/>
      <c r="AB1920" s="15"/>
      <c r="AF1920" t="str">
        <f t="shared" si="130"/>
        <v>Closed in May</v>
      </c>
    </row>
    <row r="1921" spans="1:32" hidden="1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131"/>
        <v>24</v>
      </c>
      <c r="R1921" s="53" t="str">
        <f t="shared" si="132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73">
        <f t="shared" si="129"/>
        <v>23</v>
      </c>
      <c r="Z1921" s="18">
        <v>46166</v>
      </c>
      <c r="AA1921" s="15"/>
      <c r="AB1921" s="15"/>
      <c r="AF1921" t="str">
        <f t="shared" si="130"/>
        <v>Closed in May</v>
      </c>
    </row>
    <row r="1922" spans="1:32" hidden="1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131"/>
        <v>24</v>
      </c>
      <c r="R1922" s="53" t="str">
        <f t="shared" si="132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73">
        <f t="shared" ref="Y1922:Y1985" si="133">IF(X1922="","",X1922-A1922)</f>
        <v>23</v>
      </c>
      <c r="Z1922" s="18">
        <v>46166</v>
      </c>
      <c r="AA1922" s="15"/>
      <c r="AB1922" s="15"/>
      <c r="AF1922" t="str">
        <f t="shared" ref="AF1922:AF1985" si="134">IF(AND($F1922="Closed",$X1922&gt;=DATE(2026,5,1),$X1922&lt;=DATE(2026,5,31)),"Closed in May","Other")</f>
        <v>Closed in May</v>
      </c>
    </row>
    <row r="1923" spans="1:32" hidden="1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131"/>
        <v>24</v>
      </c>
      <c r="R1923" s="53" t="str">
        <f t="shared" si="132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73">
        <f t="shared" si="133"/>
        <v>23</v>
      </c>
      <c r="Z1923" s="18">
        <v>46166</v>
      </c>
      <c r="AA1923" s="15"/>
      <c r="AB1923" s="15"/>
      <c r="AF1923" t="str">
        <f t="shared" si="134"/>
        <v>Closed in May</v>
      </c>
    </row>
    <row r="1924" spans="1:32" hidden="1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131"/>
        <v>24</v>
      </c>
      <c r="R1924" s="53" t="str">
        <f t="shared" si="132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73">
        <f t="shared" si="133"/>
        <v>23</v>
      </c>
      <c r="Z1924" s="18">
        <v>46166</v>
      </c>
      <c r="AA1924" s="15"/>
      <c r="AB1924" s="15"/>
      <c r="AF1924" t="str">
        <f t="shared" si="134"/>
        <v>Closed in May</v>
      </c>
    </row>
    <row r="1925" spans="1:32" hidden="1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131"/>
        <v>24</v>
      </c>
      <c r="R1925" s="53" t="str">
        <f t="shared" si="132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73">
        <f t="shared" si="133"/>
        <v>23</v>
      </c>
      <c r="Z1925" s="18">
        <v>46166</v>
      </c>
      <c r="AA1925" s="15"/>
      <c r="AB1925" s="15"/>
      <c r="AF1925" t="str">
        <f t="shared" si="134"/>
        <v>Closed in May</v>
      </c>
    </row>
    <row r="1926" spans="1:32" hidden="1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131"/>
        <v>24</v>
      </c>
      <c r="R1926" s="53" t="str">
        <f t="shared" si="132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73">
        <f t="shared" si="133"/>
        <v>23</v>
      </c>
      <c r="Z1926" s="18">
        <v>46166</v>
      </c>
      <c r="AA1926" s="15"/>
      <c r="AB1926" s="15"/>
      <c r="AF1926" t="str">
        <f t="shared" si="134"/>
        <v>Closed in May</v>
      </c>
    </row>
    <row r="1927" spans="1:32" hidden="1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131"/>
        <v>24</v>
      </c>
      <c r="R1927" s="53" t="str">
        <f t="shared" si="132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73">
        <f t="shared" si="133"/>
        <v>23</v>
      </c>
      <c r="Z1927" s="18">
        <v>46166</v>
      </c>
      <c r="AA1927" s="15"/>
      <c r="AB1927" s="15"/>
      <c r="AF1927" t="str">
        <f t="shared" si="134"/>
        <v>Closed in May</v>
      </c>
    </row>
    <row r="1928" spans="1:32" hidden="1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131"/>
        <v>24</v>
      </c>
      <c r="R1928" s="53" t="str">
        <f t="shared" si="132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73">
        <f t="shared" si="133"/>
        <v>23</v>
      </c>
      <c r="Z1928" s="18">
        <v>46166</v>
      </c>
      <c r="AA1928" s="15"/>
      <c r="AB1928" s="15"/>
      <c r="AF1928" t="str">
        <f t="shared" si="134"/>
        <v>Closed in May</v>
      </c>
    </row>
    <row r="1929" spans="1:32" hidden="1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131"/>
        <v>24</v>
      </c>
      <c r="R1929" s="53" t="str">
        <f t="shared" si="132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73">
        <f t="shared" si="133"/>
        <v>23</v>
      </c>
      <c r="Z1929" s="18">
        <v>46166</v>
      </c>
      <c r="AA1929" s="15"/>
      <c r="AB1929" s="15"/>
      <c r="AF1929" t="str">
        <f t="shared" si="134"/>
        <v>Closed in May</v>
      </c>
    </row>
    <row r="1930" spans="1:32" hidden="1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131"/>
        <v>24</v>
      </c>
      <c r="R1930" s="53" t="str">
        <f t="shared" si="132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73">
        <f t="shared" si="133"/>
        <v>23</v>
      </c>
      <c r="Z1930" s="18">
        <v>46166</v>
      </c>
      <c r="AA1930" s="15"/>
      <c r="AB1930" s="15"/>
      <c r="AF1930" t="str">
        <f t="shared" si="134"/>
        <v>Closed in May</v>
      </c>
    </row>
    <row r="1931" spans="1:32" hidden="1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131"/>
        <v>24</v>
      </c>
      <c r="R1931" s="53" t="str">
        <f t="shared" si="132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73">
        <f t="shared" si="133"/>
        <v>23</v>
      </c>
      <c r="Z1931" s="18">
        <v>46166</v>
      </c>
      <c r="AA1931" s="15"/>
      <c r="AB1931" s="15"/>
      <c r="AF1931" t="str">
        <f t="shared" si="134"/>
        <v>Closed in May</v>
      </c>
    </row>
    <row r="1932" spans="1:32" hidden="1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131"/>
        <v>24</v>
      </c>
      <c r="R1932" s="53" t="str">
        <f t="shared" si="132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73">
        <f t="shared" si="133"/>
        <v>23</v>
      </c>
      <c r="Z1932" s="18">
        <v>46166</v>
      </c>
      <c r="AA1932" s="15"/>
      <c r="AB1932" s="15"/>
      <c r="AF1932" t="str">
        <f t="shared" si="134"/>
        <v>Closed in May</v>
      </c>
    </row>
    <row r="1933" spans="1:32" hidden="1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131"/>
        <v>23</v>
      </c>
      <c r="R1933" s="53" t="str">
        <f t="shared" si="132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73">
        <f t="shared" si="133"/>
        <v>19</v>
      </c>
      <c r="Z1933" s="18">
        <v>46167</v>
      </c>
      <c r="AA1933" s="15"/>
      <c r="AB1933" s="15"/>
      <c r="AF1933" t="str">
        <f t="shared" si="134"/>
        <v>Closed in May</v>
      </c>
    </row>
    <row r="1934" spans="1:32" hidden="1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131"/>
        <v>23</v>
      </c>
      <c r="R1934" s="53" t="str">
        <f t="shared" si="132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73">
        <f t="shared" si="133"/>
        <v>19</v>
      </c>
      <c r="Z1934" s="18">
        <v>46167</v>
      </c>
      <c r="AA1934" s="15"/>
      <c r="AB1934" s="15"/>
      <c r="AF1934" t="str">
        <f t="shared" si="134"/>
        <v>Closed in May</v>
      </c>
    </row>
    <row r="1935" spans="1:32" hidden="1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131"/>
        <v>23</v>
      </c>
      <c r="R1935" s="53" t="str">
        <f t="shared" si="132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73">
        <f t="shared" si="133"/>
        <v>19</v>
      </c>
      <c r="Z1935" s="18">
        <v>46167</v>
      </c>
      <c r="AA1935" s="15"/>
      <c r="AB1935" s="15"/>
      <c r="AF1935" t="str">
        <f t="shared" si="134"/>
        <v>Closed in May</v>
      </c>
    </row>
    <row r="1936" spans="1:32" hidden="1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131"/>
        <v>23</v>
      </c>
      <c r="R1936" s="53" t="str">
        <f t="shared" si="132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73">
        <f t="shared" si="133"/>
        <v>19</v>
      </c>
      <c r="Z1936" s="18">
        <v>46167</v>
      </c>
      <c r="AA1936" s="15"/>
      <c r="AB1936" s="15"/>
      <c r="AF1936" t="str">
        <f t="shared" si="134"/>
        <v>Closed in May</v>
      </c>
    </row>
    <row r="1937" spans="1:32" hidden="1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131"/>
        <v>23</v>
      </c>
      <c r="R1937" s="53" t="str">
        <f t="shared" si="132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73">
        <f t="shared" si="133"/>
        <v>19</v>
      </c>
      <c r="Z1937" s="18">
        <v>46167</v>
      </c>
      <c r="AA1937" s="15"/>
      <c r="AB1937" s="15"/>
      <c r="AF1937" t="str">
        <f t="shared" si="134"/>
        <v>Closed in May</v>
      </c>
    </row>
    <row r="1938" spans="1:32" hidden="1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131"/>
        <v>23</v>
      </c>
      <c r="R1938" s="53" t="str">
        <f t="shared" si="132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73">
        <f t="shared" si="133"/>
        <v>19</v>
      </c>
      <c r="Z1938" s="18">
        <v>46167</v>
      </c>
      <c r="AA1938" s="15"/>
      <c r="AB1938" s="15"/>
      <c r="AF1938" t="str">
        <f t="shared" si="134"/>
        <v>Closed in May</v>
      </c>
    </row>
    <row r="1939" spans="1:32" hidden="1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131"/>
        <v>23</v>
      </c>
      <c r="R1939" s="53" t="str">
        <f t="shared" si="132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73">
        <f t="shared" si="133"/>
        <v>19</v>
      </c>
      <c r="Z1939" s="18">
        <v>46167</v>
      </c>
      <c r="AA1939" s="15"/>
      <c r="AB1939" s="15"/>
      <c r="AF1939" t="str">
        <f t="shared" si="134"/>
        <v>Closed in May</v>
      </c>
    </row>
    <row r="1940" spans="1:32" hidden="1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131"/>
        <v>23</v>
      </c>
      <c r="R1940" s="53" t="str">
        <f t="shared" si="132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73">
        <f t="shared" si="133"/>
        <v>19</v>
      </c>
      <c r="Z1940" s="18">
        <v>46167</v>
      </c>
      <c r="AA1940" s="15"/>
      <c r="AB1940" s="15"/>
      <c r="AF1940" t="str">
        <f t="shared" si="134"/>
        <v>Closed in May</v>
      </c>
    </row>
    <row r="1941" spans="1:32" hidden="1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131"/>
        <v>23</v>
      </c>
      <c r="R1941" s="53" t="str">
        <f t="shared" si="132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73">
        <f t="shared" si="133"/>
        <v>19</v>
      </c>
      <c r="Z1941" s="18">
        <v>46167</v>
      </c>
      <c r="AA1941" s="15"/>
      <c r="AB1941" s="15"/>
      <c r="AF1941" t="str">
        <f t="shared" si="134"/>
        <v>Closed in May</v>
      </c>
    </row>
    <row r="1942" spans="1:32" hidden="1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131"/>
        <v>23</v>
      </c>
      <c r="R1942" s="53" t="str">
        <f t="shared" si="132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73">
        <f t="shared" si="133"/>
        <v>19</v>
      </c>
      <c r="Z1942" s="18">
        <v>46167</v>
      </c>
      <c r="AA1942" s="15"/>
      <c r="AB1942" s="15"/>
      <c r="AF1942" t="str">
        <f t="shared" si="134"/>
        <v>Closed in May</v>
      </c>
    </row>
    <row r="1943" spans="1:32" hidden="1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131"/>
        <v>23</v>
      </c>
      <c r="R1943" s="53" t="str">
        <f t="shared" si="132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73">
        <f t="shared" si="133"/>
        <v>19</v>
      </c>
      <c r="Z1943" s="18">
        <v>46167</v>
      </c>
      <c r="AA1943" s="15"/>
      <c r="AB1943" s="15"/>
      <c r="AF1943" t="str">
        <f t="shared" si="134"/>
        <v>Closed in May</v>
      </c>
    </row>
    <row r="1944" spans="1:32" hidden="1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131"/>
        <v>23</v>
      </c>
      <c r="R1944" s="53" t="str">
        <f t="shared" si="132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73">
        <f t="shared" si="133"/>
        <v>19</v>
      </c>
      <c r="Z1944" s="18">
        <v>46167</v>
      </c>
      <c r="AA1944" s="15"/>
      <c r="AB1944" s="15"/>
      <c r="AF1944" t="str">
        <f t="shared" si="134"/>
        <v>Closed in May</v>
      </c>
    </row>
    <row r="1945" spans="1:32" hidden="1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131"/>
        <v>23</v>
      </c>
      <c r="R1945" s="53" t="str">
        <f t="shared" si="132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73">
        <f t="shared" si="133"/>
        <v>19</v>
      </c>
      <c r="Z1945" s="18">
        <v>46167</v>
      </c>
      <c r="AA1945" s="15"/>
      <c r="AB1945" s="15"/>
      <c r="AF1945" t="str">
        <f t="shared" si="134"/>
        <v>Closed in May</v>
      </c>
    </row>
    <row r="1946" spans="1:32" hidden="1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131"/>
        <v>23</v>
      </c>
      <c r="R1946" s="53" t="str">
        <f t="shared" si="132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73">
        <f t="shared" si="133"/>
        <v>19</v>
      </c>
      <c r="Z1946" s="18">
        <v>46167</v>
      </c>
      <c r="AA1946" s="15"/>
      <c r="AB1946" s="15"/>
      <c r="AF1946" t="str">
        <f t="shared" si="134"/>
        <v>Closed in May</v>
      </c>
    </row>
    <row r="1947" spans="1:32" hidden="1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131"/>
        <v>23</v>
      </c>
      <c r="R1947" s="53" t="str">
        <f t="shared" si="132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73">
        <f t="shared" si="133"/>
        <v>19</v>
      </c>
      <c r="Z1947" s="18">
        <v>46167</v>
      </c>
      <c r="AA1947" s="15"/>
      <c r="AB1947" s="15"/>
      <c r="AF1947" t="str">
        <f t="shared" si="134"/>
        <v>Closed in May</v>
      </c>
    </row>
    <row r="1948" spans="1:32" hidden="1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131"/>
        <v>23</v>
      </c>
      <c r="R1948" s="53" t="str">
        <f t="shared" si="132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73">
        <f t="shared" si="133"/>
        <v>19</v>
      </c>
      <c r="Z1948" s="18">
        <v>46167</v>
      </c>
      <c r="AA1948" s="15"/>
      <c r="AB1948" s="15"/>
      <c r="AF1948" t="str">
        <f t="shared" si="134"/>
        <v>Closed in May</v>
      </c>
    </row>
    <row r="1949" spans="1:32" hidden="1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131"/>
        <v>23</v>
      </c>
      <c r="R1949" s="53" t="str">
        <f t="shared" si="132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73">
        <f t="shared" si="133"/>
        <v>19</v>
      </c>
      <c r="Z1949" s="18">
        <v>46167</v>
      </c>
      <c r="AA1949" s="15"/>
      <c r="AB1949" s="15"/>
      <c r="AF1949" t="str">
        <f t="shared" si="134"/>
        <v>Closed in May</v>
      </c>
    </row>
    <row r="1950" spans="1:32" hidden="1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131"/>
        <v>23</v>
      </c>
      <c r="R1950" s="53" t="str">
        <f t="shared" si="132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73">
        <f t="shared" si="133"/>
        <v>19</v>
      </c>
      <c r="Z1950" s="18">
        <v>46167</v>
      </c>
      <c r="AA1950" s="15"/>
      <c r="AB1950" s="15"/>
      <c r="AF1950" t="str">
        <f t="shared" si="134"/>
        <v>Closed in May</v>
      </c>
    </row>
    <row r="1951" spans="1:32" hidden="1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131"/>
        <v>23</v>
      </c>
      <c r="R1951" s="53" t="str">
        <f t="shared" si="132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73">
        <f t="shared" si="133"/>
        <v>19</v>
      </c>
      <c r="Z1951" s="18">
        <v>46167</v>
      </c>
      <c r="AA1951" s="15"/>
      <c r="AB1951" s="15"/>
      <c r="AF1951" t="str">
        <f t="shared" si="134"/>
        <v>Closed in May</v>
      </c>
    </row>
    <row r="1952" spans="1:32" hidden="1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131"/>
        <v>23</v>
      </c>
      <c r="R1952" s="53" t="str">
        <f t="shared" si="132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73">
        <f t="shared" si="133"/>
        <v>19</v>
      </c>
      <c r="Z1952" s="18">
        <v>46167</v>
      </c>
      <c r="AA1952" s="15"/>
      <c r="AB1952" s="15"/>
      <c r="AF1952" t="str">
        <f t="shared" si="134"/>
        <v>Closed in May</v>
      </c>
    </row>
    <row r="1953" spans="1:32" hidden="1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131"/>
        <v>23</v>
      </c>
      <c r="R1953" s="53" t="str">
        <f t="shared" si="132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73">
        <f t="shared" si="133"/>
        <v>19</v>
      </c>
      <c r="Z1953" s="18">
        <v>46167</v>
      </c>
      <c r="AA1953" s="15"/>
      <c r="AB1953" s="15"/>
      <c r="AF1953" t="str">
        <f t="shared" si="134"/>
        <v>Closed in May</v>
      </c>
    </row>
    <row r="1954" spans="1:32" hidden="1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131"/>
        <v>23</v>
      </c>
      <c r="R1954" s="53" t="str">
        <f t="shared" si="132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73">
        <f t="shared" si="133"/>
        <v>19</v>
      </c>
      <c r="Z1954" s="18">
        <v>46167</v>
      </c>
      <c r="AA1954" s="15"/>
      <c r="AB1954" s="15"/>
      <c r="AF1954" t="str">
        <f t="shared" si="134"/>
        <v>Closed in May</v>
      </c>
    </row>
    <row r="1955" spans="1:32" hidden="1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131"/>
        <v>23</v>
      </c>
      <c r="R1955" s="53" t="str">
        <f t="shared" si="132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73">
        <f t="shared" si="133"/>
        <v>19</v>
      </c>
      <c r="Z1955" s="18">
        <v>46167</v>
      </c>
      <c r="AA1955" s="15"/>
      <c r="AB1955" s="15"/>
      <c r="AF1955" t="str">
        <f t="shared" si="134"/>
        <v>Closed in May</v>
      </c>
    </row>
    <row r="1956" spans="1:32" hidden="1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131"/>
        <v>23</v>
      </c>
      <c r="R1956" s="53" t="str">
        <f t="shared" si="132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73">
        <f t="shared" si="133"/>
        <v>19</v>
      </c>
      <c r="Z1956" s="18">
        <v>46167</v>
      </c>
      <c r="AA1956" s="15"/>
      <c r="AB1956" s="15"/>
      <c r="AF1956" t="str">
        <f t="shared" si="134"/>
        <v>Closed in May</v>
      </c>
    </row>
    <row r="1957" spans="1:32" hidden="1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131"/>
        <v>23</v>
      </c>
      <c r="R1957" s="53" t="str">
        <f t="shared" si="132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73">
        <f t="shared" si="133"/>
        <v>19</v>
      </c>
      <c r="Z1957" s="18">
        <v>46167</v>
      </c>
      <c r="AA1957" s="15"/>
      <c r="AB1957" s="15"/>
      <c r="AF1957" t="str">
        <f t="shared" si="134"/>
        <v>Closed in May</v>
      </c>
    </row>
    <row r="1958" spans="1:32" hidden="1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131"/>
        <v>23</v>
      </c>
      <c r="R1958" s="53" t="str">
        <f t="shared" si="132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73">
        <f t="shared" si="133"/>
        <v>19</v>
      </c>
      <c r="Z1958" s="18">
        <v>46167</v>
      </c>
      <c r="AA1958" s="15"/>
      <c r="AB1958" s="15"/>
      <c r="AF1958" t="str">
        <f t="shared" si="134"/>
        <v>Closed in May</v>
      </c>
    </row>
    <row r="1959" spans="1:32" hidden="1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135">MID(P1959,5,2)</f>
        <v>23</v>
      </c>
      <c r="R1959" s="53" t="str">
        <f t="shared" ref="R1959:R2022" si="13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73">
        <f t="shared" si="133"/>
        <v>19</v>
      </c>
      <c r="Z1959" s="18">
        <v>46167</v>
      </c>
      <c r="AA1959" s="15"/>
      <c r="AB1959" s="15"/>
      <c r="AF1959" t="str">
        <f t="shared" si="134"/>
        <v>Closed in May</v>
      </c>
    </row>
    <row r="1960" spans="1:32" hidden="1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135"/>
        <v>23</v>
      </c>
      <c r="R1960" s="53" t="str">
        <f t="shared" si="13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73">
        <f t="shared" si="133"/>
        <v>19</v>
      </c>
      <c r="Z1960" s="18">
        <v>46167</v>
      </c>
      <c r="AA1960" s="15"/>
      <c r="AB1960" s="15"/>
      <c r="AF1960" t="str">
        <f t="shared" si="134"/>
        <v>Closed in May</v>
      </c>
    </row>
    <row r="1961" spans="1:32" hidden="1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135"/>
        <v>23</v>
      </c>
      <c r="R1961" s="53" t="str">
        <f t="shared" si="13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73">
        <f t="shared" si="133"/>
        <v>19</v>
      </c>
      <c r="Z1961" s="18">
        <v>46167</v>
      </c>
      <c r="AA1961" s="15"/>
      <c r="AB1961" s="15"/>
      <c r="AF1961" t="str">
        <f t="shared" si="134"/>
        <v>Closed in May</v>
      </c>
    </row>
    <row r="1962" spans="1:32" hidden="1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135"/>
        <v>23</v>
      </c>
      <c r="R1962" s="53" t="str">
        <f t="shared" si="13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73">
        <f t="shared" si="133"/>
        <v>19</v>
      </c>
      <c r="Z1962" s="18">
        <v>46167</v>
      </c>
      <c r="AA1962" s="15"/>
      <c r="AB1962" s="15"/>
      <c r="AF1962" t="str">
        <f t="shared" si="134"/>
        <v>Closed in May</v>
      </c>
    </row>
    <row r="1963" spans="1:32" hidden="1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135"/>
        <v>23</v>
      </c>
      <c r="R1963" s="53" t="str">
        <f t="shared" si="13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73">
        <f t="shared" si="133"/>
        <v>19</v>
      </c>
      <c r="Z1963" s="18">
        <v>46167</v>
      </c>
      <c r="AA1963" s="15"/>
      <c r="AB1963" s="15"/>
      <c r="AF1963" t="str">
        <f t="shared" si="134"/>
        <v>Closed in May</v>
      </c>
    </row>
    <row r="1964" spans="1:32" hidden="1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135"/>
        <v>23</v>
      </c>
      <c r="R1964" s="53" t="str">
        <f t="shared" si="13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73">
        <f t="shared" si="133"/>
        <v>19</v>
      </c>
      <c r="Z1964" s="18">
        <v>46167</v>
      </c>
      <c r="AA1964" s="15"/>
      <c r="AB1964" s="15"/>
      <c r="AF1964" t="str">
        <f t="shared" si="134"/>
        <v>Closed in May</v>
      </c>
    </row>
    <row r="1965" spans="1:32" hidden="1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135"/>
        <v>23</v>
      </c>
      <c r="R1965" s="53" t="str">
        <f t="shared" si="13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73">
        <f t="shared" si="133"/>
        <v>19</v>
      </c>
      <c r="Z1965" s="18">
        <v>46167</v>
      </c>
      <c r="AA1965" s="15"/>
      <c r="AB1965" s="15"/>
      <c r="AF1965" t="str">
        <f t="shared" si="134"/>
        <v>Closed in May</v>
      </c>
    </row>
    <row r="1966" spans="1:32" hidden="1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135"/>
        <v>23</v>
      </c>
      <c r="R1966" s="53" t="str">
        <f t="shared" si="13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73">
        <f t="shared" si="133"/>
        <v>19</v>
      </c>
      <c r="Z1966" s="18">
        <v>46167</v>
      </c>
      <c r="AA1966" s="15"/>
      <c r="AB1966" s="15"/>
      <c r="AF1966" t="str">
        <f t="shared" si="134"/>
        <v>Closed in May</v>
      </c>
    </row>
    <row r="1967" spans="1:32" hidden="1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135"/>
        <v>23</v>
      </c>
      <c r="R1967" s="53" t="str">
        <f t="shared" si="13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73">
        <f t="shared" si="133"/>
        <v>19</v>
      </c>
      <c r="Z1967" s="18">
        <v>46167</v>
      </c>
      <c r="AA1967" s="15"/>
      <c r="AB1967" s="15"/>
      <c r="AF1967" t="str">
        <f t="shared" si="134"/>
        <v>Closed in May</v>
      </c>
    </row>
    <row r="1968" spans="1:32" hidden="1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135"/>
        <v>23</v>
      </c>
      <c r="R1968" s="53" t="str">
        <f t="shared" si="13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73">
        <f t="shared" si="133"/>
        <v>19</v>
      </c>
      <c r="Z1968" s="18">
        <v>46167</v>
      </c>
      <c r="AA1968" s="15"/>
      <c r="AB1968" s="15"/>
      <c r="AF1968" t="str">
        <f t="shared" si="134"/>
        <v>Closed in May</v>
      </c>
    </row>
    <row r="1969" spans="1:32" hidden="1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135"/>
        <v>23</v>
      </c>
      <c r="R1969" s="53" t="str">
        <f t="shared" si="13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73">
        <f t="shared" si="133"/>
        <v>19</v>
      </c>
      <c r="Z1969" s="18">
        <v>46167</v>
      </c>
      <c r="AA1969" s="15"/>
      <c r="AB1969" s="15"/>
      <c r="AF1969" t="str">
        <f t="shared" si="134"/>
        <v>Closed in May</v>
      </c>
    </row>
    <row r="1970" spans="1:32" hidden="1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135"/>
        <v>23</v>
      </c>
      <c r="R1970" s="53" t="str">
        <f t="shared" si="13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73">
        <f t="shared" si="133"/>
        <v>19</v>
      </c>
      <c r="Z1970" s="18">
        <v>46167</v>
      </c>
      <c r="AA1970" s="15"/>
      <c r="AB1970" s="15"/>
      <c r="AF1970" t="str">
        <f t="shared" si="134"/>
        <v>Closed in May</v>
      </c>
    </row>
    <row r="1971" spans="1:32" hidden="1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135"/>
        <v>23</v>
      </c>
      <c r="R1971" s="53" t="str">
        <f t="shared" si="13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73">
        <f t="shared" si="133"/>
        <v>19</v>
      </c>
      <c r="Z1971" s="18">
        <v>46167</v>
      </c>
      <c r="AA1971" s="15"/>
      <c r="AB1971" s="15"/>
      <c r="AF1971" t="str">
        <f t="shared" si="134"/>
        <v>Closed in May</v>
      </c>
    </row>
    <row r="1972" spans="1:32" hidden="1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135"/>
        <v>23</v>
      </c>
      <c r="R1972" s="53" t="str">
        <f t="shared" si="13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73">
        <f t="shared" si="133"/>
        <v>19</v>
      </c>
      <c r="Z1972" s="18">
        <v>46167</v>
      </c>
      <c r="AA1972" s="15"/>
      <c r="AB1972" s="15"/>
      <c r="AF1972" t="str">
        <f t="shared" si="134"/>
        <v>Closed in May</v>
      </c>
    </row>
    <row r="1973" spans="1:32" hidden="1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135"/>
        <v>23</v>
      </c>
      <c r="R1973" s="53" t="str">
        <f t="shared" si="13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73">
        <f t="shared" si="133"/>
        <v>19</v>
      </c>
      <c r="Z1973" s="18">
        <v>46167</v>
      </c>
      <c r="AA1973" s="15"/>
      <c r="AB1973" s="15"/>
      <c r="AF1973" t="str">
        <f t="shared" si="134"/>
        <v>Closed in May</v>
      </c>
    </row>
    <row r="1974" spans="1:32" hidden="1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135"/>
        <v>23</v>
      </c>
      <c r="R1974" s="53" t="str">
        <f t="shared" si="13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73">
        <f t="shared" si="133"/>
        <v>19</v>
      </c>
      <c r="Z1974" s="18">
        <v>46167</v>
      </c>
      <c r="AA1974" s="15"/>
      <c r="AB1974" s="15"/>
      <c r="AF1974" t="str">
        <f t="shared" si="134"/>
        <v>Closed in May</v>
      </c>
    </row>
    <row r="1975" spans="1:32" hidden="1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135"/>
        <v>23</v>
      </c>
      <c r="R1975" s="53" t="str">
        <f t="shared" si="13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73">
        <f t="shared" si="133"/>
        <v>19</v>
      </c>
      <c r="Z1975" s="18">
        <v>46167</v>
      </c>
      <c r="AA1975" s="15"/>
      <c r="AB1975" s="15"/>
      <c r="AF1975" t="str">
        <f t="shared" si="134"/>
        <v>Closed in May</v>
      </c>
    </row>
    <row r="1976" spans="1:32" hidden="1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135"/>
        <v>23</v>
      </c>
      <c r="R1976" s="53" t="str">
        <f t="shared" si="13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73">
        <f t="shared" si="133"/>
        <v>19</v>
      </c>
      <c r="Z1976" s="18">
        <v>46167</v>
      </c>
      <c r="AA1976" s="15"/>
      <c r="AB1976" s="15"/>
      <c r="AF1976" t="str">
        <f t="shared" si="134"/>
        <v>Closed in May</v>
      </c>
    </row>
    <row r="1977" spans="1:32" hidden="1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135"/>
        <v>23</v>
      </c>
      <c r="R1977" s="53" t="str">
        <f t="shared" si="13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73">
        <f t="shared" si="133"/>
        <v>19</v>
      </c>
      <c r="Z1977" s="18">
        <v>46167</v>
      </c>
      <c r="AA1977" s="15"/>
      <c r="AB1977" s="15"/>
      <c r="AF1977" t="str">
        <f t="shared" si="134"/>
        <v>Closed in May</v>
      </c>
    </row>
    <row r="1978" spans="1:32" hidden="1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135"/>
        <v>23</v>
      </c>
      <c r="R1978" s="53" t="str">
        <f t="shared" si="13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73">
        <f t="shared" si="133"/>
        <v>19</v>
      </c>
      <c r="Z1978" s="18">
        <v>46167</v>
      </c>
      <c r="AA1978" s="15"/>
      <c r="AB1978" s="15"/>
      <c r="AF1978" t="str">
        <f t="shared" si="134"/>
        <v>Closed in May</v>
      </c>
    </row>
    <row r="1979" spans="1:32" hidden="1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135"/>
        <v>23</v>
      </c>
      <c r="R1979" s="53" t="str">
        <f t="shared" si="13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73">
        <f t="shared" si="133"/>
        <v>19</v>
      </c>
      <c r="Z1979" s="18">
        <v>46167</v>
      </c>
      <c r="AA1979" s="15"/>
      <c r="AB1979" s="15"/>
      <c r="AF1979" t="str">
        <f t="shared" si="134"/>
        <v>Closed in May</v>
      </c>
    </row>
    <row r="1980" spans="1:32" hidden="1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135"/>
        <v>23</v>
      </c>
      <c r="R1980" s="53" t="str">
        <f t="shared" si="13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73">
        <f t="shared" si="133"/>
        <v>19</v>
      </c>
      <c r="Z1980" s="18">
        <v>46167</v>
      </c>
      <c r="AA1980" s="15"/>
      <c r="AB1980" s="15"/>
      <c r="AF1980" t="str">
        <f t="shared" si="134"/>
        <v>Closed in May</v>
      </c>
    </row>
    <row r="1981" spans="1:32" hidden="1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135"/>
        <v>23</v>
      </c>
      <c r="R1981" s="53" t="str">
        <f t="shared" si="13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73">
        <f t="shared" si="133"/>
        <v>19</v>
      </c>
      <c r="Z1981" s="18">
        <v>46167</v>
      </c>
      <c r="AA1981" s="15"/>
      <c r="AB1981" s="15"/>
      <c r="AF1981" t="str">
        <f t="shared" si="134"/>
        <v>Closed in May</v>
      </c>
    </row>
    <row r="1982" spans="1:32" hidden="1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135"/>
        <v>23</v>
      </c>
      <c r="R1982" s="53" t="str">
        <f t="shared" si="13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73">
        <f t="shared" si="133"/>
        <v>19</v>
      </c>
      <c r="Z1982" s="18">
        <v>46167</v>
      </c>
      <c r="AA1982" s="15"/>
      <c r="AB1982" s="15"/>
      <c r="AF1982" t="str">
        <f t="shared" si="134"/>
        <v>Closed in May</v>
      </c>
    </row>
    <row r="1983" spans="1:32" hidden="1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135"/>
        <v>23</v>
      </c>
      <c r="R1983" s="53" t="str">
        <f t="shared" si="13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73">
        <f t="shared" si="133"/>
        <v>19</v>
      </c>
      <c r="Z1983" s="18">
        <v>46167</v>
      </c>
      <c r="AA1983" s="15"/>
      <c r="AB1983" s="15"/>
      <c r="AF1983" t="str">
        <f t="shared" si="134"/>
        <v>Closed in May</v>
      </c>
    </row>
    <row r="1984" spans="1:32" hidden="1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135"/>
        <v>23</v>
      </c>
      <c r="R1984" s="53" t="str">
        <f t="shared" si="13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73">
        <f t="shared" si="133"/>
        <v>19</v>
      </c>
      <c r="Z1984" s="18">
        <v>46167</v>
      </c>
      <c r="AA1984" s="15"/>
      <c r="AB1984" s="15"/>
      <c r="AF1984" t="str">
        <f t="shared" si="134"/>
        <v>Closed in May</v>
      </c>
    </row>
    <row r="1985" spans="1:32" hidden="1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135"/>
        <v>23</v>
      </c>
      <c r="R1985" s="53" t="str">
        <f t="shared" si="13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73">
        <f t="shared" si="133"/>
        <v>19</v>
      </c>
      <c r="Z1985" s="18">
        <v>46167</v>
      </c>
      <c r="AA1985" s="15"/>
      <c r="AB1985" s="15"/>
      <c r="AF1985" t="str">
        <f t="shared" si="134"/>
        <v>Closed in May</v>
      </c>
    </row>
    <row r="1986" spans="1:32" hidden="1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135"/>
        <v>23</v>
      </c>
      <c r="R1986" s="53" t="str">
        <f t="shared" si="13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73">
        <f t="shared" ref="Y1986:Y2049" si="137">IF(X1986="","",X1986-A1986)</f>
        <v>19</v>
      </c>
      <c r="Z1986" s="18">
        <v>46167</v>
      </c>
      <c r="AA1986" s="15"/>
      <c r="AB1986" s="15"/>
      <c r="AF1986" t="str">
        <f t="shared" ref="AF1986:AF2049" si="138">IF(AND($F1986="Closed",$X1986&gt;=DATE(2026,5,1),$X1986&lt;=DATE(2026,5,31)),"Closed in May","Other")</f>
        <v>Closed in May</v>
      </c>
    </row>
    <row r="1987" spans="1:32" hidden="1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135"/>
        <v>23</v>
      </c>
      <c r="R1987" s="53" t="str">
        <f t="shared" si="13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73">
        <f t="shared" si="137"/>
        <v>19</v>
      </c>
      <c r="Z1987" s="18">
        <v>46167</v>
      </c>
      <c r="AA1987" s="15"/>
      <c r="AB1987" s="15"/>
      <c r="AF1987" t="str">
        <f t="shared" si="138"/>
        <v>Closed in May</v>
      </c>
    </row>
    <row r="1988" spans="1:32" hidden="1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135"/>
        <v>23</v>
      </c>
      <c r="R1988" s="53" t="str">
        <f t="shared" si="13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73">
        <f t="shared" si="137"/>
        <v>19</v>
      </c>
      <c r="Z1988" s="18">
        <v>46167</v>
      </c>
      <c r="AA1988" s="15"/>
      <c r="AB1988" s="15"/>
      <c r="AF1988" t="str">
        <f t="shared" si="138"/>
        <v>Closed in May</v>
      </c>
    </row>
    <row r="1989" spans="1:32" hidden="1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135"/>
        <v>23</v>
      </c>
      <c r="R1989" s="53" t="str">
        <f t="shared" si="13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73">
        <f t="shared" si="137"/>
        <v>19</v>
      </c>
      <c r="Z1989" s="18">
        <v>46167</v>
      </c>
      <c r="AA1989" s="15"/>
      <c r="AB1989" s="15"/>
      <c r="AF1989" t="str">
        <f t="shared" si="138"/>
        <v>Closed in May</v>
      </c>
    </row>
    <row r="1990" spans="1:32" hidden="1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135"/>
        <v>23</v>
      </c>
      <c r="R1990" s="53" t="str">
        <f t="shared" si="13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73">
        <f t="shared" si="137"/>
        <v>19</v>
      </c>
      <c r="Z1990" s="18">
        <v>46167</v>
      </c>
      <c r="AA1990" s="15"/>
      <c r="AB1990" s="15"/>
      <c r="AF1990" t="str">
        <f t="shared" si="138"/>
        <v>Closed in May</v>
      </c>
    </row>
    <row r="1991" spans="1:32" hidden="1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135"/>
        <v>23</v>
      </c>
      <c r="R1991" s="53" t="str">
        <f t="shared" si="13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73">
        <f t="shared" si="137"/>
        <v>19</v>
      </c>
      <c r="Z1991" s="18">
        <v>46167</v>
      </c>
      <c r="AA1991" s="15"/>
      <c r="AB1991" s="15"/>
      <c r="AF1991" t="str">
        <f t="shared" si="138"/>
        <v>Closed in May</v>
      </c>
    </row>
    <row r="1992" spans="1:32" hidden="1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135"/>
        <v>23</v>
      </c>
      <c r="R1992" s="53" t="str">
        <f t="shared" si="13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73">
        <f t="shared" si="137"/>
        <v>19</v>
      </c>
      <c r="Z1992" s="18">
        <v>46167</v>
      </c>
      <c r="AA1992" s="15"/>
      <c r="AB1992" s="15"/>
      <c r="AF1992" t="str">
        <f t="shared" si="138"/>
        <v>Closed in May</v>
      </c>
    </row>
    <row r="1993" spans="1:32" hidden="1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135"/>
        <v>23</v>
      </c>
      <c r="R1993" s="53" t="str">
        <f t="shared" si="13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73">
        <f t="shared" si="137"/>
        <v>19</v>
      </c>
      <c r="Z1993" s="18">
        <v>46167</v>
      </c>
      <c r="AA1993" s="15"/>
      <c r="AB1993" s="15"/>
      <c r="AF1993" t="str">
        <f t="shared" si="138"/>
        <v>Closed in May</v>
      </c>
    </row>
    <row r="1994" spans="1:32" hidden="1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135"/>
        <v>23</v>
      </c>
      <c r="R1994" s="53" t="str">
        <f t="shared" si="13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73">
        <f t="shared" si="137"/>
        <v>19</v>
      </c>
      <c r="Z1994" s="18">
        <v>46167</v>
      </c>
      <c r="AA1994" s="15"/>
      <c r="AB1994" s="15"/>
      <c r="AF1994" t="str">
        <f t="shared" si="138"/>
        <v>Closed in May</v>
      </c>
    </row>
    <row r="1995" spans="1:32" hidden="1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135"/>
        <v>23</v>
      </c>
      <c r="R1995" s="53" t="str">
        <f t="shared" si="13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73">
        <f t="shared" si="137"/>
        <v>19</v>
      </c>
      <c r="Z1995" s="18">
        <v>46167</v>
      </c>
      <c r="AA1995" s="15"/>
      <c r="AB1995" s="15"/>
      <c r="AF1995" t="str">
        <f t="shared" si="138"/>
        <v>Closed in May</v>
      </c>
    </row>
    <row r="1996" spans="1:32" hidden="1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135"/>
        <v>23</v>
      </c>
      <c r="R1996" s="53" t="str">
        <f t="shared" si="13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73">
        <f t="shared" si="137"/>
        <v>19</v>
      </c>
      <c r="Z1996" s="18">
        <v>46167</v>
      </c>
      <c r="AA1996" s="15"/>
      <c r="AB1996" s="15"/>
      <c r="AF1996" t="str">
        <f t="shared" si="138"/>
        <v>Closed in May</v>
      </c>
    </row>
    <row r="1997" spans="1:32" hidden="1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135"/>
        <v>23</v>
      </c>
      <c r="R1997" s="53" t="str">
        <f t="shared" si="13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73">
        <f t="shared" si="137"/>
        <v>19</v>
      </c>
      <c r="Z1997" s="18">
        <v>46167</v>
      </c>
      <c r="AA1997" s="15"/>
      <c r="AB1997" s="15"/>
      <c r="AF1997" t="str">
        <f t="shared" si="138"/>
        <v>Closed in May</v>
      </c>
    </row>
    <row r="1998" spans="1:32" hidden="1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135"/>
        <v>23</v>
      </c>
      <c r="R1998" s="53" t="str">
        <f t="shared" si="13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73">
        <f t="shared" si="137"/>
        <v>19</v>
      </c>
      <c r="Z1998" s="18">
        <v>46167</v>
      </c>
      <c r="AA1998" s="15"/>
      <c r="AB1998" s="15"/>
      <c r="AF1998" t="str">
        <f t="shared" si="138"/>
        <v>Closed in May</v>
      </c>
    </row>
    <row r="1999" spans="1:32" hidden="1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135"/>
        <v>23</v>
      </c>
      <c r="R1999" s="53" t="str">
        <f t="shared" si="13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73">
        <f t="shared" si="137"/>
        <v>19</v>
      </c>
      <c r="Z1999" s="18">
        <v>46167</v>
      </c>
      <c r="AA1999" s="15"/>
      <c r="AB1999" s="15"/>
      <c r="AF1999" t="str">
        <f t="shared" si="138"/>
        <v>Closed in May</v>
      </c>
    </row>
    <row r="2000" spans="1:32" hidden="1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135"/>
        <v>23</v>
      </c>
      <c r="R2000" s="53" t="str">
        <f t="shared" si="13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73">
        <f t="shared" si="137"/>
        <v>19</v>
      </c>
      <c r="Z2000" s="18">
        <v>46167</v>
      </c>
      <c r="AA2000" s="15"/>
      <c r="AB2000" s="15"/>
      <c r="AF2000" t="str">
        <f t="shared" si="138"/>
        <v>Closed in May</v>
      </c>
    </row>
    <row r="2001" spans="1:32" hidden="1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135"/>
        <v>23</v>
      </c>
      <c r="R2001" s="53" t="str">
        <f t="shared" si="13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73">
        <f t="shared" si="137"/>
        <v>19</v>
      </c>
      <c r="Z2001" s="18">
        <v>46167</v>
      </c>
      <c r="AA2001" s="15"/>
      <c r="AB2001" s="15"/>
      <c r="AF2001" t="str">
        <f t="shared" si="138"/>
        <v>Closed in May</v>
      </c>
    </row>
    <row r="2002" spans="1:32" hidden="1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135"/>
        <v>23</v>
      </c>
      <c r="R2002" s="53" t="str">
        <f t="shared" si="13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73">
        <f t="shared" si="137"/>
        <v>19</v>
      </c>
      <c r="Z2002" s="18">
        <v>46167</v>
      </c>
      <c r="AA2002" s="15"/>
      <c r="AB2002" s="15"/>
      <c r="AF2002" t="str">
        <f t="shared" si="138"/>
        <v>Closed in May</v>
      </c>
    </row>
    <row r="2003" spans="1:32" hidden="1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135"/>
        <v>23</v>
      </c>
      <c r="R2003" s="53" t="str">
        <f t="shared" si="13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73">
        <f t="shared" si="137"/>
        <v>19</v>
      </c>
      <c r="Z2003" s="18">
        <v>46167</v>
      </c>
      <c r="AA2003" s="15"/>
      <c r="AB2003" s="15"/>
      <c r="AF2003" t="str">
        <f t="shared" si="138"/>
        <v>Closed in May</v>
      </c>
    </row>
    <row r="2004" spans="1:32" hidden="1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135"/>
        <v>23</v>
      </c>
      <c r="R2004" s="53" t="str">
        <f t="shared" si="13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73">
        <f t="shared" si="137"/>
        <v>19</v>
      </c>
      <c r="Z2004" s="18">
        <v>46167</v>
      </c>
      <c r="AA2004" s="15"/>
      <c r="AB2004" s="15"/>
      <c r="AF2004" t="str">
        <f t="shared" si="138"/>
        <v>Closed in May</v>
      </c>
    </row>
    <row r="2005" spans="1:32" hidden="1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135"/>
        <v>23</v>
      </c>
      <c r="R2005" s="53" t="str">
        <f t="shared" si="13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73">
        <f t="shared" si="137"/>
        <v>19</v>
      </c>
      <c r="Z2005" s="18">
        <v>46167</v>
      </c>
      <c r="AA2005" s="15"/>
      <c r="AB2005" s="15"/>
      <c r="AF2005" t="str">
        <f t="shared" si="138"/>
        <v>Closed in May</v>
      </c>
    </row>
    <row r="2006" spans="1:32" hidden="1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135"/>
        <v>23</v>
      </c>
      <c r="R2006" s="53" t="str">
        <f t="shared" si="13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73">
        <f t="shared" si="137"/>
        <v>19</v>
      </c>
      <c r="Z2006" s="18">
        <v>46167</v>
      </c>
      <c r="AA2006" s="15"/>
      <c r="AB2006" s="15"/>
      <c r="AF2006" t="str">
        <f t="shared" si="138"/>
        <v>Closed in May</v>
      </c>
    </row>
    <row r="2007" spans="1:32" hidden="1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135"/>
        <v>23</v>
      </c>
      <c r="R2007" s="53" t="str">
        <f t="shared" si="13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73">
        <f t="shared" si="137"/>
        <v>19</v>
      </c>
      <c r="Z2007" s="18">
        <v>46167</v>
      </c>
      <c r="AA2007" s="15"/>
      <c r="AB2007" s="15"/>
      <c r="AF2007" t="str">
        <f t="shared" si="138"/>
        <v>Closed in May</v>
      </c>
    </row>
    <row r="2008" spans="1:32" hidden="1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135"/>
        <v>23</v>
      </c>
      <c r="R2008" s="53" t="str">
        <f t="shared" si="13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73">
        <f t="shared" si="137"/>
        <v>19</v>
      </c>
      <c r="Z2008" s="18">
        <v>46167</v>
      </c>
      <c r="AA2008" s="15"/>
      <c r="AB2008" s="15"/>
      <c r="AF2008" t="str">
        <f t="shared" si="138"/>
        <v>Closed in May</v>
      </c>
    </row>
    <row r="2009" spans="1:32" hidden="1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135"/>
        <v>23</v>
      </c>
      <c r="R2009" s="53" t="str">
        <f t="shared" si="13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73">
        <f t="shared" si="137"/>
        <v>19</v>
      </c>
      <c r="Z2009" s="18">
        <v>46167</v>
      </c>
      <c r="AA2009" s="15"/>
      <c r="AB2009" s="15"/>
      <c r="AF2009" t="str">
        <f t="shared" si="138"/>
        <v>Closed in May</v>
      </c>
    </row>
    <row r="2010" spans="1:32" hidden="1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135"/>
        <v>23</v>
      </c>
      <c r="R2010" s="53" t="str">
        <f t="shared" si="13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73">
        <f t="shared" si="137"/>
        <v>19</v>
      </c>
      <c r="Z2010" s="18">
        <v>46167</v>
      </c>
      <c r="AA2010" s="15"/>
      <c r="AB2010" s="15"/>
      <c r="AF2010" t="str">
        <f t="shared" si="138"/>
        <v>Closed in May</v>
      </c>
    </row>
    <row r="2011" spans="1:32" hidden="1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135"/>
        <v>22</v>
      </c>
      <c r="R2011" s="77" t="str">
        <f t="shared" si="13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137"/>
        <v>2</v>
      </c>
      <c r="Z2011" s="85">
        <v>46167</v>
      </c>
      <c r="AA2011" s="86"/>
      <c r="AB2011" s="86"/>
      <c r="AF2011" t="str">
        <f t="shared" si="138"/>
        <v>Closed in May</v>
      </c>
    </row>
    <row r="2012" spans="1:32" hidden="1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135"/>
        <v>22</v>
      </c>
      <c r="R2012" s="53" t="str">
        <f t="shared" si="13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73">
        <f t="shared" si="137"/>
        <v>2</v>
      </c>
      <c r="Z2012" s="18">
        <v>46167</v>
      </c>
      <c r="AA2012" s="15"/>
      <c r="AB2012" s="15"/>
      <c r="AF2012" t="str">
        <f t="shared" si="138"/>
        <v>Closed in May</v>
      </c>
    </row>
    <row r="2013" spans="1:32" hidden="1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135"/>
        <v>22</v>
      </c>
      <c r="R2013" s="53" t="str">
        <f t="shared" si="13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73">
        <f t="shared" si="137"/>
        <v>2</v>
      </c>
      <c r="Z2013" s="18">
        <v>46167</v>
      </c>
      <c r="AA2013" s="15"/>
      <c r="AB2013" s="15"/>
      <c r="AF2013" t="str">
        <f t="shared" si="138"/>
        <v>Closed in May</v>
      </c>
    </row>
    <row r="2014" spans="1:32" hidden="1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135"/>
        <v>22</v>
      </c>
      <c r="R2014" s="53" t="str">
        <f t="shared" si="13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73">
        <f t="shared" si="137"/>
        <v>2</v>
      </c>
      <c r="Z2014" s="18">
        <v>46167</v>
      </c>
      <c r="AA2014" s="15"/>
      <c r="AB2014" s="15"/>
      <c r="AF2014" t="str">
        <f t="shared" si="138"/>
        <v>Closed in May</v>
      </c>
    </row>
    <row r="2015" spans="1:32" hidden="1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135"/>
        <v>22</v>
      </c>
      <c r="R2015" s="53" t="str">
        <f t="shared" si="13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73">
        <f t="shared" si="137"/>
        <v>2</v>
      </c>
      <c r="Z2015" s="18">
        <v>46167</v>
      </c>
      <c r="AA2015" s="15"/>
      <c r="AB2015" s="15"/>
      <c r="AF2015" t="str">
        <f t="shared" si="138"/>
        <v>Closed in May</v>
      </c>
    </row>
    <row r="2016" spans="1:32" hidden="1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135"/>
        <v>24</v>
      </c>
      <c r="R2016" s="53" t="str">
        <f t="shared" si="13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73">
        <f t="shared" si="137"/>
        <v>24</v>
      </c>
      <c r="Z2016" s="18">
        <v>46167</v>
      </c>
      <c r="AA2016" s="15"/>
      <c r="AB2016" s="15"/>
      <c r="AF2016" t="str">
        <f t="shared" si="138"/>
        <v>Closed in May</v>
      </c>
    </row>
    <row r="2017" spans="1:32" hidden="1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135"/>
        <v>24</v>
      </c>
      <c r="R2017" s="53" t="str">
        <f t="shared" si="13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73">
        <f t="shared" si="137"/>
        <v>24</v>
      </c>
      <c r="Z2017" s="18">
        <v>46167</v>
      </c>
      <c r="AA2017" s="15"/>
      <c r="AB2017" s="15"/>
      <c r="AF2017" t="str">
        <f t="shared" si="138"/>
        <v>Closed in May</v>
      </c>
    </row>
    <row r="2018" spans="1:32" hidden="1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135"/>
        <v>24</v>
      </c>
      <c r="R2018" s="53" t="str">
        <f t="shared" si="13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73">
        <f t="shared" si="137"/>
        <v>24</v>
      </c>
      <c r="Z2018" s="18">
        <v>46167</v>
      </c>
      <c r="AA2018" s="15"/>
      <c r="AB2018" s="15"/>
      <c r="AF2018" t="str">
        <f t="shared" si="138"/>
        <v>Closed in May</v>
      </c>
    </row>
    <row r="2019" spans="1:32" hidden="1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135"/>
        <v>24</v>
      </c>
      <c r="R2019" s="53" t="str">
        <f t="shared" si="13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73">
        <f t="shared" si="137"/>
        <v>24</v>
      </c>
      <c r="Z2019" s="18">
        <v>46167</v>
      </c>
      <c r="AA2019" s="15"/>
      <c r="AB2019" s="15"/>
      <c r="AF2019" t="str">
        <f t="shared" si="138"/>
        <v>Closed in May</v>
      </c>
    </row>
    <row r="2020" spans="1:32" hidden="1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135"/>
        <v>24</v>
      </c>
      <c r="R2020" s="53" t="str">
        <f t="shared" si="13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73">
        <f t="shared" si="137"/>
        <v>24</v>
      </c>
      <c r="Z2020" s="18">
        <v>46167</v>
      </c>
      <c r="AA2020" s="15"/>
      <c r="AB2020" s="15"/>
      <c r="AF2020" t="str">
        <f t="shared" si="138"/>
        <v>Closed in May</v>
      </c>
    </row>
    <row r="2021" spans="1:32" hidden="1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135"/>
        <v>24</v>
      </c>
      <c r="R2021" s="53" t="str">
        <f t="shared" si="13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73">
        <f t="shared" si="137"/>
        <v>24</v>
      </c>
      <c r="Z2021" s="18">
        <v>46167</v>
      </c>
      <c r="AA2021" s="15"/>
      <c r="AB2021" s="15"/>
      <c r="AF2021" t="str">
        <f t="shared" si="138"/>
        <v>Closed in May</v>
      </c>
    </row>
    <row r="2022" spans="1:32" hidden="1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135"/>
        <v>24</v>
      </c>
      <c r="R2022" s="53" t="str">
        <f t="shared" si="13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73">
        <f t="shared" si="137"/>
        <v>24</v>
      </c>
      <c r="Z2022" s="18">
        <v>46167</v>
      </c>
      <c r="AA2022" s="15"/>
      <c r="AB2022" s="15"/>
      <c r="AF2022" t="str">
        <f t="shared" si="138"/>
        <v>Closed in May</v>
      </c>
    </row>
    <row r="2023" spans="1:32" hidden="1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139">MID(P2023,5,2)</f>
        <v>24</v>
      </c>
      <c r="R2023" s="53" t="str">
        <f t="shared" ref="R2023:R2086" si="140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73">
        <f t="shared" si="137"/>
        <v>24</v>
      </c>
      <c r="Z2023" s="18">
        <v>46167</v>
      </c>
      <c r="AA2023" s="15"/>
      <c r="AB2023" s="15"/>
      <c r="AF2023" t="str">
        <f t="shared" si="138"/>
        <v>Closed in May</v>
      </c>
    </row>
    <row r="2024" spans="1:32" hidden="1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139"/>
        <v>24</v>
      </c>
      <c r="R2024" s="53" t="str">
        <f t="shared" si="140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73">
        <f t="shared" si="137"/>
        <v>24</v>
      </c>
      <c r="Z2024" s="18">
        <v>46167</v>
      </c>
      <c r="AA2024" s="15"/>
      <c r="AB2024" s="15"/>
      <c r="AF2024" t="str">
        <f t="shared" si="138"/>
        <v>Closed in May</v>
      </c>
    </row>
    <row r="2025" spans="1:32" hidden="1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139"/>
        <v>24</v>
      </c>
      <c r="R2025" s="53" t="str">
        <f t="shared" si="140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73">
        <f t="shared" si="137"/>
        <v>24</v>
      </c>
      <c r="Z2025" s="18">
        <v>46167</v>
      </c>
      <c r="AA2025" s="15"/>
      <c r="AB2025" s="15"/>
      <c r="AF2025" t="str">
        <f t="shared" si="138"/>
        <v>Closed in May</v>
      </c>
    </row>
    <row r="2026" spans="1:32" hidden="1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139"/>
        <v>24</v>
      </c>
      <c r="R2026" s="53" t="str">
        <f t="shared" si="140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73">
        <f t="shared" si="137"/>
        <v>24</v>
      </c>
      <c r="Z2026" s="18">
        <v>46167</v>
      </c>
      <c r="AA2026" s="15"/>
      <c r="AB2026" s="15"/>
      <c r="AF2026" t="str">
        <f t="shared" si="138"/>
        <v>Closed in May</v>
      </c>
    </row>
    <row r="2027" spans="1:32" hidden="1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139"/>
        <v>24</v>
      </c>
      <c r="R2027" s="53" t="str">
        <f t="shared" si="140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73">
        <f t="shared" si="137"/>
        <v>24</v>
      </c>
      <c r="Z2027" s="18">
        <v>46167</v>
      </c>
      <c r="AA2027" s="15"/>
      <c r="AB2027" s="15"/>
      <c r="AF2027" t="str">
        <f t="shared" si="138"/>
        <v>Closed in May</v>
      </c>
    </row>
    <row r="2028" spans="1:32" hidden="1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139"/>
        <v>24</v>
      </c>
      <c r="R2028" s="53" t="str">
        <f t="shared" si="140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73">
        <f t="shared" si="137"/>
        <v>24</v>
      </c>
      <c r="Z2028" s="18">
        <v>46167</v>
      </c>
      <c r="AA2028" s="15"/>
      <c r="AB2028" s="15"/>
      <c r="AF2028" t="str">
        <f t="shared" si="138"/>
        <v>Closed in May</v>
      </c>
    </row>
    <row r="2029" spans="1:32" hidden="1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139"/>
        <v>24</v>
      </c>
      <c r="R2029" s="53" t="str">
        <f t="shared" si="140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73">
        <f t="shared" si="137"/>
        <v>24</v>
      </c>
      <c r="Z2029" s="18">
        <v>46167</v>
      </c>
      <c r="AA2029" s="15"/>
      <c r="AB2029" s="15"/>
      <c r="AF2029" t="str">
        <f t="shared" si="138"/>
        <v>Closed in May</v>
      </c>
    </row>
    <row r="2030" spans="1:32" hidden="1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139"/>
        <v>24</v>
      </c>
      <c r="R2030" s="53" t="str">
        <f t="shared" si="140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73">
        <f t="shared" si="137"/>
        <v>24</v>
      </c>
      <c r="Z2030" s="18">
        <v>46167</v>
      </c>
      <c r="AA2030" s="15"/>
      <c r="AB2030" s="15"/>
      <c r="AF2030" t="str">
        <f t="shared" si="138"/>
        <v>Closed in May</v>
      </c>
    </row>
    <row r="2031" spans="1:32" hidden="1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139"/>
        <v>24</v>
      </c>
      <c r="R2031" s="53" t="str">
        <f t="shared" si="140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73">
        <f t="shared" si="137"/>
        <v>24</v>
      </c>
      <c r="Z2031" s="18">
        <v>46167</v>
      </c>
      <c r="AA2031" s="15"/>
      <c r="AB2031" s="15"/>
      <c r="AF2031" t="str">
        <f t="shared" si="138"/>
        <v>Closed in May</v>
      </c>
    </row>
    <row r="2032" spans="1:32" hidden="1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139"/>
        <v>24</v>
      </c>
      <c r="R2032" s="53" t="str">
        <f t="shared" si="140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73">
        <f t="shared" si="137"/>
        <v>24</v>
      </c>
      <c r="Z2032" s="18">
        <v>46167</v>
      </c>
      <c r="AA2032" s="15"/>
      <c r="AB2032" s="15"/>
      <c r="AF2032" t="str">
        <f t="shared" si="138"/>
        <v>Closed in May</v>
      </c>
    </row>
    <row r="2033" spans="1:32" hidden="1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139"/>
        <v>24</v>
      </c>
      <c r="R2033" s="53" t="str">
        <f t="shared" si="140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73">
        <f t="shared" si="137"/>
        <v>24</v>
      </c>
      <c r="Z2033" s="18">
        <v>46167</v>
      </c>
      <c r="AA2033" s="15"/>
      <c r="AB2033" s="15"/>
      <c r="AF2033" t="str">
        <f t="shared" si="138"/>
        <v>Closed in May</v>
      </c>
    </row>
    <row r="2034" spans="1:32" hidden="1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139"/>
        <v>24</v>
      </c>
      <c r="R2034" s="53" t="str">
        <f t="shared" si="140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73">
        <f t="shared" si="137"/>
        <v>24</v>
      </c>
      <c r="Z2034" s="18">
        <v>46167</v>
      </c>
      <c r="AA2034" s="15"/>
      <c r="AB2034" s="15"/>
      <c r="AF2034" t="str">
        <f t="shared" si="138"/>
        <v>Closed in May</v>
      </c>
    </row>
    <row r="2035" spans="1:32" hidden="1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139"/>
        <v>24</v>
      </c>
      <c r="R2035" s="53" t="str">
        <f t="shared" si="140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73">
        <f t="shared" si="137"/>
        <v>24</v>
      </c>
      <c r="Z2035" s="18">
        <v>46167</v>
      </c>
      <c r="AA2035" s="15"/>
      <c r="AB2035" s="15"/>
      <c r="AF2035" t="str">
        <f t="shared" si="138"/>
        <v>Closed in May</v>
      </c>
    </row>
    <row r="2036" spans="1:32" hidden="1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139"/>
        <v>24</v>
      </c>
      <c r="R2036" s="53" t="str">
        <f t="shared" si="140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73">
        <f t="shared" si="137"/>
        <v>24</v>
      </c>
      <c r="Z2036" s="18">
        <v>46167</v>
      </c>
      <c r="AA2036" s="15"/>
      <c r="AB2036" s="15"/>
      <c r="AF2036" t="str">
        <f t="shared" si="138"/>
        <v>Closed in May</v>
      </c>
    </row>
    <row r="2037" spans="1:32" hidden="1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139"/>
        <v>24</v>
      </c>
      <c r="R2037" s="53" t="str">
        <f t="shared" si="140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73">
        <f t="shared" si="137"/>
        <v>24</v>
      </c>
      <c r="Z2037" s="18">
        <v>46167</v>
      </c>
      <c r="AA2037" s="15"/>
      <c r="AB2037" s="15"/>
      <c r="AF2037" t="str">
        <f t="shared" si="138"/>
        <v>Closed in May</v>
      </c>
    </row>
    <row r="2038" spans="1:32" hidden="1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139"/>
        <v>24</v>
      </c>
      <c r="R2038" s="53" t="str">
        <f t="shared" si="140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73">
        <f t="shared" si="137"/>
        <v>24</v>
      </c>
      <c r="Z2038" s="18">
        <v>46167</v>
      </c>
      <c r="AA2038" s="15"/>
      <c r="AB2038" s="15"/>
      <c r="AF2038" t="str">
        <f t="shared" si="138"/>
        <v>Closed in May</v>
      </c>
    </row>
    <row r="2039" spans="1:32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31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139"/>
        <v>24</v>
      </c>
      <c r="R2039" s="53" t="str">
        <f t="shared" si="140"/>
        <v>07</v>
      </c>
      <c r="S2039" s="3" t="s">
        <v>121</v>
      </c>
      <c r="T2039" s="3" t="s">
        <v>122</v>
      </c>
      <c r="U2039" s="19" t="s">
        <v>2255</v>
      </c>
      <c r="V2039" s="15" t="s">
        <v>64</v>
      </c>
      <c r="W2039" s="3" t="s">
        <v>3134</v>
      </c>
      <c r="X2039" s="18"/>
      <c r="Y2039" s="73" t="str">
        <f t="shared" si="137"/>
        <v/>
      </c>
      <c r="Z2039" s="18">
        <v>46167</v>
      </c>
      <c r="AA2039" s="15"/>
      <c r="AB2039" s="15"/>
      <c r="AF2039" t="str">
        <f t="shared" si="138"/>
        <v>Other</v>
      </c>
    </row>
    <row r="2040" spans="1:32" hidden="1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139"/>
        <v>24</v>
      </c>
      <c r="R2040" s="53" t="str">
        <f t="shared" si="140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73">
        <f t="shared" si="137"/>
        <v>24</v>
      </c>
      <c r="Z2040" s="18">
        <v>46167</v>
      </c>
      <c r="AA2040" s="15"/>
      <c r="AB2040" s="15"/>
      <c r="AF2040" t="str">
        <f t="shared" si="138"/>
        <v>Closed in May</v>
      </c>
    </row>
    <row r="2041" spans="1:32" hidden="1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139"/>
        <v>24</v>
      </c>
      <c r="R2041" s="53" t="str">
        <f t="shared" si="140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73">
        <f t="shared" si="137"/>
        <v>24</v>
      </c>
      <c r="Z2041" s="18">
        <v>46167</v>
      </c>
      <c r="AA2041" s="15"/>
      <c r="AB2041" s="15"/>
      <c r="AF2041" t="str">
        <f t="shared" si="138"/>
        <v>Closed in May</v>
      </c>
    </row>
    <row r="2042" spans="1:32" hidden="1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139"/>
        <v>24</v>
      </c>
      <c r="R2042" s="53" t="str">
        <f t="shared" si="140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73">
        <f t="shared" si="137"/>
        <v>24</v>
      </c>
      <c r="Z2042" s="18">
        <v>46167</v>
      </c>
      <c r="AA2042" s="15"/>
      <c r="AB2042" s="15"/>
      <c r="AF2042" t="str">
        <f t="shared" si="138"/>
        <v>Closed in May</v>
      </c>
    </row>
    <row r="2043" spans="1:32" hidden="1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139"/>
        <v>24</v>
      </c>
      <c r="R2043" s="53" t="str">
        <f t="shared" si="140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73">
        <f t="shared" si="137"/>
        <v>24</v>
      </c>
      <c r="Z2043" s="18">
        <v>46167</v>
      </c>
      <c r="AA2043" s="15"/>
      <c r="AB2043" s="15"/>
      <c r="AF2043" t="str">
        <f t="shared" si="138"/>
        <v>Closed in May</v>
      </c>
    </row>
    <row r="2044" spans="1:32" hidden="1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139"/>
        <v>24</v>
      </c>
      <c r="R2044" s="53" t="str">
        <f t="shared" si="140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73">
        <f t="shared" si="137"/>
        <v>24</v>
      </c>
      <c r="Z2044" s="18">
        <v>46167</v>
      </c>
      <c r="AA2044" s="15"/>
      <c r="AB2044" s="15"/>
      <c r="AF2044" t="str">
        <f t="shared" si="138"/>
        <v>Closed in May</v>
      </c>
    </row>
    <row r="2045" spans="1:32" hidden="1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139"/>
        <v>24</v>
      </c>
      <c r="R2045" s="53" t="str">
        <f t="shared" si="140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73">
        <f t="shared" si="137"/>
        <v>24</v>
      </c>
      <c r="Z2045" s="18">
        <v>46167</v>
      </c>
      <c r="AA2045" s="15"/>
      <c r="AB2045" s="15"/>
      <c r="AF2045" t="str">
        <f t="shared" si="138"/>
        <v>Closed in May</v>
      </c>
    </row>
    <row r="2046" spans="1:32" hidden="1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139"/>
        <v>24</v>
      </c>
      <c r="R2046" s="53" t="str">
        <f t="shared" si="140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73">
        <f t="shared" si="137"/>
        <v>24</v>
      </c>
      <c r="Z2046" s="18">
        <v>46167</v>
      </c>
      <c r="AA2046" s="15"/>
      <c r="AB2046" s="15"/>
      <c r="AF2046" t="str">
        <f t="shared" si="138"/>
        <v>Closed in May</v>
      </c>
    </row>
    <row r="2047" spans="1:32" hidden="1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139"/>
        <v>24</v>
      </c>
      <c r="R2047" s="53" t="str">
        <f t="shared" si="140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73">
        <f t="shared" si="137"/>
        <v>24</v>
      </c>
      <c r="Z2047" s="18">
        <v>46167</v>
      </c>
      <c r="AA2047" s="15"/>
      <c r="AB2047" s="15"/>
      <c r="AF2047" t="str">
        <f t="shared" si="138"/>
        <v>Closed in May</v>
      </c>
    </row>
    <row r="2048" spans="1:32" hidden="1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139"/>
        <v>24</v>
      </c>
      <c r="R2048" s="53" t="str">
        <f t="shared" si="140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73">
        <f t="shared" si="137"/>
        <v>24</v>
      </c>
      <c r="Z2048" s="18">
        <v>46167</v>
      </c>
      <c r="AA2048" s="15"/>
      <c r="AB2048" s="15"/>
      <c r="AF2048" t="str">
        <f t="shared" si="138"/>
        <v>Closed in May</v>
      </c>
    </row>
    <row r="2049" spans="1:32" hidden="1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139"/>
        <v>24</v>
      </c>
      <c r="R2049" s="53" t="str">
        <f t="shared" si="140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73">
        <f t="shared" si="137"/>
        <v>24</v>
      </c>
      <c r="Z2049" s="18">
        <v>46167</v>
      </c>
      <c r="AA2049" s="15"/>
      <c r="AB2049" s="15"/>
      <c r="AF2049" t="str">
        <f t="shared" si="138"/>
        <v>Closed in May</v>
      </c>
    </row>
    <row r="2050" spans="1:32" hidden="1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139"/>
        <v>24</v>
      </c>
      <c r="R2050" s="53" t="str">
        <f t="shared" si="140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73">
        <f t="shared" ref="Y2050:Y2113" si="141">IF(X2050="","",X2050-A2050)</f>
        <v>24</v>
      </c>
      <c r="Z2050" s="18">
        <v>46167</v>
      </c>
      <c r="AA2050" s="15"/>
      <c r="AB2050" s="15"/>
      <c r="AF2050" t="str">
        <f t="shared" ref="AF2050:AF2113" si="142">IF(AND($F2050="Closed",$X2050&gt;=DATE(2026,5,1),$X2050&lt;=DATE(2026,5,31)),"Closed in May","Other")</f>
        <v>Closed in May</v>
      </c>
    </row>
    <row r="2051" spans="1:32" hidden="1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139"/>
        <v>24</v>
      </c>
      <c r="R2051" s="53" t="str">
        <f t="shared" si="140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73">
        <f t="shared" si="141"/>
        <v>24</v>
      </c>
      <c r="Z2051" s="18">
        <v>46167</v>
      </c>
      <c r="AA2051" s="15"/>
      <c r="AB2051" s="15"/>
      <c r="AF2051" t="str">
        <f t="shared" si="142"/>
        <v>Closed in May</v>
      </c>
    </row>
    <row r="2052" spans="1:32" hidden="1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139"/>
        <v>24</v>
      </c>
      <c r="R2052" s="53" t="str">
        <f t="shared" si="140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73">
        <f t="shared" si="141"/>
        <v>24</v>
      </c>
      <c r="Z2052" s="18">
        <v>46167</v>
      </c>
      <c r="AA2052" s="15"/>
      <c r="AB2052" s="15"/>
      <c r="AF2052" t="str">
        <f t="shared" si="142"/>
        <v>Closed in May</v>
      </c>
    </row>
    <row r="2053" spans="1:32" hidden="1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139"/>
        <v>24</v>
      </c>
      <c r="R2053" s="53" t="str">
        <f t="shared" si="140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73">
        <f t="shared" si="141"/>
        <v>24</v>
      </c>
      <c r="Z2053" s="18">
        <v>46167</v>
      </c>
      <c r="AA2053" s="15"/>
      <c r="AB2053" s="15"/>
      <c r="AF2053" t="str">
        <f t="shared" si="142"/>
        <v>Closed in May</v>
      </c>
    </row>
    <row r="2054" spans="1:32" hidden="1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139"/>
        <v>24</v>
      </c>
      <c r="R2054" s="53" t="str">
        <f t="shared" si="140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73">
        <f t="shared" si="141"/>
        <v>24</v>
      </c>
      <c r="Z2054" s="18">
        <v>46167</v>
      </c>
      <c r="AA2054" s="15"/>
      <c r="AB2054" s="15"/>
      <c r="AF2054" t="str">
        <f t="shared" si="142"/>
        <v>Closed in May</v>
      </c>
    </row>
    <row r="2055" spans="1:32" hidden="1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139"/>
        <v>24</v>
      </c>
      <c r="R2055" s="53" t="str">
        <f t="shared" si="140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73">
        <f t="shared" si="141"/>
        <v>24</v>
      </c>
      <c r="Z2055" s="18">
        <v>46167</v>
      </c>
      <c r="AA2055" s="15"/>
      <c r="AB2055" s="15"/>
      <c r="AF2055" t="str">
        <f t="shared" si="142"/>
        <v>Closed in May</v>
      </c>
    </row>
    <row r="2056" spans="1:32" hidden="1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139"/>
        <v>24</v>
      </c>
      <c r="R2056" s="53" t="str">
        <f t="shared" si="140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73">
        <f t="shared" si="141"/>
        <v>24</v>
      </c>
      <c r="Z2056" s="18">
        <v>46167</v>
      </c>
      <c r="AA2056" s="15"/>
      <c r="AB2056" s="15"/>
      <c r="AF2056" t="str">
        <f t="shared" si="142"/>
        <v>Closed in May</v>
      </c>
    </row>
    <row r="2057" spans="1:32" hidden="1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139"/>
        <v>24</v>
      </c>
      <c r="R2057" s="53" t="str">
        <f t="shared" si="140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73">
        <f t="shared" si="141"/>
        <v>24</v>
      </c>
      <c r="Z2057" s="18">
        <v>46167</v>
      </c>
      <c r="AA2057" s="15"/>
      <c r="AB2057" s="15"/>
      <c r="AF2057" t="str">
        <f t="shared" si="142"/>
        <v>Closed in May</v>
      </c>
    </row>
    <row r="2058" spans="1:32" hidden="1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139"/>
        <v>24</v>
      </c>
      <c r="R2058" s="53" t="str">
        <f t="shared" si="140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73">
        <f t="shared" si="141"/>
        <v>24</v>
      </c>
      <c r="Z2058" s="18">
        <v>46167</v>
      </c>
      <c r="AA2058" s="15"/>
      <c r="AB2058" s="15"/>
      <c r="AF2058" t="str">
        <f t="shared" si="142"/>
        <v>Closed in May</v>
      </c>
    </row>
    <row r="2059" spans="1:32" hidden="1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139"/>
        <v>24</v>
      </c>
      <c r="R2059" s="53" t="str">
        <f t="shared" si="140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73">
        <f t="shared" si="141"/>
        <v>24</v>
      </c>
      <c r="Z2059" s="18">
        <v>46167</v>
      </c>
      <c r="AA2059" s="15"/>
      <c r="AB2059" s="15"/>
      <c r="AF2059" t="str">
        <f t="shared" si="142"/>
        <v>Closed in May</v>
      </c>
    </row>
    <row r="2060" spans="1:32" hidden="1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139"/>
        <v>24</v>
      </c>
      <c r="R2060" s="53" t="str">
        <f t="shared" si="140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73">
        <f t="shared" si="141"/>
        <v>24</v>
      </c>
      <c r="Z2060" s="18">
        <v>46167</v>
      </c>
      <c r="AA2060" s="15"/>
      <c r="AB2060" s="15"/>
      <c r="AF2060" t="str">
        <f t="shared" si="142"/>
        <v>Closed in May</v>
      </c>
    </row>
    <row r="2061" spans="1:32" hidden="1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139"/>
        <v>24</v>
      </c>
      <c r="R2061" s="53" t="str">
        <f t="shared" si="140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73">
        <f t="shared" si="141"/>
        <v>24</v>
      </c>
      <c r="Z2061" s="18">
        <v>46167</v>
      </c>
      <c r="AA2061" s="15"/>
      <c r="AB2061" s="15"/>
      <c r="AF2061" t="str">
        <f t="shared" si="142"/>
        <v>Closed in May</v>
      </c>
    </row>
    <row r="2062" spans="1:32" hidden="1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139"/>
        <v>24</v>
      </c>
      <c r="R2062" s="53" t="str">
        <f t="shared" si="140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73">
        <f t="shared" si="141"/>
        <v>24</v>
      </c>
      <c r="Z2062" s="18">
        <v>46167</v>
      </c>
      <c r="AA2062" s="15"/>
      <c r="AB2062" s="15"/>
      <c r="AF2062" t="str">
        <f t="shared" si="142"/>
        <v>Closed in May</v>
      </c>
    </row>
    <row r="2063" spans="1:32" hidden="1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139"/>
        <v>24</v>
      </c>
      <c r="R2063" s="53" t="str">
        <f t="shared" si="140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73">
        <f t="shared" si="141"/>
        <v>24</v>
      </c>
      <c r="Z2063" s="18">
        <v>46167</v>
      </c>
      <c r="AA2063" s="15"/>
      <c r="AB2063" s="15"/>
      <c r="AF2063" t="str">
        <f t="shared" si="142"/>
        <v>Closed in May</v>
      </c>
    </row>
    <row r="2064" spans="1:32" hidden="1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139"/>
        <v>24</v>
      </c>
      <c r="R2064" s="53" t="str">
        <f t="shared" si="140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73">
        <f t="shared" si="141"/>
        <v>24</v>
      </c>
      <c r="Z2064" s="18">
        <v>46167</v>
      </c>
      <c r="AA2064" s="15"/>
      <c r="AB2064" s="15"/>
      <c r="AF2064" t="str">
        <f t="shared" si="142"/>
        <v>Closed in May</v>
      </c>
    </row>
    <row r="2065" spans="1:32" hidden="1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139"/>
        <v>24</v>
      </c>
      <c r="R2065" s="53" t="str">
        <f t="shared" si="140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73">
        <f t="shared" si="141"/>
        <v>24</v>
      </c>
      <c r="Z2065" s="18">
        <v>46167</v>
      </c>
      <c r="AA2065" s="15"/>
      <c r="AB2065" s="15"/>
      <c r="AF2065" t="str">
        <f t="shared" si="142"/>
        <v>Closed in May</v>
      </c>
    </row>
    <row r="2066" spans="1:32" hidden="1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139"/>
        <v>24</v>
      </c>
      <c r="R2066" s="53" t="str">
        <f t="shared" si="140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73">
        <f t="shared" si="141"/>
        <v>24</v>
      </c>
      <c r="Z2066" s="18">
        <v>46167</v>
      </c>
      <c r="AA2066" s="15"/>
      <c r="AB2066" s="15"/>
      <c r="AF2066" t="str">
        <f t="shared" si="142"/>
        <v>Closed in May</v>
      </c>
    </row>
    <row r="2067" spans="1:32" hidden="1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139"/>
        <v>24</v>
      </c>
      <c r="R2067" s="53" t="str">
        <f t="shared" si="140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73">
        <f t="shared" si="141"/>
        <v>24</v>
      </c>
      <c r="Z2067" s="18">
        <v>46167</v>
      </c>
      <c r="AA2067" s="15"/>
      <c r="AB2067" s="15"/>
      <c r="AF2067" t="str">
        <f t="shared" si="142"/>
        <v>Closed in May</v>
      </c>
    </row>
    <row r="2068" spans="1:32" hidden="1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139"/>
        <v>24</v>
      </c>
      <c r="R2068" s="53" t="str">
        <f t="shared" si="140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73">
        <f t="shared" si="141"/>
        <v>24</v>
      </c>
      <c r="Z2068" s="18">
        <v>46167</v>
      </c>
      <c r="AA2068" s="15"/>
      <c r="AB2068" s="15"/>
      <c r="AF2068" t="str">
        <f t="shared" si="142"/>
        <v>Closed in May</v>
      </c>
    </row>
    <row r="2069" spans="1:32" hidden="1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139"/>
        <v>24</v>
      </c>
      <c r="R2069" s="53" t="str">
        <f t="shared" si="140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73">
        <f t="shared" si="141"/>
        <v>24</v>
      </c>
      <c r="Z2069" s="18">
        <v>46167</v>
      </c>
      <c r="AA2069" s="15"/>
      <c r="AB2069" s="15"/>
      <c r="AF2069" t="str">
        <f t="shared" si="142"/>
        <v>Closed in May</v>
      </c>
    </row>
    <row r="2070" spans="1:32" hidden="1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139"/>
        <v>24</v>
      </c>
      <c r="R2070" s="53" t="str">
        <f t="shared" si="140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73">
        <f t="shared" si="141"/>
        <v>24</v>
      </c>
      <c r="Z2070" s="18">
        <v>46167</v>
      </c>
      <c r="AA2070" s="15"/>
      <c r="AB2070" s="15"/>
      <c r="AF2070" t="str">
        <f t="shared" si="142"/>
        <v>Closed in May</v>
      </c>
    </row>
    <row r="2071" spans="1:32" hidden="1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139"/>
        <v>24</v>
      </c>
      <c r="R2071" s="53" t="str">
        <f t="shared" si="140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73">
        <f t="shared" si="141"/>
        <v>24</v>
      </c>
      <c r="Z2071" s="18">
        <v>46167</v>
      </c>
      <c r="AA2071" s="15"/>
      <c r="AB2071" s="15"/>
      <c r="AF2071" t="str">
        <f t="shared" si="142"/>
        <v>Closed in May</v>
      </c>
    </row>
    <row r="2072" spans="1:32" hidden="1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139"/>
        <v>24</v>
      </c>
      <c r="R2072" s="53" t="str">
        <f t="shared" si="140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73">
        <f t="shared" si="141"/>
        <v>24</v>
      </c>
      <c r="Z2072" s="18">
        <v>46167</v>
      </c>
      <c r="AA2072" s="15"/>
      <c r="AB2072" s="15"/>
      <c r="AF2072" t="str">
        <f t="shared" si="142"/>
        <v>Closed in May</v>
      </c>
    </row>
    <row r="2073" spans="1:32" hidden="1">
      <c r="A2073" s="59">
        <v>46148</v>
      </c>
      <c r="B2073" s="3">
        <v>2026</v>
      </c>
      <c r="C2073" s="60" t="s">
        <v>2290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350</v>
      </c>
      <c r="O2073" s="60">
        <v>545</v>
      </c>
      <c r="P2073" s="8" t="s">
        <v>2293</v>
      </c>
      <c r="Q2073" s="54" t="str">
        <f t="shared" si="139"/>
        <v>23</v>
      </c>
      <c r="R2073" s="53" t="str">
        <f t="shared" si="140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73">
        <f t="shared" si="141"/>
        <v>20</v>
      </c>
      <c r="Z2073" s="18" t="s">
        <v>349</v>
      </c>
      <c r="AA2073" s="15"/>
      <c r="AB2073" s="15"/>
      <c r="AF2073" t="str">
        <f t="shared" si="142"/>
        <v>Closed in May</v>
      </c>
    </row>
    <row r="2074" spans="1:32" hidden="1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139"/>
        <v>23</v>
      </c>
      <c r="R2074" s="53" t="str">
        <f t="shared" si="140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73">
        <f t="shared" si="141"/>
        <v>20</v>
      </c>
      <c r="Z2074" s="18">
        <v>46168</v>
      </c>
      <c r="AA2074" s="15"/>
      <c r="AB2074" s="15"/>
      <c r="AF2074" t="str">
        <f t="shared" si="142"/>
        <v>Closed in May</v>
      </c>
    </row>
    <row r="2075" spans="1:32" hidden="1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139"/>
        <v>23</v>
      </c>
      <c r="R2075" s="53" t="str">
        <f t="shared" si="140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73">
        <f t="shared" si="141"/>
        <v>20</v>
      </c>
      <c r="Z2075" s="18">
        <v>46168</v>
      </c>
      <c r="AA2075" s="15"/>
      <c r="AB2075" s="15"/>
      <c r="AF2075" t="str">
        <f t="shared" si="142"/>
        <v>Closed in May</v>
      </c>
    </row>
    <row r="2076" spans="1:32" hidden="1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139"/>
        <v>23</v>
      </c>
      <c r="R2076" s="53" t="str">
        <f t="shared" si="140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73">
        <f t="shared" si="141"/>
        <v>20</v>
      </c>
      <c r="Z2076" s="18">
        <v>46168</v>
      </c>
      <c r="AA2076" s="15"/>
      <c r="AB2076" s="15"/>
      <c r="AF2076" t="str">
        <f t="shared" si="142"/>
        <v>Closed in May</v>
      </c>
    </row>
    <row r="2077" spans="1:32" hidden="1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139"/>
        <v>23</v>
      </c>
      <c r="R2077" s="53" t="str">
        <f t="shared" si="140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73">
        <f t="shared" si="141"/>
        <v>20</v>
      </c>
      <c r="Z2077" s="18">
        <v>46168</v>
      </c>
      <c r="AA2077" s="15"/>
      <c r="AB2077" s="15"/>
      <c r="AF2077" t="str">
        <f t="shared" si="142"/>
        <v>Closed in May</v>
      </c>
    </row>
    <row r="2078" spans="1:32" hidden="1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139"/>
        <v>23</v>
      </c>
      <c r="R2078" s="53" t="str">
        <f t="shared" si="140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73">
        <f t="shared" si="141"/>
        <v>20</v>
      </c>
      <c r="Z2078" s="18">
        <v>46168</v>
      </c>
      <c r="AA2078" s="15"/>
      <c r="AB2078" s="15"/>
      <c r="AF2078" t="str">
        <f t="shared" si="142"/>
        <v>Closed in May</v>
      </c>
    </row>
    <row r="2079" spans="1:32" hidden="1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139"/>
        <v>23</v>
      </c>
      <c r="R2079" s="53" t="str">
        <f t="shared" si="140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73">
        <f t="shared" si="141"/>
        <v>20</v>
      </c>
      <c r="Z2079" s="18">
        <v>46168</v>
      </c>
      <c r="AA2079" s="15"/>
      <c r="AB2079" s="15"/>
      <c r="AF2079" t="str">
        <f t="shared" si="142"/>
        <v>Closed in May</v>
      </c>
    </row>
    <row r="2080" spans="1:32" hidden="1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139"/>
        <v>23</v>
      </c>
      <c r="R2080" s="53" t="str">
        <f t="shared" si="140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73">
        <f t="shared" si="141"/>
        <v>20</v>
      </c>
      <c r="Z2080" s="18">
        <v>46168</v>
      </c>
      <c r="AA2080" s="15"/>
      <c r="AB2080" s="15"/>
      <c r="AF2080" t="str">
        <f t="shared" si="142"/>
        <v>Closed in May</v>
      </c>
    </row>
    <row r="2081" spans="1:32" hidden="1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139"/>
        <v>23</v>
      </c>
      <c r="R2081" s="53" t="str">
        <f t="shared" si="140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73">
        <f t="shared" si="141"/>
        <v>20</v>
      </c>
      <c r="Z2081" s="18">
        <v>46168</v>
      </c>
      <c r="AA2081" s="15"/>
      <c r="AB2081" s="15"/>
      <c r="AF2081" t="str">
        <f t="shared" si="142"/>
        <v>Closed in May</v>
      </c>
    </row>
    <row r="2082" spans="1:32" hidden="1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139"/>
        <v>23</v>
      </c>
      <c r="R2082" s="53" t="str">
        <f t="shared" si="140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73">
        <f t="shared" si="141"/>
        <v>20</v>
      </c>
      <c r="Z2082" s="18">
        <v>46168</v>
      </c>
      <c r="AA2082" s="15"/>
      <c r="AB2082" s="15"/>
      <c r="AF2082" t="str">
        <f t="shared" si="142"/>
        <v>Closed in May</v>
      </c>
    </row>
    <row r="2083" spans="1:32" hidden="1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139"/>
        <v>23</v>
      </c>
      <c r="R2083" s="53" t="str">
        <f t="shared" si="140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73">
        <f t="shared" si="141"/>
        <v>20</v>
      </c>
      <c r="Z2083" s="18">
        <v>46168</v>
      </c>
      <c r="AA2083" s="15"/>
      <c r="AB2083" s="15"/>
      <c r="AF2083" t="str">
        <f t="shared" si="142"/>
        <v>Closed in May</v>
      </c>
    </row>
    <row r="2084" spans="1:32" hidden="1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139"/>
        <v>23</v>
      </c>
      <c r="R2084" s="53" t="str">
        <f t="shared" si="140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73">
        <f t="shared" si="141"/>
        <v>20</v>
      </c>
      <c r="Z2084" s="18">
        <v>46168</v>
      </c>
      <c r="AA2084" s="15"/>
      <c r="AB2084" s="15"/>
      <c r="AF2084" t="str">
        <f t="shared" si="142"/>
        <v>Closed in May</v>
      </c>
    </row>
    <row r="2085" spans="1:32" hidden="1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139"/>
        <v>23</v>
      </c>
      <c r="R2085" s="53" t="str">
        <f t="shared" si="140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73">
        <f t="shared" si="141"/>
        <v>20</v>
      </c>
      <c r="Z2085" s="18">
        <v>46168</v>
      </c>
      <c r="AA2085" s="15"/>
      <c r="AB2085" s="15"/>
      <c r="AF2085" t="str">
        <f t="shared" si="142"/>
        <v>Closed in May</v>
      </c>
    </row>
    <row r="2086" spans="1:32" hidden="1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139"/>
        <v>23</v>
      </c>
      <c r="R2086" s="53" t="str">
        <f t="shared" si="140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73">
        <f t="shared" si="141"/>
        <v>20</v>
      </c>
      <c r="Z2086" s="18">
        <v>46168</v>
      </c>
      <c r="AA2086" s="15"/>
      <c r="AB2086" s="15"/>
      <c r="AF2086" t="str">
        <f t="shared" si="142"/>
        <v>Closed in May</v>
      </c>
    </row>
    <row r="2087" spans="1:32" hidden="1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43">MID(P2087,5,2)</f>
        <v>23</v>
      </c>
      <c r="R2087" s="53" t="str">
        <f t="shared" ref="R2087:R2150" si="144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73">
        <f t="shared" si="141"/>
        <v>20</v>
      </c>
      <c r="Z2087" s="18">
        <v>46168</v>
      </c>
      <c r="AA2087" s="15"/>
      <c r="AB2087" s="15"/>
      <c r="AF2087" t="str">
        <f t="shared" si="142"/>
        <v>Closed in May</v>
      </c>
    </row>
    <row r="2088" spans="1:32" hidden="1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43"/>
        <v>23</v>
      </c>
      <c r="R2088" s="53" t="str">
        <f t="shared" si="144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73">
        <f t="shared" si="141"/>
        <v>20</v>
      </c>
      <c r="Z2088" s="18">
        <v>46168</v>
      </c>
      <c r="AA2088" s="15"/>
      <c r="AB2088" s="15"/>
      <c r="AF2088" t="str">
        <f t="shared" si="142"/>
        <v>Closed in May</v>
      </c>
    </row>
    <row r="2089" spans="1:32" hidden="1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43"/>
        <v>23</v>
      </c>
      <c r="R2089" s="53" t="str">
        <f t="shared" si="144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73">
        <f t="shared" si="141"/>
        <v>20</v>
      </c>
      <c r="Z2089" s="18">
        <v>46168</v>
      </c>
      <c r="AA2089" s="15"/>
      <c r="AB2089" s="15"/>
      <c r="AF2089" t="str">
        <f t="shared" si="142"/>
        <v>Closed in May</v>
      </c>
    </row>
    <row r="2090" spans="1:32" hidden="1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43"/>
        <v>23</v>
      </c>
      <c r="R2090" s="53" t="str">
        <f t="shared" si="144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73">
        <f t="shared" si="141"/>
        <v>20</v>
      </c>
      <c r="Z2090" s="18">
        <v>46168</v>
      </c>
      <c r="AA2090" s="15"/>
      <c r="AB2090" s="15"/>
      <c r="AF2090" t="str">
        <f t="shared" si="142"/>
        <v>Closed in May</v>
      </c>
    </row>
    <row r="2091" spans="1:32" hidden="1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43"/>
        <v>23</v>
      </c>
      <c r="R2091" s="53" t="str">
        <f t="shared" si="144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73">
        <f t="shared" si="141"/>
        <v>20</v>
      </c>
      <c r="Z2091" s="18">
        <v>46168</v>
      </c>
      <c r="AA2091" s="15"/>
      <c r="AB2091" s="15"/>
      <c r="AF2091" t="str">
        <f t="shared" si="142"/>
        <v>Closed in May</v>
      </c>
    </row>
    <row r="2092" spans="1:32" hidden="1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43"/>
        <v>23</v>
      </c>
      <c r="R2092" s="53" t="str">
        <f t="shared" si="144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73">
        <f t="shared" si="141"/>
        <v>20</v>
      </c>
      <c r="Z2092" s="18">
        <v>46168</v>
      </c>
      <c r="AA2092" s="15"/>
      <c r="AB2092" s="15"/>
      <c r="AF2092" t="str">
        <f t="shared" si="142"/>
        <v>Closed in May</v>
      </c>
    </row>
    <row r="2093" spans="1:32" hidden="1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43"/>
        <v>23</v>
      </c>
      <c r="R2093" s="53" t="str">
        <f t="shared" si="144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73">
        <f t="shared" si="141"/>
        <v>20</v>
      </c>
      <c r="Z2093" s="18">
        <v>46168</v>
      </c>
      <c r="AA2093" s="15"/>
      <c r="AB2093" s="15"/>
      <c r="AF2093" t="str">
        <f t="shared" si="142"/>
        <v>Closed in May</v>
      </c>
    </row>
    <row r="2094" spans="1:32" hidden="1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43"/>
        <v>23</v>
      </c>
      <c r="R2094" s="53" t="str">
        <f t="shared" si="144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73">
        <f t="shared" si="141"/>
        <v>20</v>
      </c>
      <c r="Z2094" s="18">
        <v>46168</v>
      </c>
      <c r="AA2094" s="15"/>
      <c r="AB2094" s="15"/>
      <c r="AF2094" t="str">
        <f t="shared" si="142"/>
        <v>Closed in May</v>
      </c>
    </row>
    <row r="2095" spans="1:32" hidden="1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43"/>
        <v>23</v>
      </c>
      <c r="R2095" s="53" t="str">
        <f t="shared" si="144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73">
        <f t="shared" si="141"/>
        <v>20</v>
      </c>
      <c r="Z2095" s="18">
        <v>46168</v>
      </c>
      <c r="AA2095" s="15"/>
      <c r="AB2095" s="15"/>
      <c r="AF2095" t="str">
        <f t="shared" si="142"/>
        <v>Closed in May</v>
      </c>
    </row>
    <row r="2096" spans="1:32" hidden="1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43"/>
        <v>23</v>
      </c>
      <c r="R2096" s="53" t="str">
        <f t="shared" si="144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73">
        <f t="shared" si="141"/>
        <v>20</v>
      </c>
      <c r="Z2096" s="18">
        <v>46168</v>
      </c>
      <c r="AA2096" s="15"/>
      <c r="AB2096" s="15"/>
      <c r="AF2096" t="str">
        <f t="shared" si="142"/>
        <v>Closed in May</v>
      </c>
    </row>
    <row r="2097" spans="1:32" hidden="1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43"/>
        <v>23</v>
      </c>
      <c r="R2097" s="53" t="str">
        <f t="shared" si="144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73">
        <f t="shared" si="141"/>
        <v>20</v>
      </c>
      <c r="Z2097" s="18">
        <v>46168</v>
      </c>
      <c r="AA2097" s="15"/>
      <c r="AB2097" s="15"/>
      <c r="AF2097" t="str">
        <f t="shared" si="142"/>
        <v>Closed in May</v>
      </c>
    </row>
    <row r="2098" spans="1:32" hidden="1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43"/>
        <v>23</v>
      </c>
      <c r="R2098" s="53" t="str">
        <f t="shared" si="144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73">
        <f t="shared" si="141"/>
        <v>20</v>
      </c>
      <c r="Z2098" s="18">
        <v>46168</v>
      </c>
      <c r="AA2098" s="15"/>
      <c r="AB2098" s="15"/>
      <c r="AF2098" t="str">
        <f t="shared" si="142"/>
        <v>Closed in May</v>
      </c>
    </row>
    <row r="2099" spans="1:32" hidden="1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43"/>
        <v>23</v>
      </c>
      <c r="R2099" s="53" t="str">
        <f t="shared" si="144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73">
        <f t="shared" si="141"/>
        <v>20</v>
      </c>
      <c r="Z2099" s="18">
        <v>46168</v>
      </c>
      <c r="AA2099" s="15"/>
      <c r="AB2099" s="15"/>
      <c r="AF2099" t="str">
        <f t="shared" si="142"/>
        <v>Closed in May</v>
      </c>
    </row>
    <row r="2100" spans="1:32" hidden="1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43"/>
        <v>23</v>
      </c>
      <c r="R2100" s="53" t="str">
        <f t="shared" si="144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73">
        <f t="shared" si="141"/>
        <v>20</v>
      </c>
      <c r="Z2100" s="18">
        <v>46168</v>
      </c>
      <c r="AA2100" s="15"/>
      <c r="AB2100" s="15"/>
      <c r="AF2100" t="str">
        <f t="shared" si="142"/>
        <v>Closed in May</v>
      </c>
    </row>
    <row r="2101" spans="1:32" hidden="1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43"/>
        <v>23</v>
      </c>
      <c r="R2101" s="53" t="str">
        <f t="shared" si="144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73">
        <f t="shared" si="141"/>
        <v>20</v>
      </c>
      <c r="Z2101" s="18">
        <v>46168</v>
      </c>
      <c r="AA2101" s="15"/>
      <c r="AB2101" s="15"/>
      <c r="AF2101" t="str">
        <f t="shared" si="142"/>
        <v>Closed in May</v>
      </c>
    </row>
    <row r="2102" spans="1:32" hidden="1">
      <c r="A2102" s="93">
        <v>46162</v>
      </c>
      <c r="B2102" s="3">
        <v>2026</v>
      </c>
      <c r="C2102" s="21" t="s">
        <v>343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43"/>
        <v>22</v>
      </c>
      <c r="R2102" s="53" t="str">
        <f t="shared" si="144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73">
        <f t="shared" si="141"/>
        <v>6</v>
      </c>
      <c r="Z2102" s="18">
        <v>46168</v>
      </c>
      <c r="AA2102" s="15"/>
      <c r="AB2102" s="15"/>
      <c r="AF2102" t="str">
        <f t="shared" si="142"/>
        <v>Closed in May</v>
      </c>
    </row>
    <row r="2103" spans="1:32" hidden="1">
      <c r="A2103" s="59">
        <v>46149</v>
      </c>
      <c r="B2103" s="3">
        <v>2026</v>
      </c>
      <c r="C2103" s="21" t="s">
        <v>343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43"/>
        <v>23</v>
      </c>
      <c r="R2103" s="53" t="str">
        <f t="shared" si="144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73">
        <f t="shared" si="141"/>
        <v>19</v>
      </c>
      <c r="Z2103" s="18">
        <v>46168</v>
      </c>
      <c r="AA2103" s="15"/>
      <c r="AB2103" s="15"/>
      <c r="AF2103" t="str">
        <f t="shared" si="142"/>
        <v>Closed in May</v>
      </c>
    </row>
    <row r="2104" spans="1:32" hidden="1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43"/>
        <v>24</v>
      </c>
      <c r="R2104" s="53" t="str">
        <f t="shared" si="144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73">
        <f t="shared" si="141"/>
        <v>25</v>
      </c>
      <c r="Z2104" s="18">
        <v>46168</v>
      </c>
      <c r="AA2104" s="15"/>
      <c r="AB2104" s="15"/>
      <c r="AF2104" t="str">
        <f t="shared" si="142"/>
        <v>Closed in May</v>
      </c>
    </row>
    <row r="2105" spans="1:32" hidden="1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43"/>
        <v>24</v>
      </c>
      <c r="R2105" s="53" t="str">
        <f t="shared" si="144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73">
        <f t="shared" si="141"/>
        <v>25</v>
      </c>
      <c r="Z2105" s="18">
        <v>46168</v>
      </c>
      <c r="AA2105" s="15"/>
      <c r="AB2105" s="15"/>
      <c r="AF2105" t="str">
        <f t="shared" si="142"/>
        <v>Closed in May</v>
      </c>
    </row>
    <row r="2106" spans="1:32" hidden="1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43"/>
        <v>24</v>
      </c>
      <c r="R2106" s="53" t="str">
        <f t="shared" si="144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73">
        <f t="shared" si="141"/>
        <v>25</v>
      </c>
      <c r="Z2106" s="18">
        <v>46168</v>
      </c>
      <c r="AA2106" s="15"/>
      <c r="AB2106" s="15"/>
      <c r="AF2106" t="str">
        <f t="shared" si="142"/>
        <v>Closed in May</v>
      </c>
    </row>
    <row r="2107" spans="1:32" hidden="1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43"/>
        <v>24</v>
      </c>
      <c r="R2107" s="53" t="str">
        <f t="shared" si="144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73">
        <f t="shared" si="141"/>
        <v>25</v>
      </c>
      <c r="Z2107" s="18">
        <v>46168</v>
      </c>
      <c r="AA2107" s="15"/>
      <c r="AB2107" s="15"/>
      <c r="AF2107" t="str">
        <f t="shared" si="142"/>
        <v>Closed in May</v>
      </c>
    </row>
    <row r="2108" spans="1:32" hidden="1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43"/>
        <v>24</v>
      </c>
      <c r="R2108" s="53" t="str">
        <f t="shared" si="144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73">
        <f t="shared" si="141"/>
        <v>25</v>
      </c>
      <c r="Z2108" s="18">
        <v>46168</v>
      </c>
      <c r="AA2108" s="15"/>
      <c r="AB2108" s="15"/>
      <c r="AF2108" t="str">
        <f t="shared" si="142"/>
        <v>Closed in May</v>
      </c>
    </row>
    <row r="2109" spans="1:32" hidden="1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43"/>
        <v>24</v>
      </c>
      <c r="R2109" s="53" t="str">
        <f t="shared" si="144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73">
        <f t="shared" si="141"/>
        <v>25</v>
      </c>
      <c r="Z2109" s="18">
        <v>46168</v>
      </c>
      <c r="AA2109" s="15"/>
      <c r="AB2109" s="15"/>
      <c r="AF2109" t="str">
        <f t="shared" si="142"/>
        <v>Closed in May</v>
      </c>
    </row>
    <row r="2110" spans="1:32" hidden="1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43"/>
        <v>24</v>
      </c>
      <c r="R2110" s="53" t="str">
        <f t="shared" si="144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73">
        <f t="shared" si="141"/>
        <v>25</v>
      </c>
      <c r="Z2110" s="18">
        <v>46168</v>
      </c>
      <c r="AA2110" s="15"/>
      <c r="AB2110" s="15"/>
      <c r="AF2110" t="str">
        <f t="shared" si="142"/>
        <v>Closed in May</v>
      </c>
    </row>
    <row r="2111" spans="1:32" hidden="1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43"/>
        <v>24</v>
      </c>
      <c r="R2111" s="53" t="str">
        <f t="shared" si="144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73">
        <f t="shared" si="141"/>
        <v>25</v>
      </c>
      <c r="Z2111" s="18">
        <v>46168</v>
      </c>
      <c r="AA2111" s="15"/>
      <c r="AB2111" s="15"/>
      <c r="AF2111" t="str">
        <f t="shared" si="142"/>
        <v>Closed in May</v>
      </c>
    </row>
    <row r="2112" spans="1:32" hidden="1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43"/>
        <v>24</v>
      </c>
      <c r="R2112" s="53" t="str">
        <f t="shared" si="144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73">
        <f t="shared" si="141"/>
        <v>25</v>
      </c>
      <c r="Z2112" s="18">
        <v>46168</v>
      </c>
      <c r="AA2112" s="15"/>
      <c r="AB2112" s="15"/>
      <c r="AF2112" t="str">
        <f t="shared" si="142"/>
        <v>Closed in May</v>
      </c>
    </row>
    <row r="2113" spans="1:32" hidden="1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43"/>
        <v>24</v>
      </c>
      <c r="R2113" s="53" t="str">
        <f t="shared" si="144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73">
        <f t="shared" si="141"/>
        <v>25</v>
      </c>
      <c r="Z2113" s="18">
        <v>46168</v>
      </c>
      <c r="AA2113" s="15"/>
      <c r="AB2113" s="15"/>
      <c r="AF2113" t="str">
        <f t="shared" si="142"/>
        <v>Closed in May</v>
      </c>
    </row>
    <row r="2114" spans="1:32" hidden="1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43"/>
        <v>24</v>
      </c>
      <c r="R2114" s="53" t="str">
        <f t="shared" si="144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73">
        <f t="shared" ref="Y2114:Y2177" si="145">IF(X2114="","",X2114-A2114)</f>
        <v>25</v>
      </c>
      <c r="Z2114" s="18">
        <v>46168</v>
      </c>
      <c r="AA2114" s="15"/>
      <c r="AB2114" s="15"/>
      <c r="AF2114" t="str">
        <f t="shared" ref="AF2114:AF2177" si="146">IF(AND($F2114="Closed",$X2114&gt;=DATE(2026,5,1),$X2114&lt;=DATE(2026,5,31)),"Closed in May","Other")</f>
        <v>Closed in May</v>
      </c>
    </row>
    <row r="2115" spans="1:32" hidden="1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43"/>
        <v>24</v>
      </c>
      <c r="R2115" s="53" t="str">
        <f t="shared" si="144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73">
        <f t="shared" si="145"/>
        <v>25</v>
      </c>
      <c r="Z2115" s="18">
        <v>46168</v>
      </c>
      <c r="AA2115" s="15"/>
      <c r="AB2115" s="15"/>
      <c r="AF2115" t="str">
        <f t="shared" si="146"/>
        <v>Closed in May</v>
      </c>
    </row>
    <row r="2116" spans="1:32" hidden="1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43"/>
        <v>24</v>
      </c>
      <c r="R2116" s="53" t="str">
        <f t="shared" si="144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73">
        <f t="shared" si="145"/>
        <v>25</v>
      </c>
      <c r="Z2116" s="18">
        <v>46168</v>
      </c>
      <c r="AA2116" s="15"/>
      <c r="AB2116" s="15"/>
      <c r="AF2116" t="str">
        <f t="shared" si="146"/>
        <v>Closed in May</v>
      </c>
    </row>
    <row r="2117" spans="1:32" hidden="1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43"/>
        <v>24</v>
      </c>
      <c r="R2117" s="53" t="str">
        <f t="shared" si="144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73">
        <f t="shared" si="145"/>
        <v>25</v>
      </c>
      <c r="Z2117" s="18">
        <v>46168</v>
      </c>
      <c r="AA2117" s="15"/>
      <c r="AB2117" s="15"/>
      <c r="AF2117" t="str">
        <f t="shared" si="146"/>
        <v>Closed in May</v>
      </c>
    </row>
    <row r="2118" spans="1:32" hidden="1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43"/>
        <v>24</v>
      </c>
      <c r="R2118" s="53" t="str">
        <f t="shared" si="144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73">
        <f t="shared" si="145"/>
        <v>25</v>
      </c>
      <c r="Z2118" s="18">
        <v>46168</v>
      </c>
      <c r="AA2118" s="15"/>
      <c r="AB2118" s="15"/>
      <c r="AF2118" t="str">
        <f t="shared" si="146"/>
        <v>Closed in May</v>
      </c>
    </row>
    <row r="2119" spans="1:32" hidden="1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43"/>
        <v>24</v>
      </c>
      <c r="R2119" s="53" t="str">
        <f t="shared" si="144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73">
        <f t="shared" si="145"/>
        <v>25</v>
      </c>
      <c r="Z2119" s="18">
        <v>46168</v>
      </c>
      <c r="AA2119" s="15"/>
      <c r="AB2119" s="15"/>
      <c r="AF2119" t="str">
        <f t="shared" si="146"/>
        <v>Closed in May</v>
      </c>
    </row>
    <row r="2120" spans="1:32" hidden="1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43"/>
        <v>24</v>
      </c>
      <c r="R2120" s="53" t="str">
        <f t="shared" si="144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73">
        <f t="shared" si="145"/>
        <v>25</v>
      </c>
      <c r="Z2120" s="18">
        <v>46168</v>
      </c>
      <c r="AA2120" s="15"/>
      <c r="AB2120" s="15"/>
      <c r="AF2120" t="str">
        <f t="shared" si="146"/>
        <v>Closed in May</v>
      </c>
    </row>
    <row r="2121" spans="1:32" hidden="1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43"/>
        <v>24</v>
      </c>
      <c r="R2121" s="53" t="str">
        <f t="shared" si="144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73">
        <f t="shared" si="145"/>
        <v>25</v>
      </c>
      <c r="Z2121" s="18">
        <v>46168</v>
      </c>
      <c r="AA2121" s="15"/>
      <c r="AB2121" s="15"/>
      <c r="AF2121" t="str">
        <f t="shared" si="146"/>
        <v>Closed in May</v>
      </c>
    </row>
    <row r="2122" spans="1:32" hidden="1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43"/>
        <v>24</v>
      </c>
      <c r="R2122" s="53" t="str">
        <f t="shared" si="144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73">
        <f t="shared" si="145"/>
        <v>25</v>
      </c>
      <c r="Z2122" s="18">
        <v>46168</v>
      </c>
      <c r="AA2122" s="15"/>
      <c r="AB2122" s="15"/>
      <c r="AF2122" t="str">
        <f t="shared" si="146"/>
        <v>Closed in May</v>
      </c>
    </row>
    <row r="2123" spans="1:32" hidden="1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43"/>
        <v>24</v>
      </c>
      <c r="R2123" s="53" t="str">
        <f t="shared" si="144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73">
        <f t="shared" si="145"/>
        <v>25</v>
      </c>
      <c r="Z2123" s="18">
        <v>46168</v>
      </c>
      <c r="AA2123" s="15"/>
      <c r="AB2123" s="15"/>
      <c r="AF2123" t="str">
        <f t="shared" si="146"/>
        <v>Closed in May</v>
      </c>
    </row>
    <row r="2124" spans="1:32" hidden="1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43"/>
        <v>24</v>
      </c>
      <c r="R2124" s="53" t="str">
        <f t="shared" si="144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73">
        <f t="shared" si="145"/>
        <v>25</v>
      </c>
      <c r="Z2124" s="18">
        <v>46168</v>
      </c>
      <c r="AA2124" s="15"/>
      <c r="AB2124" s="15"/>
      <c r="AF2124" t="str">
        <f t="shared" si="146"/>
        <v>Closed in May</v>
      </c>
    </row>
    <row r="2125" spans="1:32" hidden="1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43"/>
        <v>24</v>
      </c>
      <c r="R2125" s="53" t="str">
        <f t="shared" si="144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73">
        <f t="shared" si="145"/>
        <v>25</v>
      </c>
      <c r="Z2125" s="18">
        <v>46168</v>
      </c>
      <c r="AA2125" s="15"/>
      <c r="AB2125" s="15"/>
      <c r="AF2125" t="str">
        <f t="shared" si="146"/>
        <v>Closed in May</v>
      </c>
    </row>
    <row r="2126" spans="1:32" hidden="1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43"/>
        <v>24</v>
      </c>
      <c r="R2126" s="53" t="str">
        <f t="shared" si="144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73">
        <f t="shared" si="145"/>
        <v>25</v>
      </c>
      <c r="Z2126" s="18">
        <v>46168</v>
      </c>
      <c r="AA2126" s="15"/>
      <c r="AB2126" s="15"/>
      <c r="AF2126" t="str">
        <f t="shared" si="146"/>
        <v>Closed in May</v>
      </c>
    </row>
    <row r="2127" spans="1:32" hidden="1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43"/>
        <v>24</v>
      </c>
      <c r="R2127" s="53" t="str">
        <f t="shared" si="144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73">
        <f t="shared" si="145"/>
        <v>25</v>
      </c>
      <c r="Z2127" s="18">
        <v>46168</v>
      </c>
      <c r="AA2127" s="15"/>
      <c r="AB2127" s="15"/>
      <c r="AF2127" t="str">
        <f t="shared" si="146"/>
        <v>Closed in May</v>
      </c>
    </row>
    <row r="2128" spans="1:32" hidden="1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43"/>
        <v>24</v>
      </c>
      <c r="R2128" s="53" t="str">
        <f t="shared" si="144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73">
        <f t="shared" si="145"/>
        <v>25</v>
      </c>
      <c r="Z2128" s="18">
        <v>46168</v>
      </c>
      <c r="AA2128" s="15"/>
      <c r="AB2128" s="15"/>
      <c r="AF2128" t="str">
        <f t="shared" si="146"/>
        <v>Closed in May</v>
      </c>
    </row>
    <row r="2129" spans="1:32" hidden="1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43"/>
        <v>24</v>
      </c>
      <c r="R2129" s="53" t="str">
        <f t="shared" si="144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73">
        <f t="shared" si="145"/>
        <v>25</v>
      </c>
      <c r="Z2129" s="18">
        <v>46168</v>
      </c>
      <c r="AA2129" s="15"/>
      <c r="AB2129" s="15"/>
      <c r="AF2129" t="str">
        <f t="shared" si="146"/>
        <v>Closed in May</v>
      </c>
    </row>
    <row r="2130" spans="1:32" hidden="1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43"/>
        <v>24</v>
      </c>
      <c r="R2130" s="53" t="str">
        <f t="shared" si="144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73">
        <f t="shared" si="145"/>
        <v>25</v>
      </c>
      <c r="Z2130" s="18">
        <v>46168</v>
      </c>
      <c r="AA2130" s="15"/>
      <c r="AB2130" s="15"/>
      <c r="AF2130" t="str">
        <f t="shared" si="146"/>
        <v>Closed in May</v>
      </c>
    </row>
    <row r="2131" spans="1:32" hidden="1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43"/>
        <v>24</v>
      </c>
      <c r="R2131" s="53" t="str">
        <f t="shared" si="144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73">
        <f t="shared" si="145"/>
        <v>25</v>
      </c>
      <c r="Z2131" s="18">
        <v>46168</v>
      </c>
      <c r="AA2131" s="15"/>
      <c r="AB2131" s="15"/>
      <c r="AF2131" t="str">
        <f t="shared" si="146"/>
        <v>Closed in May</v>
      </c>
    </row>
    <row r="2132" spans="1:32" hidden="1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43"/>
        <v>24</v>
      </c>
      <c r="R2132" s="53" t="str">
        <f t="shared" si="144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73">
        <f t="shared" si="145"/>
        <v>25</v>
      </c>
      <c r="Z2132" s="18">
        <v>46168</v>
      </c>
      <c r="AA2132" s="15"/>
      <c r="AB2132" s="15"/>
      <c r="AF2132" t="str">
        <f t="shared" si="146"/>
        <v>Closed in May</v>
      </c>
    </row>
    <row r="2133" spans="1:32" hidden="1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43"/>
        <v>24</v>
      </c>
      <c r="R2133" s="53" t="str">
        <f t="shared" si="144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73">
        <f t="shared" si="145"/>
        <v>25</v>
      </c>
      <c r="Z2133" s="18">
        <v>46168</v>
      </c>
      <c r="AA2133" s="15"/>
      <c r="AB2133" s="15"/>
      <c r="AF2133" t="str">
        <f t="shared" si="146"/>
        <v>Closed in May</v>
      </c>
    </row>
    <row r="2134" spans="1:32" hidden="1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43"/>
        <v>24</v>
      </c>
      <c r="R2134" s="53" t="str">
        <f t="shared" si="144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73">
        <f t="shared" si="145"/>
        <v>25</v>
      </c>
      <c r="Z2134" s="18">
        <v>46168</v>
      </c>
      <c r="AA2134" s="15"/>
      <c r="AB2134" s="15"/>
      <c r="AF2134" t="str">
        <f t="shared" si="146"/>
        <v>Closed in May</v>
      </c>
    </row>
    <row r="2135" spans="1:32" hidden="1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43"/>
        <v>24</v>
      </c>
      <c r="R2135" s="53" t="str">
        <f t="shared" si="144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73">
        <f t="shared" si="145"/>
        <v>25</v>
      </c>
      <c r="Z2135" s="18">
        <v>46168</v>
      </c>
      <c r="AA2135" s="15"/>
      <c r="AB2135" s="15"/>
      <c r="AF2135" t="str">
        <f t="shared" si="146"/>
        <v>Closed in May</v>
      </c>
    </row>
    <row r="2136" spans="1:32" hidden="1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43"/>
        <v>24</v>
      </c>
      <c r="R2136" s="53" t="str">
        <f t="shared" si="144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73">
        <f t="shared" si="145"/>
        <v>25</v>
      </c>
      <c r="Z2136" s="18">
        <v>46168</v>
      </c>
      <c r="AA2136" s="15"/>
      <c r="AB2136" s="15"/>
      <c r="AF2136" t="str">
        <f t="shared" si="146"/>
        <v>Closed in May</v>
      </c>
    </row>
    <row r="2137" spans="1:32" hidden="1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43"/>
        <v>24</v>
      </c>
      <c r="R2137" s="53" t="str">
        <f t="shared" si="144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73">
        <f t="shared" si="145"/>
        <v>25</v>
      </c>
      <c r="Z2137" s="18">
        <v>46168</v>
      </c>
      <c r="AA2137" s="15"/>
      <c r="AB2137" s="15"/>
      <c r="AF2137" t="str">
        <f t="shared" si="146"/>
        <v>Closed in May</v>
      </c>
    </row>
    <row r="2138" spans="1:32" hidden="1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43"/>
        <v>24</v>
      </c>
      <c r="R2138" s="53" t="str">
        <f t="shared" si="144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73">
        <f t="shared" si="145"/>
        <v>25</v>
      </c>
      <c r="Z2138" s="18">
        <v>46168</v>
      </c>
      <c r="AA2138" s="15"/>
      <c r="AB2138" s="15"/>
      <c r="AF2138" t="str">
        <f t="shared" si="146"/>
        <v>Closed in May</v>
      </c>
    </row>
    <row r="2139" spans="1:32" hidden="1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43"/>
        <v>24</v>
      </c>
      <c r="R2139" s="53" t="str">
        <f t="shared" si="144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73">
        <f t="shared" si="145"/>
        <v>25</v>
      </c>
      <c r="Z2139" s="18">
        <v>46168</v>
      </c>
      <c r="AA2139" s="15"/>
      <c r="AB2139" s="15"/>
      <c r="AF2139" t="str">
        <f t="shared" si="146"/>
        <v>Closed in May</v>
      </c>
    </row>
    <row r="2140" spans="1:32" hidden="1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43"/>
        <v>24</v>
      </c>
      <c r="R2140" s="53" t="str">
        <f t="shared" si="144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73">
        <f t="shared" si="145"/>
        <v>25</v>
      </c>
      <c r="Z2140" s="18">
        <v>46168</v>
      </c>
      <c r="AA2140" s="15"/>
      <c r="AB2140" s="15"/>
      <c r="AF2140" t="str">
        <f t="shared" si="146"/>
        <v>Closed in May</v>
      </c>
    </row>
    <row r="2141" spans="1:32" hidden="1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43"/>
        <v>24</v>
      </c>
      <c r="R2141" s="53" t="str">
        <f t="shared" si="144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73">
        <f t="shared" si="145"/>
        <v>25</v>
      </c>
      <c r="Z2141" s="18">
        <v>46168</v>
      </c>
      <c r="AA2141" s="15"/>
      <c r="AB2141" s="15"/>
      <c r="AF2141" t="str">
        <f t="shared" si="146"/>
        <v>Closed in May</v>
      </c>
    </row>
    <row r="2142" spans="1:32" hidden="1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43"/>
        <v>24</v>
      </c>
      <c r="R2142" s="53" t="str">
        <f t="shared" si="144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73">
        <f t="shared" si="145"/>
        <v>25</v>
      </c>
      <c r="Z2142" s="18">
        <v>46168</v>
      </c>
      <c r="AA2142" s="15"/>
      <c r="AB2142" s="15"/>
      <c r="AF2142" t="str">
        <f t="shared" si="146"/>
        <v>Closed in May</v>
      </c>
    </row>
    <row r="2143" spans="1:32" hidden="1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43"/>
        <v>24</v>
      </c>
      <c r="R2143" s="53" t="str">
        <f t="shared" si="144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73">
        <f t="shared" si="145"/>
        <v>25</v>
      </c>
      <c r="Z2143" s="18">
        <v>46168</v>
      </c>
      <c r="AA2143" s="15"/>
      <c r="AB2143" s="15"/>
      <c r="AF2143" t="str">
        <f t="shared" si="146"/>
        <v>Closed in May</v>
      </c>
    </row>
    <row r="2144" spans="1:32" hidden="1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43"/>
        <v>24</v>
      </c>
      <c r="R2144" s="53" t="str">
        <f t="shared" si="144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73">
        <f t="shared" si="145"/>
        <v>25</v>
      </c>
      <c r="Z2144" s="18">
        <v>46168</v>
      </c>
      <c r="AA2144" s="15"/>
      <c r="AB2144" s="15"/>
      <c r="AF2144" t="str">
        <f t="shared" si="146"/>
        <v>Closed in May</v>
      </c>
    </row>
    <row r="2145" spans="1:32" hidden="1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43"/>
        <v>24</v>
      </c>
      <c r="R2145" s="53" t="str">
        <f t="shared" si="144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73">
        <f t="shared" si="145"/>
        <v>25</v>
      </c>
      <c r="Z2145" s="18">
        <v>46168</v>
      </c>
      <c r="AA2145" s="15"/>
      <c r="AB2145" s="15"/>
      <c r="AF2145" t="str">
        <f t="shared" si="146"/>
        <v>Closed in May</v>
      </c>
    </row>
    <row r="2146" spans="1:32" hidden="1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43"/>
        <v>24</v>
      </c>
      <c r="R2146" s="53" t="str">
        <f t="shared" si="144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73">
        <f t="shared" si="145"/>
        <v>25</v>
      </c>
      <c r="Z2146" s="18">
        <v>46168</v>
      </c>
      <c r="AA2146" s="15"/>
      <c r="AB2146" s="15"/>
      <c r="AF2146" t="str">
        <f t="shared" si="146"/>
        <v>Closed in May</v>
      </c>
    </row>
    <row r="2147" spans="1:32" hidden="1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43"/>
        <v>24</v>
      </c>
      <c r="R2147" s="53" t="str">
        <f t="shared" si="144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73">
        <f t="shared" si="145"/>
        <v>25</v>
      </c>
      <c r="Z2147" s="18">
        <v>46168</v>
      </c>
      <c r="AA2147" s="15"/>
      <c r="AB2147" s="15"/>
      <c r="AF2147" t="str">
        <f t="shared" si="146"/>
        <v>Closed in May</v>
      </c>
    </row>
    <row r="2148" spans="1:32" hidden="1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43"/>
        <v>24</v>
      </c>
      <c r="R2148" s="53" t="str">
        <f t="shared" si="144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73">
        <f t="shared" si="145"/>
        <v>25</v>
      </c>
      <c r="Z2148" s="18">
        <v>46168</v>
      </c>
      <c r="AA2148" s="15"/>
      <c r="AB2148" s="15"/>
      <c r="AF2148" t="str">
        <f t="shared" si="146"/>
        <v>Closed in May</v>
      </c>
    </row>
    <row r="2149" spans="1:32" hidden="1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43"/>
        <v>24</v>
      </c>
      <c r="R2149" s="53" t="str">
        <f t="shared" si="144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73">
        <f t="shared" si="145"/>
        <v>25</v>
      </c>
      <c r="Z2149" s="18">
        <v>46168</v>
      </c>
      <c r="AA2149" s="15"/>
      <c r="AB2149" s="15"/>
      <c r="AF2149" t="str">
        <f t="shared" si="146"/>
        <v>Closed in May</v>
      </c>
    </row>
    <row r="2150" spans="1:32" hidden="1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43"/>
        <v>24</v>
      </c>
      <c r="R2150" s="53" t="str">
        <f t="shared" si="144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73">
        <f t="shared" si="145"/>
        <v>25</v>
      </c>
      <c r="Z2150" s="18">
        <v>46168</v>
      </c>
      <c r="AA2150" s="15"/>
      <c r="AB2150" s="15"/>
      <c r="AF2150" t="str">
        <f t="shared" si="146"/>
        <v>Closed in May</v>
      </c>
    </row>
    <row r="2151" spans="1:32" hidden="1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47">MID(P2151,5,2)</f>
        <v>24</v>
      </c>
      <c r="R2151" s="53" t="str">
        <f t="shared" ref="R2151:R2214" si="148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73">
        <f t="shared" si="145"/>
        <v>25</v>
      </c>
      <c r="Z2151" s="18">
        <v>46168</v>
      </c>
      <c r="AA2151" s="15"/>
      <c r="AB2151" s="15"/>
      <c r="AF2151" t="str">
        <f t="shared" si="146"/>
        <v>Closed in May</v>
      </c>
    </row>
    <row r="2152" spans="1:32" hidden="1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47"/>
        <v>24</v>
      </c>
      <c r="R2152" s="53" t="str">
        <f t="shared" si="148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73">
        <f t="shared" si="145"/>
        <v>25</v>
      </c>
      <c r="Z2152" s="18">
        <v>46168</v>
      </c>
      <c r="AA2152" s="15"/>
      <c r="AB2152" s="15"/>
      <c r="AF2152" t="str">
        <f t="shared" si="146"/>
        <v>Closed in May</v>
      </c>
    </row>
    <row r="2153" spans="1:32" hidden="1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47"/>
        <v>24</v>
      </c>
      <c r="R2153" s="53" t="str">
        <f t="shared" si="148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73">
        <f t="shared" si="145"/>
        <v>25</v>
      </c>
      <c r="Z2153" s="18">
        <v>46168</v>
      </c>
      <c r="AA2153" s="15"/>
      <c r="AB2153" s="15"/>
      <c r="AF2153" t="str">
        <f t="shared" si="146"/>
        <v>Closed in May</v>
      </c>
    </row>
    <row r="2154" spans="1:32" hidden="1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47"/>
        <v>24</v>
      </c>
      <c r="R2154" s="53" t="str">
        <f t="shared" si="148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73">
        <f t="shared" si="145"/>
        <v>25</v>
      </c>
      <c r="Z2154" s="18">
        <v>46168</v>
      </c>
      <c r="AA2154" s="15"/>
      <c r="AB2154" s="15"/>
      <c r="AF2154" t="str">
        <f t="shared" si="146"/>
        <v>Closed in May</v>
      </c>
    </row>
    <row r="2155" spans="1:32" hidden="1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47"/>
        <v>24</v>
      </c>
      <c r="R2155" s="53" t="str">
        <f t="shared" si="148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73">
        <f t="shared" si="145"/>
        <v>25</v>
      </c>
      <c r="Z2155" s="18">
        <v>46168</v>
      </c>
      <c r="AA2155" s="15"/>
      <c r="AB2155" s="15"/>
      <c r="AF2155" t="str">
        <f t="shared" si="146"/>
        <v>Closed in May</v>
      </c>
    </row>
    <row r="2156" spans="1:32" hidden="1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47"/>
        <v>24</v>
      </c>
      <c r="R2156" s="53" t="str">
        <f t="shared" si="148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73">
        <f t="shared" si="145"/>
        <v>25</v>
      </c>
      <c r="Z2156" s="18">
        <v>46168</v>
      </c>
      <c r="AA2156" s="15"/>
      <c r="AB2156" s="15"/>
      <c r="AF2156" t="str">
        <f t="shared" si="146"/>
        <v>Closed in May</v>
      </c>
    </row>
    <row r="2157" spans="1:32" hidden="1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47"/>
        <v>24</v>
      </c>
      <c r="R2157" s="53" t="str">
        <f t="shared" si="148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73">
        <f t="shared" si="145"/>
        <v>25</v>
      </c>
      <c r="Z2157" s="18">
        <v>46168</v>
      </c>
      <c r="AA2157" s="15"/>
      <c r="AB2157" s="15"/>
      <c r="AF2157" t="str">
        <f t="shared" si="146"/>
        <v>Closed in May</v>
      </c>
    </row>
    <row r="2158" spans="1:32" hidden="1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47"/>
        <v>24</v>
      </c>
      <c r="R2158" s="53" t="str">
        <f t="shared" si="148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73">
        <f t="shared" si="145"/>
        <v>25</v>
      </c>
      <c r="Z2158" s="18">
        <v>46168</v>
      </c>
      <c r="AA2158" s="15"/>
      <c r="AB2158" s="15"/>
      <c r="AF2158" t="str">
        <f t="shared" si="146"/>
        <v>Closed in May</v>
      </c>
    </row>
    <row r="2159" spans="1:32" hidden="1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47"/>
        <v>24</v>
      </c>
      <c r="R2159" s="53" t="str">
        <f t="shared" si="148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73">
        <f t="shared" si="145"/>
        <v>26</v>
      </c>
      <c r="Z2159" s="18">
        <v>46169</v>
      </c>
      <c r="AA2159" s="15"/>
      <c r="AB2159" s="15"/>
      <c r="AF2159" t="str">
        <f t="shared" si="146"/>
        <v>Closed in May</v>
      </c>
    </row>
    <row r="2160" spans="1:32" hidden="1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47"/>
        <v>24</v>
      </c>
      <c r="R2160" s="53" t="str">
        <f t="shared" si="148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73">
        <f t="shared" si="145"/>
        <v>26</v>
      </c>
      <c r="Z2160" s="18">
        <v>46169</v>
      </c>
      <c r="AA2160" s="15"/>
      <c r="AB2160" s="15"/>
      <c r="AF2160" t="str">
        <f t="shared" si="146"/>
        <v>Closed in May</v>
      </c>
    </row>
    <row r="2161" spans="1:32" hidden="1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47"/>
        <v>24</v>
      </c>
      <c r="R2161" s="53" t="str">
        <f t="shared" si="148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73">
        <f t="shared" si="145"/>
        <v>26</v>
      </c>
      <c r="Z2161" s="18">
        <v>46169</v>
      </c>
      <c r="AA2161" s="15"/>
      <c r="AB2161" s="15"/>
      <c r="AF2161" t="str">
        <f t="shared" si="146"/>
        <v>Closed in May</v>
      </c>
    </row>
    <row r="2162" spans="1:32" hidden="1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47"/>
        <v>24</v>
      </c>
      <c r="R2162" s="53" t="str">
        <f t="shared" si="148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73">
        <f t="shared" si="145"/>
        <v>26</v>
      </c>
      <c r="Z2162" s="18">
        <v>46169</v>
      </c>
      <c r="AA2162" s="15"/>
      <c r="AB2162" s="15"/>
      <c r="AF2162" t="str">
        <f t="shared" si="146"/>
        <v>Closed in May</v>
      </c>
    </row>
    <row r="2163" spans="1:32" hidden="1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47"/>
        <v>24</v>
      </c>
      <c r="R2163" s="53" t="str">
        <f t="shared" si="148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73">
        <f t="shared" si="145"/>
        <v>26</v>
      </c>
      <c r="Z2163" s="18">
        <v>46169</v>
      </c>
      <c r="AA2163" s="15"/>
      <c r="AB2163" s="15"/>
      <c r="AF2163" t="str">
        <f t="shared" si="146"/>
        <v>Closed in May</v>
      </c>
    </row>
    <row r="2164" spans="1:32" hidden="1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47"/>
        <v>24</v>
      </c>
      <c r="R2164" s="53" t="str">
        <f t="shared" si="148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73">
        <f t="shared" si="145"/>
        <v>26</v>
      </c>
      <c r="Z2164" s="18">
        <v>46169</v>
      </c>
      <c r="AA2164" s="15"/>
      <c r="AB2164" s="15"/>
      <c r="AF2164" t="str">
        <f t="shared" si="146"/>
        <v>Closed in May</v>
      </c>
    </row>
    <row r="2165" spans="1:32" hidden="1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47"/>
        <v>24</v>
      </c>
      <c r="R2165" s="53" t="str">
        <f t="shared" si="148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73">
        <f t="shared" si="145"/>
        <v>26</v>
      </c>
      <c r="Z2165" s="18">
        <v>46169</v>
      </c>
      <c r="AA2165" s="15"/>
      <c r="AB2165" s="15"/>
      <c r="AF2165" t="str">
        <f t="shared" si="146"/>
        <v>Closed in May</v>
      </c>
    </row>
    <row r="2166" spans="1:32" hidden="1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47"/>
        <v>24</v>
      </c>
      <c r="R2166" s="53" t="str">
        <f t="shared" si="148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73">
        <f t="shared" si="145"/>
        <v>26</v>
      </c>
      <c r="Z2166" s="18">
        <v>46169</v>
      </c>
      <c r="AA2166" s="15"/>
      <c r="AB2166" s="15"/>
      <c r="AF2166" t="str">
        <f t="shared" si="146"/>
        <v>Closed in May</v>
      </c>
    </row>
    <row r="2167" spans="1:32" hidden="1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47"/>
        <v>24</v>
      </c>
      <c r="R2167" s="53" t="str">
        <f t="shared" si="148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73">
        <f t="shared" si="145"/>
        <v>26</v>
      </c>
      <c r="Z2167" s="18">
        <v>46169</v>
      </c>
      <c r="AA2167" s="15"/>
      <c r="AB2167" s="15"/>
      <c r="AF2167" t="str">
        <f t="shared" si="146"/>
        <v>Closed in May</v>
      </c>
    </row>
    <row r="2168" spans="1:32" hidden="1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47"/>
        <v>24</v>
      </c>
      <c r="R2168" s="53" t="str">
        <f t="shared" si="148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73">
        <f t="shared" si="145"/>
        <v>26</v>
      </c>
      <c r="Z2168" s="18">
        <v>46169</v>
      </c>
      <c r="AA2168" s="15"/>
      <c r="AB2168" s="15"/>
      <c r="AF2168" t="str">
        <f t="shared" si="146"/>
        <v>Closed in May</v>
      </c>
    </row>
    <row r="2169" spans="1:32" hidden="1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47"/>
        <v>24</v>
      </c>
      <c r="R2169" s="53" t="str">
        <f t="shared" si="148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73">
        <f t="shared" si="145"/>
        <v>26</v>
      </c>
      <c r="Z2169" s="18">
        <v>46169</v>
      </c>
      <c r="AA2169" s="15"/>
      <c r="AB2169" s="15"/>
      <c r="AF2169" t="str">
        <f t="shared" si="146"/>
        <v>Closed in May</v>
      </c>
    </row>
    <row r="2170" spans="1:32" hidden="1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47"/>
        <v>24</v>
      </c>
      <c r="R2170" s="53" t="str">
        <f t="shared" si="148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73">
        <f t="shared" si="145"/>
        <v>26</v>
      </c>
      <c r="Z2170" s="18">
        <v>46169</v>
      </c>
      <c r="AA2170" s="15"/>
      <c r="AB2170" s="15"/>
      <c r="AF2170" t="str">
        <f t="shared" si="146"/>
        <v>Closed in May</v>
      </c>
    </row>
    <row r="2171" spans="1:32" hidden="1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47"/>
        <v>24</v>
      </c>
      <c r="R2171" s="53" t="str">
        <f t="shared" si="148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73">
        <f t="shared" si="145"/>
        <v>26</v>
      </c>
      <c r="Z2171" s="18">
        <v>46169</v>
      </c>
      <c r="AA2171" s="15"/>
      <c r="AB2171" s="15"/>
      <c r="AF2171" t="str">
        <f t="shared" si="146"/>
        <v>Closed in May</v>
      </c>
    </row>
    <row r="2172" spans="1:32" hidden="1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47"/>
        <v>24</v>
      </c>
      <c r="R2172" s="53" t="str">
        <f t="shared" si="148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73">
        <f t="shared" si="145"/>
        <v>26</v>
      </c>
      <c r="Z2172" s="18">
        <v>46169</v>
      </c>
      <c r="AA2172" s="15"/>
      <c r="AB2172" s="15"/>
      <c r="AF2172" t="str">
        <f t="shared" si="146"/>
        <v>Closed in May</v>
      </c>
    </row>
    <row r="2173" spans="1:32" hidden="1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47"/>
        <v>24</v>
      </c>
      <c r="R2173" s="53" t="str">
        <f t="shared" si="148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73">
        <f t="shared" si="145"/>
        <v>26</v>
      </c>
      <c r="Z2173" s="18">
        <v>46169</v>
      </c>
      <c r="AA2173" s="15"/>
      <c r="AB2173" s="15"/>
      <c r="AF2173" t="str">
        <f t="shared" si="146"/>
        <v>Closed in May</v>
      </c>
    </row>
    <row r="2174" spans="1:32" hidden="1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47"/>
        <v>24</v>
      </c>
      <c r="R2174" s="53" t="str">
        <f t="shared" si="148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73">
        <f t="shared" si="145"/>
        <v>26</v>
      </c>
      <c r="Z2174" s="18">
        <v>46169</v>
      </c>
      <c r="AA2174" s="15"/>
      <c r="AB2174" s="15"/>
      <c r="AF2174" t="str">
        <f t="shared" si="146"/>
        <v>Closed in May</v>
      </c>
    </row>
    <row r="2175" spans="1:32" hidden="1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47"/>
        <v>24</v>
      </c>
      <c r="R2175" s="53" t="str">
        <f t="shared" si="148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73">
        <f t="shared" si="145"/>
        <v>26</v>
      </c>
      <c r="Z2175" s="18">
        <v>46169</v>
      </c>
      <c r="AA2175" s="15"/>
      <c r="AB2175" s="15"/>
      <c r="AF2175" t="str">
        <f t="shared" si="146"/>
        <v>Closed in May</v>
      </c>
    </row>
    <row r="2176" spans="1:32" hidden="1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47"/>
        <v>24</v>
      </c>
      <c r="R2176" s="53" t="str">
        <f t="shared" si="148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73">
        <f t="shared" si="145"/>
        <v>26</v>
      </c>
      <c r="Z2176" s="18">
        <v>46169</v>
      </c>
      <c r="AA2176" s="15"/>
      <c r="AB2176" s="15"/>
      <c r="AF2176" t="str">
        <f t="shared" si="146"/>
        <v>Closed in May</v>
      </c>
    </row>
    <row r="2177" spans="1:32" hidden="1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47"/>
        <v>24</v>
      </c>
      <c r="R2177" s="53" t="str">
        <f t="shared" si="148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73">
        <f t="shared" si="145"/>
        <v>26</v>
      </c>
      <c r="Z2177" s="18">
        <v>46169</v>
      </c>
      <c r="AA2177" s="15"/>
      <c r="AB2177" s="15"/>
      <c r="AF2177" t="str">
        <f t="shared" si="146"/>
        <v>Closed in May</v>
      </c>
    </row>
    <row r="2178" spans="1:32" hidden="1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47"/>
        <v>24</v>
      </c>
      <c r="R2178" s="53" t="str">
        <f t="shared" si="148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73">
        <f t="shared" ref="Y2178:Y2241" si="149">IF(X2178="","",X2178-A2178)</f>
        <v>26</v>
      </c>
      <c r="Z2178" s="18">
        <v>46169</v>
      </c>
      <c r="AA2178" s="15"/>
      <c r="AB2178" s="15"/>
      <c r="AF2178" t="str">
        <f t="shared" ref="AF2178:AF2241" si="150">IF(AND($F2178="Closed",$X2178&gt;=DATE(2026,5,1),$X2178&lt;=DATE(2026,5,31)),"Closed in May","Other")</f>
        <v>Closed in May</v>
      </c>
    </row>
    <row r="2179" spans="1:32" hidden="1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47"/>
        <v>24</v>
      </c>
      <c r="R2179" s="53" t="str">
        <f t="shared" si="148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73">
        <f t="shared" si="149"/>
        <v>26</v>
      </c>
      <c r="Z2179" s="18">
        <v>46169</v>
      </c>
      <c r="AA2179" s="15"/>
      <c r="AB2179" s="15"/>
      <c r="AF2179" t="str">
        <f t="shared" si="150"/>
        <v>Closed in May</v>
      </c>
    </row>
    <row r="2180" spans="1:32" hidden="1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47"/>
        <v>24</v>
      </c>
      <c r="R2180" s="53" t="str">
        <f t="shared" si="148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73">
        <f t="shared" si="149"/>
        <v>26</v>
      </c>
      <c r="Z2180" s="18">
        <v>46169</v>
      </c>
      <c r="AA2180" s="15"/>
      <c r="AB2180" s="15"/>
      <c r="AF2180" t="str">
        <f t="shared" si="150"/>
        <v>Closed in May</v>
      </c>
    </row>
    <row r="2181" spans="1:32" hidden="1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47"/>
        <v>24</v>
      </c>
      <c r="R2181" s="53" t="str">
        <f t="shared" si="148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73">
        <f t="shared" si="149"/>
        <v>26</v>
      </c>
      <c r="Z2181" s="18">
        <v>46169</v>
      </c>
      <c r="AA2181" s="15"/>
      <c r="AB2181" s="15"/>
      <c r="AF2181" t="str">
        <f t="shared" si="150"/>
        <v>Closed in May</v>
      </c>
    </row>
    <row r="2182" spans="1:32" hidden="1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47"/>
        <v>24</v>
      </c>
      <c r="R2182" s="53" t="str">
        <f t="shared" si="148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73">
        <f t="shared" si="149"/>
        <v>26</v>
      </c>
      <c r="Z2182" s="18">
        <v>46169</v>
      </c>
      <c r="AA2182" s="15"/>
      <c r="AB2182" s="15"/>
      <c r="AF2182" t="str">
        <f t="shared" si="150"/>
        <v>Closed in May</v>
      </c>
    </row>
    <row r="2183" spans="1:32" hidden="1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47"/>
        <v>23</v>
      </c>
      <c r="R2183" s="53" t="str">
        <f t="shared" si="148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73">
        <f t="shared" si="149"/>
        <v>21</v>
      </c>
      <c r="Z2183" s="18">
        <v>46169</v>
      </c>
      <c r="AA2183" s="15"/>
      <c r="AB2183" s="15"/>
      <c r="AF2183" t="str">
        <f t="shared" si="150"/>
        <v>Closed in May</v>
      </c>
    </row>
    <row r="2184" spans="1:32" hidden="1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47"/>
        <v>23</v>
      </c>
      <c r="R2184" s="53" t="str">
        <f t="shared" si="148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73">
        <f t="shared" si="149"/>
        <v>21</v>
      </c>
      <c r="Z2184" s="18">
        <v>46169</v>
      </c>
      <c r="AA2184" s="15"/>
      <c r="AB2184" s="15"/>
      <c r="AF2184" t="str">
        <f t="shared" si="150"/>
        <v>Closed in May</v>
      </c>
    </row>
    <row r="2185" spans="1:32" hidden="1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47"/>
        <v>23</v>
      </c>
      <c r="R2185" s="53" t="str">
        <f t="shared" si="148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73">
        <f t="shared" si="149"/>
        <v>21</v>
      </c>
      <c r="Z2185" s="18">
        <v>46169</v>
      </c>
      <c r="AA2185" s="15"/>
      <c r="AB2185" s="15"/>
      <c r="AF2185" t="str">
        <f t="shared" si="150"/>
        <v>Closed in May</v>
      </c>
    </row>
    <row r="2186" spans="1:32" hidden="1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47"/>
        <v>23</v>
      </c>
      <c r="R2186" s="53" t="str">
        <f t="shared" si="148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73">
        <f t="shared" si="149"/>
        <v>21</v>
      </c>
      <c r="Z2186" s="18">
        <v>46169</v>
      </c>
      <c r="AA2186" s="15"/>
      <c r="AB2186" s="15"/>
      <c r="AF2186" t="str">
        <f t="shared" si="150"/>
        <v>Closed in May</v>
      </c>
    </row>
    <row r="2187" spans="1:32" hidden="1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47"/>
        <v>23</v>
      </c>
      <c r="R2187" s="53" t="str">
        <f t="shared" si="148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73">
        <f t="shared" si="149"/>
        <v>21</v>
      </c>
      <c r="Z2187" s="18">
        <v>46169</v>
      </c>
      <c r="AA2187" s="15"/>
      <c r="AB2187" s="15"/>
      <c r="AF2187" t="str">
        <f t="shared" si="150"/>
        <v>Closed in May</v>
      </c>
    </row>
    <row r="2188" spans="1:32" hidden="1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47"/>
        <v>23</v>
      </c>
      <c r="R2188" s="53" t="str">
        <f t="shared" si="148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73">
        <f t="shared" si="149"/>
        <v>21</v>
      </c>
      <c r="Z2188" s="18">
        <v>46169</v>
      </c>
      <c r="AA2188" s="15"/>
      <c r="AB2188" s="15"/>
      <c r="AF2188" t="str">
        <f t="shared" si="150"/>
        <v>Closed in May</v>
      </c>
    </row>
    <row r="2189" spans="1:32" hidden="1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47"/>
        <v>23</v>
      </c>
      <c r="R2189" s="53" t="str">
        <f t="shared" si="148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73">
        <f t="shared" si="149"/>
        <v>21</v>
      </c>
      <c r="Z2189" s="18">
        <v>46169</v>
      </c>
      <c r="AA2189" s="15"/>
      <c r="AB2189" s="15"/>
      <c r="AF2189" t="str">
        <f t="shared" si="150"/>
        <v>Closed in May</v>
      </c>
    </row>
    <row r="2190" spans="1:32" hidden="1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47"/>
        <v>23</v>
      </c>
      <c r="R2190" s="53" t="str">
        <f t="shared" si="148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73">
        <f t="shared" si="149"/>
        <v>21</v>
      </c>
      <c r="Z2190" s="18">
        <v>46169</v>
      </c>
      <c r="AA2190" s="15"/>
      <c r="AB2190" s="15"/>
      <c r="AF2190" t="str">
        <f t="shared" si="150"/>
        <v>Closed in May</v>
      </c>
    </row>
    <row r="2191" spans="1:32" hidden="1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47"/>
        <v>23</v>
      </c>
      <c r="R2191" s="53" t="str">
        <f t="shared" si="148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73">
        <f t="shared" si="149"/>
        <v>21</v>
      </c>
      <c r="Z2191" s="18">
        <v>46169</v>
      </c>
      <c r="AA2191" s="15"/>
      <c r="AB2191" s="15"/>
      <c r="AF2191" t="str">
        <f t="shared" si="150"/>
        <v>Closed in May</v>
      </c>
    </row>
    <row r="2192" spans="1:32" hidden="1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47"/>
        <v>23</v>
      </c>
      <c r="R2192" s="53" t="str">
        <f t="shared" si="148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73">
        <f t="shared" si="149"/>
        <v>21</v>
      </c>
      <c r="Z2192" s="18">
        <v>46169</v>
      </c>
      <c r="AA2192" s="15"/>
      <c r="AB2192" s="15"/>
      <c r="AF2192" t="str">
        <f t="shared" si="150"/>
        <v>Closed in May</v>
      </c>
    </row>
    <row r="2193" spans="1:32" hidden="1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47"/>
        <v>23</v>
      </c>
      <c r="R2193" s="53" t="str">
        <f t="shared" si="148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73">
        <f t="shared" si="149"/>
        <v>21</v>
      </c>
      <c r="Z2193" s="18">
        <v>46169</v>
      </c>
      <c r="AA2193" s="15"/>
      <c r="AB2193" s="15"/>
      <c r="AF2193" t="str">
        <f t="shared" si="150"/>
        <v>Closed in May</v>
      </c>
    </row>
    <row r="2194" spans="1:32" hidden="1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47"/>
        <v>23</v>
      </c>
      <c r="R2194" s="53" t="str">
        <f t="shared" si="148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73">
        <f t="shared" si="149"/>
        <v>21</v>
      </c>
      <c r="Z2194" s="18">
        <v>46169</v>
      </c>
      <c r="AA2194" s="15"/>
      <c r="AB2194" s="15"/>
      <c r="AF2194" t="str">
        <f t="shared" si="150"/>
        <v>Closed in May</v>
      </c>
    </row>
    <row r="2195" spans="1:32" hidden="1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47"/>
        <v>23</v>
      </c>
      <c r="R2195" s="53" t="str">
        <f t="shared" si="148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73">
        <f t="shared" si="149"/>
        <v>21</v>
      </c>
      <c r="Z2195" s="18">
        <v>46169</v>
      </c>
      <c r="AA2195" s="15"/>
      <c r="AB2195" s="15"/>
      <c r="AF2195" t="str">
        <f t="shared" si="150"/>
        <v>Closed in May</v>
      </c>
    </row>
    <row r="2196" spans="1:32" hidden="1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47"/>
        <v>23</v>
      </c>
      <c r="R2196" s="53" t="str">
        <f t="shared" si="148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73">
        <f t="shared" si="149"/>
        <v>21</v>
      </c>
      <c r="Z2196" s="18">
        <v>46169</v>
      </c>
      <c r="AA2196" s="15"/>
      <c r="AB2196" s="15"/>
      <c r="AF2196" t="str">
        <f t="shared" si="150"/>
        <v>Closed in May</v>
      </c>
    </row>
    <row r="2197" spans="1:32" hidden="1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47"/>
        <v>23</v>
      </c>
      <c r="R2197" s="53" t="str">
        <f t="shared" si="148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73">
        <f t="shared" si="149"/>
        <v>21</v>
      </c>
      <c r="Z2197" s="18">
        <v>46169</v>
      </c>
      <c r="AA2197" s="15"/>
      <c r="AB2197" s="15"/>
      <c r="AF2197" t="str">
        <f t="shared" si="150"/>
        <v>Closed in May</v>
      </c>
    </row>
    <row r="2198" spans="1:32" hidden="1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47"/>
        <v>23</v>
      </c>
      <c r="R2198" s="53" t="str">
        <f t="shared" si="148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73">
        <f t="shared" si="149"/>
        <v>21</v>
      </c>
      <c r="Z2198" s="18">
        <v>46169</v>
      </c>
      <c r="AA2198" s="15"/>
      <c r="AB2198" s="15"/>
      <c r="AF2198" t="str">
        <f t="shared" si="150"/>
        <v>Closed in May</v>
      </c>
    </row>
    <row r="2199" spans="1:32" hidden="1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47"/>
        <v>23</v>
      </c>
      <c r="R2199" s="53" t="str">
        <f t="shared" si="148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73">
        <f t="shared" si="149"/>
        <v>21</v>
      </c>
      <c r="Z2199" s="18">
        <v>46169</v>
      </c>
      <c r="AA2199" s="15"/>
      <c r="AB2199" s="15"/>
      <c r="AF2199" t="str">
        <f t="shared" si="150"/>
        <v>Closed in May</v>
      </c>
    </row>
    <row r="2200" spans="1:32" hidden="1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47"/>
        <v>23</v>
      </c>
      <c r="R2200" s="53" t="str">
        <f t="shared" si="148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73">
        <f t="shared" si="149"/>
        <v>21</v>
      </c>
      <c r="Z2200" s="18">
        <v>46169</v>
      </c>
      <c r="AA2200" s="15"/>
      <c r="AB2200" s="15"/>
      <c r="AF2200" t="str">
        <f t="shared" si="150"/>
        <v>Closed in May</v>
      </c>
    </row>
    <row r="2201" spans="1:32" hidden="1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47"/>
        <v>23</v>
      </c>
      <c r="R2201" s="53" t="str">
        <f t="shared" si="148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73">
        <f t="shared" si="149"/>
        <v>21</v>
      </c>
      <c r="Z2201" s="18">
        <v>46169</v>
      </c>
      <c r="AA2201" s="15"/>
      <c r="AB2201" s="15"/>
      <c r="AF2201" t="str">
        <f t="shared" si="150"/>
        <v>Closed in May</v>
      </c>
    </row>
    <row r="2202" spans="1:32" hidden="1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47"/>
        <v>23</v>
      </c>
      <c r="R2202" s="53" t="str">
        <f t="shared" si="148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73">
        <f t="shared" si="149"/>
        <v>21</v>
      </c>
      <c r="Z2202" s="18">
        <v>46169</v>
      </c>
      <c r="AA2202" s="15"/>
      <c r="AB2202" s="15"/>
      <c r="AF2202" t="str">
        <f t="shared" si="150"/>
        <v>Closed in May</v>
      </c>
    </row>
    <row r="2203" spans="1:32" hidden="1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47"/>
        <v>23</v>
      </c>
      <c r="R2203" s="53" t="str">
        <f t="shared" si="148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73">
        <f t="shared" si="149"/>
        <v>21</v>
      </c>
      <c r="Z2203" s="18">
        <v>46169</v>
      </c>
      <c r="AA2203" s="15"/>
      <c r="AB2203" s="15"/>
      <c r="AF2203" t="str">
        <f t="shared" si="150"/>
        <v>Closed in May</v>
      </c>
    </row>
    <row r="2204" spans="1:32" hidden="1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47"/>
        <v>23</v>
      </c>
      <c r="R2204" s="53" t="str">
        <f t="shared" si="148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73">
        <f t="shared" si="149"/>
        <v>21</v>
      </c>
      <c r="Z2204" s="18">
        <v>46169</v>
      </c>
      <c r="AA2204" s="15"/>
      <c r="AB2204" s="15"/>
      <c r="AF2204" t="str">
        <f t="shared" si="150"/>
        <v>Closed in May</v>
      </c>
    </row>
    <row r="2205" spans="1:32" hidden="1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47"/>
        <v>23</v>
      </c>
      <c r="R2205" s="53" t="str">
        <f t="shared" si="148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73">
        <f t="shared" si="149"/>
        <v>21</v>
      </c>
      <c r="Z2205" s="18">
        <v>46169</v>
      </c>
      <c r="AA2205" s="15"/>
      <c r="AB2205" s="15"/>
      <c r="AF2205" t="str">
        <f t="shared" si="150"/>
        <v>Closed in May</v>
      </c>
    </row>
    <row r="2206" spans="1:32" hidden="1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47"/>
        <v>23</v>
      </c>
      <c r="R2206" s="53" t="str">
        <f t="shared" si="148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73">
        <f t="shared" si="149"/>
        <v>21</v>
      </c>
      <c r="Z2206" s="18">
        <v>46169</v>
      </c>
      <c r="AA2206" s="15"/>
      <c r="AB2206" s="15"/>
      <c r="AF2206" t="str">
        <f t="shared" si="150"/>
        <v>Closed in May</v>
      </c>
    </row>
    <row r="2207" spans="1:32" hidden="1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47"/>
        <v>23</v>
      </c>
      <c r="R2207" s="53" t="str">
        <f t="shared" si="148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73">
        <f t="shared" si="149"/>
        <v>21</v>
      </c>
      <c r="Z2207" s="18">
        <v>46169</v>
      </c>
      <c r="AA2207" s="15"/>
      <c r="AB2207" s="15"/>
      <c r="AF2207" t="str">
        <f t="shared" si="150"/>
        <v>Closed in May</v>
      </c>
    </row>
    <row r="2208" spans="1:32" hidden="1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47"/>
        <v>23</v>
      </c>
      <c r="R2208" s="53" t="str">
        <f t="shared" si="148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73">
        <f t="shared" si="149"/>
        <v>21</v>
      </c>
      <c r="Z2208" s="18">
        <v>46169</v>
      </c>
      <c r="AA2208" s="15"/>
      <c r="AB2208" s="15"/>
      <c r="AF2208" t="str">
        <f t="shared" si="150"/>
        <v>Closed in May</v>
      </c>
    </row>
    <row r="2209" spans="1:32" hidden="1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47"/>
        <v>23</v>
      </c>
      <c r="R2209" s="53" t="str">
        <f t="shared" si="148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73">
        <f t="shared" si="149"/>
        <v>21</v>
      </c>
      <c r="Z2209" s="18">
        <v>46169</v>
      </c>
      <c r="AA2209" s="15"/>
      <c r="AB2209" s="15"/>
      <c r="AF2209" t="str">
        <f t="shared" si="150"/>
        <v>Closed in May</v>
      </c>
    </row>
    <row r="2210" spans="1:32" hidden="1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47"/>
        <v>23</v>
      </c>
      <c r="R2210" s="53" t="str">
        <f t="shared" si="148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73">
        <f t="shared" si="149"/>
        <v>21</v>
      </c>
      <c r="Z2210" s="18">
        <v>46169</v>
      </c>
      <c r="AA2210" s="15"/>
      <c r="AB2210" s="15"/>
      <c r="AF2210" t="str">
        <f t="shared" si="150"/>
        <v>Closed in May</v>
      </c>
    </row>
    <row r="2211" spans="1:32" hidden="1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47"/>
        <v>23</v>
      </c>
      <c r="R2211" s="53" t="str">
        <f t="shared" si="148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73">
        <f t="shared" si="149"/>
        <v>21</v>
      </c>
      <c r="Z2211" s="18">
        <v>46169</v>
      </c>
      <c r="AA2211" s="15"/>
      <c r="AB2211" s="15"/>
      <c r="AF2211" t="str">
        <f t="shared" si="150"/>
        <v>Closed in May</v>
      </c>
    </row>
    <row r="2212" spans="1:32" hidden="1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47"/>
        <v>23</v>
      </c>
      <c r="R2212" s="53" t="str">
        <f t="shared" si="148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73">
        <f t="shared" si="149"/>
        <v>21</v>
      </c>
      <c r="Z2212" s="18">
        <v>46169</v>
      </c>
      <c r="AA2212" s="15"/>
      <c r="AB2212" s="15"/>
      <c r="AF2212" t="str">
        <f t="shared" si="150"/>
        <v>Closed in May</v>
      </c>
    </row>
    <row r="2213" spans="1:32" hidden="1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47"/>
        <v>23</v>
      </c>
      <c r="R2213" s="53" t="str">
        <f t="shared" si="148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73">
        <f t="shared" si="149"/>
        <v>21</v>
      </c>
      <c r="Z2213" s="18">
        <v>46169</v>
      </c>
      <c r="AA2213" s="15"/>
      <c r="AB2213" s="15"/>
      <c r="AF2213" t="str">
        <f t="shared" si="150"/>
        <v>Closed in May</v>
      </c>
    </row>
    <row r="2214" spans="1:32" hidden="1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47"/>
        <v>23</v>
      </c>
      <c r="R2214" s="53" t="str">
        <f t="shared" si="148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73">
        <f t="shared" si="149"/>
        <v>21</v>
      </c>
      <c r="Z2214" s="18">
        <v>46169</v>
      </c>
      <c r="AA2214" s="15"/>
      <c r="AB2214" s="15"/>
      <c r="AF2214" t="str">
        <f t="shared" si="150"/>
        <v>Closed in May</v>
      </c>
    </row>
    <row r="2215" spans="1:32" hidden="1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51">MID(P2215,5,2)</f>
        <v>23</v>
      </c>
      <c r="R2215" s="53" t="str">
        <f t="shared" ref="R2215:R2278" si="152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73">
        <f t="shared" si="149"/>
        <v>21</v>
      </c>
      <c r="Z2215" s="18">
        <v>46169</v>
      </c>
      <c r="AA2215" s="15"/>
      <c r="AB2215" s="15"/>
      <c r="AF2215" t="str">
        <f t="shared" si="150"/>
        <v>Closed in May</v>
      </c>
    </row>
    <row r="2216" spans="1:32" hidden="1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51"/>
        <v>23</v>
      </c>
      <c r="R2216" s="53" t="str">
        <f t="shared" si="152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73">
        <f t="shared" si="149"/>
        <v>21</v>
      </c>
      <c r="Z2216" s="18">
        <v>46169</v>
      </c>
      <c r="AA2216" s="15"/>
      <c r="AB2216" s="15"/>
      <c r="AF2216" t="str">
        <f t="shared" si="150"/>
        <v>Closed in May</v>
      </c>
    </row>
    <row r="2217" spans="1:32" hidden="1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51"/>
        <v>23</v>
      </c>
      <c r="R2217" s="53" t="str">
        <f t="shared" si="152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73">
        <f t="shared" si="149"/>
        <v>21</v>
      </c>
      <c r="Z2217" s="18">
        <v>46169</v>
      </c>
      <c r="AA2217" s="15"/>
      <c r="AB2217" s="15"/>
      <c r="AF2217" t="str">
        <f t="shared" si="150"/>
        <v>Closed in May</v>
      </c>
    </row>
    <row r="2218" spans="1:32" hidden="1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51"/>
        <v>23</v>
      </c>
      <c r="R2218" s="53" t="str">
        <f t="shared" si="152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73">
        <f t="shared" si="149"/>
        <v>21</v>
      </c>
      <c r="Z2218" s="18">
        <v>46169</v>
      </c>
      <c r="AA2218" s="15"/>
      <c r="AB2218" s="15"/>
      <c r="AF2218" t="str">
        <f t="shared" si="150"/>
        <v>Closed in May</v>
      </c>
    </row>
    <row r="2219" spans="1:32" hidden="1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51"/>
        <v>23</v>
      </c>
      <c r="R2219" s="53" t="str">
        <f t="shared" si="152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73">
        <f t="shared" si="149"/>
        <v>21</v>
      </c>
      <c r="Z2219" s="18">
        <v>46169</v>
      </c>
      <c r="AA2219" s="15"/>
      <c r="AB2219" s="15"/>
      <c r="AF2219" t="str">
        <f t="shared" si="150"/>
        <v>Closed in May</v>
      </c>
    </row>
    <row r="2220" spans="1:32" hidden="1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51"/>
        <v>23</v>
      </c>
      <c r="R2220" s="53" t="str">
        <f t="shared" si="152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73">
        <f t="shared" si="149"/>
        <v>21</v>
      </c>
      <c r="Z2220" s="18">
        <v>46169</v>
      </c>
      <c r="AA2220" s="15"/>
      <c r="AB2220" s="15"/>
      <c r="AF2220" t="str">
        <f t="shared" si="150"/>
        <v>Closed in May</v>
      </c>
    </row>
    <row r="2221" spans="1:32" hidden="1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51"/>
        <v>23</v>
      </c>
      <c r="R2221" s="53" t="str">
        <f t="shared" si="152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73">
        <f t="shared" si="149"/>
        <v>21</v>
      </c>
      <c r="Z2221" s="18">
        <v>46169</v>
      </c>
      <c r="AA2221" s="15"/>
      <c r="AB2221" s="15"/>
      <c r="AF2221" t="str">
        <f t="shared" si="150"/>
        <v>Closed in May</v>
      </c>
    </row>
    <row r="2222" spans="1:32" hidden="1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51"/>
        <v>23</v>
      </c>
      <c r="R2222" s="53" t="str">
        <f t="shared" si="152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73">
        <f t="shared" si="149"/>
        <v>21</v>
      </c>
      <c r="Z2222" s="18">
        <v>46169</v>
      </c>
      <c r="AA2222" s="15"/>
      <c r="AB2222" s="15"/>
      <c r="AF2222" t="str">
        <f t="shared" si="150"/>
        <v>Closed in May</v>
      </c>
    </row>
    <row r="2223" spans="1:32" hidden="1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51"/>
        <v>23</v>
      </c>
      <c r="R2223" s="53" t="str">
        <f t="shared" si="152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73">
        <f t="shared" si="149"/>
        <v>21</v>
      </c>
      <c r="Z2223" s="18">
        <v>46169</v>
      </c>
      <c r="AA2223" s="15"/>
      <c r="AB2223" s="15"/>
      <c r="AF2223" t="str">
        <f t="shared" si="150"/>
        <v>Closed in May</v>
      </c>
    </row>
    <row r="2224" spans="1:32" hidden="1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51"/>
        <v>23</v>
      </c>
      <c r="R2224" s="53" t="str">
        <f t="shared" si="152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73">
        <f t="shared" si="149"/>
        <v>21</v>
      </c>
      <c r="Z2224" s="18">
        <v>46169</v>
      </c>
      <c r="AA2224" s="15"/>
      <c r="AB2224" s="15"/>
      <c r="AF2224" t="str">
        <f t="shared" si="150"/>
        <v>Closed in May</v>
      </c>
    </row>
    <row r="2225" spans="1:32" hidden="1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51"/>
        <v>23</v>
      </c>
      <c r="R2225" s="53" t="str">
        <f t="shared" si="152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73">
        <f t="shared" si="149"/>
        <v>21</v>
      </c>
      <c r="Z2225" s="18">
        <v>46169</v>
      </c>
      <c r="AA2225" s="15"/>
      <c r="AB2225" s="15"/>
      <c r="AF2225" t="str">
        <f t="shared" si="150"/>
        <v>Closed in May</v>
      </c>
    </row>
    <row r="2226" spans="1:32" hidden="1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51"/>
        <v>23</v>
      </c>
      <c r="R2226" s="53" t="str">
        <f t="shared" si="152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73">
        <f t="shared" si="149"/>
        <v>21</v>
      </c>
      <c r="Z2226" s="18">
        <v>46169</v>
      </c>
      <c r="AA2226" s="15"/>
      <c r="AB2226" s="15"/>
      <c r="AF2226" t="str">
        <f t="shared" si="150"/>
        <v>Closed in May</v>
      </c>
    </row>
    <row r="2227" spans="1:32" hidden="1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51"/>
        <v>23</v>
      </c>
      <c r="R2227" s="53" t="str">
        <f t="shared" si="152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73">
        <f t="shared" si="149"/>
        <v>21</v>
      </c>
      <c r="Z2227" s="18">
        <v>46169</v>
      </c>
      <c r="AA2227" s="15"/>
      <c r="AB2227" s="15"/>
      <c r="AF2227" t="str">
        <f t="shared" si="150"/>
        <v>Closed in May</v>
      </c>
    </row>
    <row r="2228" spans="1:32" hidden="1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51"/>
        <v>23</v>
      </c>
      <c r="R2228" s="53" t="str">
        <f t="shared" si="152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73">
        <f t="shared" si="149"/>
        <v>21</v>
      </c>
      <c r="Z2228" s="18">
        <v>46169</v>
      </c>
      <c r="AA2228" s="15"/>
      <c r="AB2228" s="15"/>
      <c r="AF2228" t="str">
        <f t="shared" si="150"/>
        <v>Closed in May</v>
      </c>
    </row>
    <row r="2229" spans="1:32" hidden="1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51"/>
        <v>23</v>
      </c>
      <c r="R2229" s="53" t="str">
        <f t="shared" si="152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73">
        <f t="shared" si="149"/>
        <v>21</v>
      </c>
      <c r="Z2229" s="18">
        <v>46169</v>
      </c>
      <c r="AA2229" s="15"/>
      <c r="AB2229" s="15"/>
      <c r="AF2229" t="str">
        <f t="shared" si="150"/>
        <v>Closed in May</v>
      </c>
    </row>
    <row r="2230" spans="1:32" hidden="1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51"/>
        <v>23</v>
      </c>
      <c r="R2230" s="53" t="str">
        <f t="shared" si="152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73">
        <f t="shared" si="149"/>
        <v>21</v>
      </c>
      <c r="Z2230" s="18">
        <v>46169</v>
      </c>
      <c r="AA2230" s="15"/>
      <c r="AB2230" s="15"/>
      <c r="AF2230" t="str">
        <f t="shared" si="150"/>
        <v>Closed in May</v>
      </c>
    </row>
    <row r="2231" spans="1:32" hidden="1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51"/>
        <v>23</v>
      </c>
      <c r="R2231" s="53" t="str">
        <f t="shared" si="152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73">
        <f t="shared" si="149"/>
        <v>21</v>
      </c>
      <c r="Z2231" s="18">
        <v>46169</v>
      </c>
      <c r="AA2231" s="15"/>
      <c r="AB2231" s="15"/>
      <c r="AF2231" t="str">
        <f t="shared" si="150"/>
        <v>Closed in May</v>
      </c>
    </row>
    <row r="2232" spans="1:32" hidden="1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51"/>
        <v>23</v>
      </c>
      <c r="R2232" s="53" t="str">
        <f t="shared" si="152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73">
        <f t="shared" si="149"/>
        <v>21</v>
      </c>
      <c r="Z2232" s="18">
        <v>46169</v>
      </c>
      <c r="AA2232" s="15"/>
      <c r="AB2232" s="15"/>
      <c r="AF2232" t="str">
        <f t="shared" si="150"/>
        <v>Closed in May</v>
      </c>
    </row>
    <row r="2233" spans="1:32" hidden="1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51"/>
        <v>23</v>
      </c>
      <c r="R2233" s="53" t="str">
        <f t="shared" si="152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73">
        <f t="shared" si="149"/>
        <v>21</v>
      </c>
      <c r="Z2233" s="18">
        <v>46169</v>
      </c>
      <c r="AA2233" s="15"/>
      <c r="AB2233" s="15"/>
      <c r="AF2233" t="str">
        <f t="shared" si="150"/>
        <v>Closed in May</v>
      </c>
    </row>
    <row r="2234" spans="1:32" hidden="1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51"/>
        <v>23</v>
      </c>
      <c r="R2234" s="53" t="str">
        <f t="shared" si="152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73">
        <f t="shared" si="149"/>
        <v>21</v>
      </c>
      <c r="Z2234" s="18">
        <v>46169</v>
      </c>
      <c r="AA2234" s="15"/>
      <c r="AB2234" s="15"/>
      <c r="AF2234" t="str">
        <f t="shared" si="150"/>
        <v>Closed in May</v>
      </c>
    </row>
    <row r="2235" spans="1:32" hidden="1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51"/>
        <v>23</v>
      </c>
      <c r="R2235" s="53" t="str">
        <f t="shared" si="152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73">
        <f t="shared" si="149"/>
        <v>21</v>
      </c>
      <c r="Z2235" s="18">
        <v>46169</v>
      </c>
      <c r="AA2235" s="15"/>
      <c r="AB2235" s="15"/>
      <c r="AF2235" t="str">
        <f t="shared" si="150"/>
        <v>Closed in May</v>
      </c>
    </row>
    <row r="2236" spans="1:32" hidden="1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51"/>
        <v>23</v>
      </c>
      <c r="R2236" s="53" t="str">
        <f t="shared" si="152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73">
        <f t="shared" si="149"/>
        <v>21</v>
      </c>
      <c r="Z2236" s="18">
        <v>46169</v>
      </c>
      <c r="AA2236" s="15"/>
      <c r="AB2236" s="15"/>
      <c r="AF2236" t="str">
        <f t="shared" si="150"/>
        <v>Closed in May</v>
      </c>
    </row>
    <row r="2237" spans="1:32" hidden="1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51"/>
        <v>23</v>
      </c>
      <c r="R2237" s="53" t="str">
        <f t="shared" si="152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73">
        <f t="shared" si="149"/>
        <v>21</v>
      </c>
      <c r="Z2237" s="18">
        <v>46169</v>
      </c>
      <c r="AA2237" s="15"/>
      <c r="AB2237" s="15"/>
      <c r="AF2237" t="str">
        <f t="shared" si="150"/>
        <v>Closed in May</v>
      </c>
    </row>
    <row r="2238" spans="1:32" hidden="1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51"/>
        <v>23</v>
      </c>
      <c r="R2238" s="53" t="str">
        <f t="shared" si="152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73">
        <f t="shared" si="149"/>
        <v>21</v>
      </c>
      <c r="Z2238" s="18">
        <v>46169</v>
      </c>
      <c r="AA2238" s="15"/>
      <c r="AB2238" s="15"/>
      <c r="AF2238" t="str">
        <f t="shared" si="150"/>
        <v>Closed in May</v>
      </c>
    </row>
    <row r="2239" spans="1:32" hidden="1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51"/>
        <v>23</v>
      </c>
      <c r="R2239" s="53" t="str">
        <f t="shared" si="152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73">
        <f t="shared" si="149"/>
        <v>21</v>
      </c>
      <c r="Z2239" s="18">
        <v>46169</v>
      </c>
      <c r="AA2239" s="15"/>
      <c r="AB2239" s="15"/>
      <c r="AF2239" t="str">
        <f t="shared" si="150"/>
        <v>Closed in May</v>
      </c>
    </row>
    <row r="2240" spans="1:32" hidden="1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51"/>
        <v>23</v>
      </c>
      <c r="R2240" s="53" t="str">
        <f t="shared" si="152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73">
        <f t="shared" si="149"/>
        <v>21</v>
      </c>
      <c r="Z2240" s="18">
        <v>46169</v>
      </c>
      <c r="AA2240" s="15"/>
      <c r="AB2240" s="15"/>
      <c r="AF2240" t="str">
        <f t="shared" si="150"/>
        <v>Closed in May</v>
      </c>
    </row>
    <row r="2241" spans="1:32" hidden="1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51"/>
        <v>23</v>
      </c>
      <c r="R2241" s="53" t="str">
        <f t="shared" si="152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73">
        <f t="shared" si="149"/>
        <v>21</v>
      </c>
      <c r="Z2241" s="18">
        <v>46169</v>
      </c>
      <c r="AA2241" s="15"/>
      <c r="AB2241" s="15"/>
      <c r="AF2241" t="str">
        <f t="shared" si="150"/>
        <v>Closed in May</v>
      </c>
    </row>
    <row r="2242" spans="1:32" hidden="1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51"/>
        <v>23</v>
      </c>
      <c r="R2242" s="53" t="str">
        <f t="shared" si="152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73">
        <f t="shared" ref="Y2242:Y2305" si="153">IF(X2242="","",X2242-A2242)</f>
        <v>21</v>
      </c>
      <c r="Z2242" s="18">
        <v>46169</v>
      </c>
      <c r="AA2242" s="15"/>
      <c r="AB2242" s="15"/>
      <c r="AF2242" t="str">
        <f t="shared" ref="AF2242:AF2305" si="154">IF(AND($F2242="Closed",$X2242&gt;=DATE(2026,5,1),$X2242&lt;=DATE(2026,5,31)),"Closed in May","Other")</f>
        <v>Closed in May</v>
      </c>
    </row>
    <row r="2243" spans="1:32" hidden="1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51"/>
        <v>23</v>
      </c>
      <c r="R2243" s="53" t="str">
        <f t="shared" si="152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73">
        <f t="shared" si="153"/>
        <v>21</v>
      </c>
      <c r="Z2243" s="18">
        <v>46169</v>
      </c>
      <c r="AA2243" s="15"/>
      <c r="AB2243" s="15"/>
      <c r="AF2243" t="str">
        <f t="shared" si="154"/>
        <v>Closed in May</v>
      </c>
    </row>
    <row r="2244" spans="1:32" hidden="1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51"/>
        <v>23</v>
      </c>
      <c r="R2244" s="53" t="str">
        <f t="shared" si="152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73">
        <f t="shared" si="153"/>
        <v>21</v>
      </c>
      <c r="Z2244" s="18">
        <v>46169</v>
      </c>
      <c r="AA2244" s="15"/>
      <c r="AB2244" s="15"/>
      <c r="AF2244" t="str">
        <f t="shared" si="154"/>
        <v>Closed in May</v>
      </c>
    </row>
    <row r="2245" spans="1:32" hidden="1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51"/>
        <v>23</v>
      </c>
      <c r="R2245" s="53" t="str">
        <f t="shared" si="152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73">
        <f t="shared" si="153"/>
        <v>21</v>
      </c>
      <c r="Z2245" s="18">
        <v>46169</v>
      </c>
      <c r="AA2245" s="15"/>
      <c r="AB2245" s="15"/>
      <c r="AF2245" t="str">
        <f t="shared" si="154"/>
        <v>Closed in May</v>
      </c>
    </row>
    <row r="2246" spans="1:32" hidden="1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51"/>
        <v>23</v>
      </c>
      <c r="R2246" s="53" t="str">
        <f t="shared" si="152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73">
        <f t="shared" si="153"/>
        <v>21</v>
      </c>
      <c r="Z2246" s="18">
        <v>46169</v>
      </c>
      <c r="AA2246" s="15"/>
      <c r="AB2246" s="15"/>
      <c r="AF2246" t="str">
        <f t="shared" si="154"/>
        <v>Closed in May</v>
      </c>
    </row>
    <row r="2247" spans="1:32" hidden="1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51"/>
        <v>23</v>
      </c>
      <c r="R2247" s="53" t="str">
        <f t="shared" si="152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73">
        <f t="shared" si="153"/>
        <v>21</v>
      </c>
      <c r="Z2247" s="18">
        <v>46169</v>
      </c>
      <c r="AA2247" s="15"/>
      <c r="AB2247" s="15"/>
      <c r="AF2247" t="str">
        <f t="shared" si="154"/>
        <v>Closed in May</v>
      </c>
    </row>
    <row r="2248" spans="1:32" hidden="1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51"/>
        <v>23</v>
      </c>
      <c r="R2248" s="53" t="str">
        <f t="shared" si="152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73">
        <f t="shared" si="153"/>
        <v>21</v>
      </c>
      <c r="Z2248" s="18">
        <v>46169</v>
      </c>
      <c r="AA2248" s="15"/>
      <c r="AB2248" s="15"/>
      <c r="AF2248" t="str">
        <f t="shared" si="154"/>
        <v>Closed in May</v>
      </c>
    </row>
    <row r="2249" spans="1:32" hidden="1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51"/>
        <v>23</v>
      </c>
      <c r="R2249" s="53" t="str">
        <f t="shared" si="152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73">
        <f t="shared" si="153"/>
        <v>21</v>
      </c>
      <c r="Z2249" s="18">
        <v>46169</v>
      </c>
      <c r="AA2249" s="15"/>
      <c r="AB2249" s="15"/>
      <c r="AF2249" t="str">
        <f t="shared" si="154"/>
        <v>Closed in May</v>
      </c>
    </row>
    <row r="2250" spans="1:32" hidden="1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51"/>
        <v>23</v>
      </c>
      <c r="R2250" s="53" t="str">
        <f t="shared" si="152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73">
        <f t="shared" si="153"/>
        <v>21</v>
      </c>
      <c r="Z2250" s="18">
        <v>46169</v>
      </c>
      <c r="AA2250" s="15"/>
      <c r="AB2250" s="15"/>
      <c r="AF2250" t="str">
        <f t="shared" si="154"/>
        <v>Closed in May</v>
      </c>
    </row>
    <row r="2251" spans="1:32" hidden="1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51"/>
        <v>23</v>
      </c>
      <c r="R2251" s="53" t="str">
        <f t="shared" si="152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73">
        <f t="shared" si="153"/>
        <v>21</v>
      </c>
      <c r="Z2251" s="18">
        <v>46169</v>
      </c>
      <c r="AA2251" s="15"/>
      <c r="AB2251" s="15"/>
      <c r="AF2251" t="str">
        <f t="shared" si="154"/>
        <v>Closed in May</v>
      </c>
    </row>
    <row r="2252" spans="1:32" hidden="1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51"/>
        <v>23</v>
      </c>
      <c r="R2252" s="53" t="str">
        <f t="shared" si="152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73">
        <f t="shared" si="153"/>
        <v>21</v>
      </c>
      <c r="Z2252" s="18">
        <v>46169</v>
      </c>
      <c r="AA2252" s="15"/>
      <c r="AB2252" s="15"/>
      <c r="AF2252" t="str">
        <f t="shared" si="154"/>
        <v>Closed in May</v>
      </c>
    </row>
    <row r="2253" spans="1:32" hidden="1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51"/>
        <v>23</v>
      </c>
      <c r="R2253" s="53" t="str">
        <f t="shared" si="152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73">
        <f t="shared" si="153"/>
        <v>21</v>
      </c>
      <c r="Z2253" s="18">
        <v>46169</v>
      </c>
      <c r="AA2253" s="15"/>
      <c r="AB2253" s="15"/>
      <c r="AF2253" t="str">
        <f t="shared" si="154"/>
        <v>Closed in May</v>
      </c>
    </row>
    <row r="2254" spans="1:32" hidden="1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51"/>
        <v>23</v>
      </c>
      <c r="R2254" s="53" t="str">
        <f t="shared" si="152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73">
        <f t="shared" si="153"/>
        <v>21</v>
      </c>
      <c r="Z2254" s="18">
        <v>46169</v>
      </c>
      <c r="AA2254" s="15"/>
      <c r="AB2254" s="15"/>
      <c r="AF2254" t="str">
        <f t="shared" si="154"/>
        <v>Closed in May</v>
      </c>
    </row>
    <row r="2255" spans="1:32" hidden="1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51"/>
        <v>23</v>
      </c>
      <c r="R2255" s="53" t="str">
        <f t="shared" si="152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73">
        <f t="shared" si="153"/>
        <v>21</v>
      </c>
      <c r="Z2255" s="18">
        <v>46169</v>
      </c>
      <c r="AA2255" s="15"/>
      <c r="AB2255" s="15"/>
      <c r="AF2255" t="str">
        <f t="shared" si="154"/>
        <v>Closed in May</v>
      </c>
    </row>
    <row r="2256" spans="1:32" hidden="1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51"/>
        <v>23</v>
      </c>
      <c r="R2256" s="53" t="str">
        <f t="shared" si="152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73">
        <f t="shared" si="153"/>
        <v>21</v>
      </c>
      <c r="Z2256" s="18">
        <v>46169</v>
      </c>
      <c r="AA2256" s="15"/>
      <c r="AB2256" s="15"/>
      <c r="AF2256" t="str">
        <f t="shared" si="154"/>
        <v>Closed in May</v>
      </c>
    </row>
    <row r="2257" spans="1:32" hidden="1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51"/>
        <v>23</v>
      </c>
      <c r="R2257" s="53" t="str">
        <f t="shared" si="152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73">
        <f t="shared" si="153"/>
        <v>21</v>
      </c>
      <c r="Z2257" s="18">
        <v>46169</v>
      </c>
      <c r="AA2257" s="15"/>
      <c r="AB2257" s="15"/>
      <c r="AF2257" t="str">
        <f t="shared" si="154"/>
        <v>Closed in May</v>
      </c>
    </row>
    <row r="2258" spans="1:32" hidden="1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51"/>
        <v>23</v>
      </c>
      <c r="R2258" s="53" t="str">
        <f t="shared" si="152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73">
        <f t="shared" si="153"/>
        <v>21</v>
      </c>
      <c r="Z2258" s="18">
        <v>46169</v>
      </c>
      <c r="AA2258" s="15"/>
      <c r="AB2258" s="15"/>
      <c r="AF2258" t="str">
        <f t="shared" si="154"/>
        <v>Closed in May</v>
      </c>
    </row>
    <row r="2259" spans="1:32" hidden="1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51"/>
        <v>23</v>
      </c>
      <c r="R2259" s="53" t="str">
        <f t="shared" si="152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73">
        <f t="shared" si="153"/>
        <v>21</v>
      </c>
      <c r="Z2259" s="18">
        <v>46169</v>
      </c>
      <c r="AA2259" s="15"/>
      <c r="AB2259" s="15"/>
      <c r="AF2259" t="str">
        <f t="shared" si="154"/>
        <v>Closed in May</v>
      </c>
    </row>
    <row r="2260" spans="1:32" hidden="1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51"/>
        <v>23</v>
      </c>
      <c r="R2260" s="53" t="str">
        <f t="shared" si="152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73">
        <f t="shared" si="153"/>
        <v>21</v>
      </c>
      <c r="Z2260" s="18">
        <v>46169</v>
      </c>
      <c r="AA2260" s="15"/>
      <c r="AB2260" s="15"/>
      <c r="AF2260" t="str">
        <f t="shared" si="154"/>
        <v>Closed in May</v>
      </c>
    </row>
    <row r="2261" spans="1:32" hidden="1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51"/>
        <v>23</v>
      </c>
      <c r="R2261" s="53" t="str">
        <f t="shared" si="152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73">
        <f t="shared" si="153"/>
        <v>21</v>
      </c>
      <c r="Z2261" s="18">
        <v>46169</v>
      </c>
      <c r="AA2261" s="15"/>
      <c r="AB2261" s="15"/>
      <c r="AF2261" t="str">
        <f t="shared" si="154"/>
        <v>Closed in May</v>
      </c>
    </row>
    <row r="2262" spans="1:32" hidden="1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51"/>
        <v>23</v>
      </c>
      <c r="R2262" s="53" t="str">
        <f t="shared" si="152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73">
        <f t="shared" si="153"/>
        <v>21</v>
      </c>
      <c r="Z2262" s="18">
        <v>46169</v>
      </c>
      <c r="AA2262" s="15"/>
      <c r="AB2262" s="15"/>
      <c r="AF2262" t="str">
        <f t="shared" si="154"/>
        <v>Closed in May</v>
      </c>
    </row>
    <row r="2263" spans="1:32" hidden="1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51"/>
        <v>23</v>
      </c>
      <c r="R2263" s="53" t="str">
        <f t="shared" si="152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73">
        <f t="shared" si="153"/>
        <v>21</v>
      </c>
      <c r="Z2263" s="18">
        <v>46169</v>
      </c>
      <c r="AA2263" s="15"/>
      <c r="AB2263" s="15"/>
      <c r="AF2263" t="str">
        <f t="shared" si="154"/>
        <v>Closed in May</v>
      </c>
    </row>
    <row r="2264" spans="1:32" hidden="1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51"/>
        <v>23</v>
      </c>
      <c r="R2264" s="53" t="str">
        <f t="shared" si="152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73">
        <f t="shared" si="153"/>
        <v>21</v>
      </c>
      <c r="Z2264" s="18">
        <v>46169</v>
      </c>
      <c r="AA2264" s="15"/>
      <c r="AB2264" s="15"/>
      <c r="AF2264" t="str">
        <f t="shared" si="154"/>
        <v>Closed in May</v>
      </c>
    </row>
    <row r="2265" spans="1:32" hidden="1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51"/>
        <v>23</v>
      </c>
      <c r="R2265" s="53" t="str">
        <f t="shared" si="152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73">
        <f t="shared" si="153"/>
        <v>21</v>
      </c>
      <c r="Z2265" s="18">
        <v>46169</v>
      </c>
      <c r="AA2265" s="15"/>
      <c r="AB2265" s="15"/>
      <c r="AF2265" t="str">
        <f t="shared" si="154"/>
        <v>Closed in May</v>
      </c>
    </row>
    <row r="2266" spans="1:32" hidden="1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51"/>
        <v>23</v>
      </c>
      <c r="R2266" s="53" t="str">
        <f t="shared" si="152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73">
        <f t="shared" si="153"/>
        <v>21</v>
      </c>
      <c r="Z2266" s="18">
        <v>46169</v>
      </c>
      <c r="AA2266" s="15"/>
      <c r="AB2266" s="15"/>
      <c r="AF2266" t="str">
        <f t="shared" si="154"/>
        <v>Closed in May</v>
      </c>
    </row>
    <row r="2267" spans="1:32" hidden="1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51"/>
        <v>23</v>
      </c>
      <c r="R2267" s="53" t="str">
        <f t="shared" si="152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73">
        <f t="shared" si="153"/>
        <v>21</v>
      </c>
      <c r="Z2267" s="18">
        <v>46169</v>
      </c>
      <c r="AA2267" s="15"/>
      <c r="AB2267" s="15"/>
      <c r="AF2267" t="str">
        <f t="shared" si="154"/>
        <v>Closed in May</v>
      </c>
    </row>
    <row r="2268" spans="1:32" hidden="1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51"/>
        <v>23</v>
      </c>
      <c r="R2268" s="53" t="str">
        <f t="shared" si="152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73">
        <f t="shared" si="153"/>
        <v>21</v>
      </c>
      <c r="Z2268" s="18">
        <v>46169</v>
      </c>
      <c r="AA2268" s="15"/>
      <c r="AB2268" s="15"/>
      <c r="AF2268" t="str">
        <f t="shared" si="154"/>
        <v>Closed in May</v>
      </c>
    </row>
    <row r="2269" spans="1:32" hidden="1">
      <c r="A2269" s="93">
        <v>46109</v>
      </c>
      <c r="B2269" s="3">
        <v>2026</v>
      </c>
      <c r="C2269" s="21" t="s">
        <v>343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51"/>
        <v>23</v>
      </c>
      <c r="R2269" s="53" t="str">
        <f t="shared" si="152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73">
        <f t="shared" si="153"/>
        <v>60</v>
      </c>
      <c r="Z2269" s="18">
        <v>46169</v>
      </c>
      <c r="AA2269" s="15"/>
      <c r="AB2269" s="15"/>
      <c r="AF2269" t="str">
        <f t="shared" si="154"/>
        <v>Closed in May</v>
      </c>
    </row>
    <row r="2270" spans="1:32" hidden="1">
      <c r="A2270" s="59">
        <v>46167</v>
      </c>
      <c r="B2270" s="3">
        <v>2026</v>
      </c>
      <c r="C2270" s="21" t="s">
        <v>343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51"/>
        <v>23</v>
      </c>
      <c r="R2270" s="53" t="str">
        <f t="shared" si="152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73">
        <f t="shared" si="153"/>
        <v>2</v>
      </c>
      <c r="Z2270" s="18">
        <v>46169</v>
      </c>
      <c r="AA2270" s="15"/>
      <c r="AB2270" s="15"/>
      <c r="AF2270" t="str">
        <f t="shared" si="154"/>
        <v>Closed in May</v>
      </c>
    </row>
    <row r="2271" spans="1:32" hidden="1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51"/>
        <v>23</v>
      </c>
      <c r="R2271" s="53" t="str">
        <f t="shared" si="152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73">
        <f t="shared" si="153"/>
        <v>22</v>
      </c>
      <c r="Z2271" s="18">
        <v>46170</v>
      </c>
      <c r="AA2271" s="15"/>
      <c r="AB2271" s="15"/>
      <c r="AF2271" t="str">
        <f t="shared" si="154"/>
        <v>Closed in May</v>
      </c>
    </row>
    <row r="2272" spans="1:32" hidden="1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51"/>
        <v>23</v>
      </c>
      <c r="R2272" s="53" t="str">
        <f t="shared" si="152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73">
        <f t="shared" si="153"/>
        <v>22</v>
      </c>
      <c r="Z2272" s="18">
        <v>46170</v>
      </c>
      <c r="AA2272" s="15"/>
      <c r="AB2272" s="15"/>
      <c r="AF2272" t="str">
        <f t="shared" si="154"/>
        <v>Closed in May</v>
      </c>
    </row>
    <row r="2273" spans="1:32" hidden="1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51"/>
        <v>23</v>
      </c>
      <c r="R2273" s="53" t="str">
        <f t="shared" si="152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73">
        <f t="shared" si="153"/>
        <v>22</v>
      </c>
      <c r="Z2273" s="18">
        <v>46170</v>
      </c>
      <c r="AA2273" s="15"/>
      <c r="AB2273" s="15"/>
      <c r="AF2273" t="str">
        <f t="shared" si="154"/>
        <v>Closed in May</v>
      </c>
    </row>
    <row r="2274" spans="1:32" hidden="1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51"/>
        <v>23</v>
      </c>
      <c r="R2274" s="53" t="str">
        <f t="shared" si="152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73">
        <f t="shared" si="153"/>
        <v>22</v>
      </c>
      <c r="Z2274" s="18">
        <v>46170</v>
      </c>
      <c r="AA2274" s="15"/>
      <c r="AB2274" s="15"/>
      <c r="AF2274" t="str">
        <f t="shared" si="154"/>
        <v>Closed in May</v>
      </c>
    </row>
    <row r="2275" spans="1:32" hidden="1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51"/>
        <v>23</v>
      </c>
      <c r="R2275" s="53" t="str">
        <f t="shared" si="152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73">
        <f t="shared" si="153"/>
        <v>22</v>
      </c>
      <c r="Z2275" s="18">
        <v>46170</v>
      </c>
      <c r="AA2275" s="15"/>
      <c r="AB2275" s="15"/>
      <c r="AF2275" t="str">
        <f t="shared" si="154"/>
        <v>Closed in May</v>
      </c>
    </row>
    <row r="2276" spans="1:32" hidden="1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51"/>
        <v>23</v>
      </c>
      <c r="R2276" s="53" t="str">
        <f t="shared" si="152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73">
        <f t="shared" si="153"/>
        <v>22</v>
      </c>
      <c r="Z2276" s="18">
        <v>46170</v>
      </c>
      <c r="AA2276" s="15"/>
      <c r="AB2276" s="15"/>
      <c r="AF2276" t="str">
        <f t="shared" si="154"/>
        <v>Closed in May</v>
      </c>
    </row>
    <row r="2277" spans="1:32" hidden="1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51"/>
        <v>23</v>
      </c>
      <c r="R2277" s="53" t="str">
        <f t="shared" si="152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73">
        <f t="shared" si="153"/>
        <v>22</v>
      </c>
      <c r="Z2277" s="18">
        <v>46170</v>
      </c>
      <c r="AA2277" s="15"/>
      <c r="AB2277" s="15"/>
      <c r="AF2277" t="str">
        <f t="shared" si="154"/>
        <v>Closed in May</v>
      </c>
    </row>
    <row r="2278" spans="1:32" hidden="1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51"/>
        <v>23</v>
      </c>
      <c r="R2278" s="53" t="str">
        <f t="shared" si="152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73">
        <f t="shared" si="153"/>
        <v>22</v>
      </c>
      <c r="Z2278" s="18">
        <v>46170</v>
      </c>
      <c r="AA2278" s="15"/>
      <c r="AB2278" s="15"/>
      <c r="AF2278" t="str">
        <f t="shared" si="154"/>
        <v>Closed in May</v>
      </c>
    </row>
    <row r="2279" spans="1:32" hidden="1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55">MID(P2279,5,2)</f>
        <v>23</v>
      </c>
      <c r="R2279" s="53" t="str">
        <f t="shared" ref="R2279:R2342" si="156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73">
        <f t="shared" si="153"/>
        <v>22</v>
      </c>
      <c r="Z2279" s="18">
        <v>46170</v>
      </c>
      <c r="AA2279" s="15"/>
      <c r="AB2279" s="15"/>
      <c r="AF2279" t="str">
        <f t="shared" si="154"/>
        <v>Closed in May</v>
      </c>
    </row>
    <row r="2280" spans="1:32" hidden="1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55"/>
        <v>23</v>
      </c>
      <c r="R2280" s="53" t="str">
        <f t="shared" si="156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73">
        <f t="shared" si="153"/>
        <v>22</v>
      </c>
      <c r="Z2280" s="18">
        <v>46170</v>
      </c>
      <c r="AA2280" s="15"/>
      <c r="AB2280" s="15"/>
      <c r="AF2280" t="str">
        <f t="shared" si="154"/>
        <v>Closed in May</v>
      </c>
    </row>
    <row r="2281" spans="1:32" hidden="1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55"/>
        <v>23</v>
      </c>
      <c r="R2281" s="53" t="str">
        <f t="shared" si="156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73">
        <f t="shared" si="153"/>
        <v>22</v>
      </c>
      <c r="Z2281" s="18">
        <v>46170</v>
      </c>
      <c r="AA2281" s="15"/>
      <c r="AB2281" s="15"/>
      <c r="AF2281" t="str">
        <f t="shared" si="154"/>
        <v>Closed in May</v>
      </c>
    </row>
    <row r="2282" spans="1:32" hidden="1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55"/>
        <v>23</v>
      </c>
      <c r="R2282" s="53" t="str">
        <f t="shared" si="156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73">
        <f t="shared" si="153"/>
        <v>22</v>
      </c>
      <c r="Z2282" s="18">
        <v>46170</v>
      </c>
      <c r="AA2282" s="15"/>
      <c r="AB2282" s="15"/>
      <c r="AF2282" t="str">
        <f t="shared" si="154"/>
        <v>Closed in May</v>
      </c>
    </row>
    <row r="2283" spans="1:32" hidden="1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55"/>
        <v>23</v>
      </c>
      <c r="R2283" s="53" t="str">
        <f t="shared" si="156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73">
        <f t="shared" si="153"/>
        <v>22</v>
      </c>
      <c r="Z2283" s="18">
        <v>46170</v>
      </c>
      <c r="AA2283" s="15"/>
      <c r="AB2283" s="15"/>
      <c r="AF2283" t="str">
        <f t="shared" si="154"/>
        <v>Closed in May</v>
      </c>
    </row>
    <row r="2284" spans="1:32" hidden="1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55"/>
        <v>23</v>
      </c>
      <c r="R2284" s="53" t="str">
        <f t="shared" si="156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73">
        <f t="shared" si="153"/>
        <v>22</v>
      </c>
      <c r="Z2284" s="18">
        <v>46170</v>
      </c>
      <c r="AA2284" s="15"/>
      <c r="AB2284" s="15"/>
      <c r="AF2284" t="str">
        <f t="shared" si="154"/>
        <v>Closed in May</v>
      </c>
    </row>
    <row r="2285" spans="1:32" hidden="1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55"/>
        <v>23</v>
      </c>
      <c r="R2285" s="53" t="str">
        <f t="shared" si="156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73">
        <f t="shared" si="153"/>
        <v>22</v>
      </c>
      <c r="Z2285" s="18">
        <v>46170</v>
      </c>
      <c r="AA2285" s="15"/>
      <c r="AB2285" s="15"/>
      <c r="AF2285" t="str">
        <f t="shared" si="154"/>
        <v>Closed in May</v>
      </c>
    </row>
    <row r="2286" spans="1:32" hidden="1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55"/>
        <v>23</v>
      </c>
      <c r="R2286" s="53" t="str">
        <f t="shared" si="156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73">
        <f t="shared" si="153"/>
        <v>22</v>
      </c>
      <c r="Z2286" s="18">
        <v>46170</v>
      </c>
      <c r="AA2286" s="15"/>
      <c r="AB2286" s="15"/>
      <c r="AF2286" t="str">
        <f t="shared" si="154"/>
        <v>Closed in May</v>
      </c>
    </row>
    <row r="2287" spans="1:32" hidden="1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55"/>
        <v>23</v>
      </c>
      <c r="R2287" s="53" t="str">
        <f t="shared" si="156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73">
        <f t="shared" si="153"/>
        <v>22</v>
      </c>
      <c r="Z2287" s="18">
        <v>46170</v>
      </c>
      <c r="AA2287" s="15"/>
      <c r="AB2287" s="15"/>
      <c r="AF2287" t="str">
        <f t="shared" si="154"/>
        <v>Closed in May</v>
      </c>
    </row>
    <row r="2288" spans="1:32" hidden="1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55"/>
        <v>23</v>
      </c>
      <c r="R2288" s="53" t="str">
        <f t="shared" si="156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73">
        <f t="shared" si="153"/>
        <v>22</v>
      </c>
      <c r="Z2288" s="18">
        <v>46170</v>
      </c>
      <c r="AA2288" s="15"/>
      <c r="AB2288" s="15"/>
      <c r="AF2288" t="str">
        <f t="shared" si="154"/>
        <v>Closed in May</v>
      </c>
    </row>
    <row r="2289" spans="1:32" hidden="1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55"/>
        <v>23</v>
      </c>
      <c r="R2289" s="53" t="str">
        <f t="shared" si="156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73">
        <f t="shared" si="153"/>
        <v>22</v>
      </c>
      <c r="Z2289" s="18">
        <v>46170</v>
      </c>
      <c r="AA2289" s="15"/>
      <c r="AB2289" s="15"/>
      <c r="AF2289" t="str">
        <f t="shared" si="154"/>
        <v>Closed in May</v>
      </c>
    </row>
    <row r="2290" spans="1:32" hidden="1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55"/>
        <v>23</v>
      </c>
      <c r="R2290" s="53" t="str">
        <f t="shared" si="156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73">
        <f t="shared" si="153"/>
        <v>22</v>
      </c>
      <c r="Z2290" s="18">
        <v>46170</v>
      </c>
      <c r="AA2290" s="15"/>
      <c r="AB2290" s="15"/>
      <c r="AF2290" t="str">
        <f t="shared" si="154"/>
        <v>Closed in May</v>
      </c>
    </row>
    <row r="2291" spans="1:32" hidden="1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55"/>
        <v>23</v>
      </c>
      <c r="R2291" s="53" t="str">
        <f t="shared" si="156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73">
        <f t="shared" si="153"/>
        <v>22</v>
      </c>
      <c r="Z2291" s="18">
        <v>46170</v>
      </c>
      <c r="AA2291" s="15"/>
      <c r="AB2291" s="15"/>
      <c r="AF2291" t="str">
        <f t="shared" si="154"/>
        <v>Closed in May</v>
      </c>
    </row>
    <row r="2292" spans="1:32" hidden="1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55"/>
        <v>23</v>
      </c>
      <c r="R2292" s="53" t="str">
        <f t="shared" si="156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73">
        <f t="shared" si="153"/>
        <v>22</v>
      </c>
      <c r="Z2292" s="18">
        <v>46170</v>
      </c>
      <c r="AA2292" s="15"/>
      <c r="AB2292" s="15"/>
      <c r="AF2292" t="str">
        <f t="shared" si="154"/>
        <v>Closed in May</v>
      </c>
    </row>
    <row r="2293" spans="1:32" hidden="1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55"/>
        <v>23</v>
      </c>
      <c r="R2293" s="53" t="str">
        <f t="shared" si="156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73">
        <f t="shared" si="153"/>
        <v>22</v>
      </c>
      <c r="Z2293" s="18">
        <v>46170</v>
      </c>
      <c r="AA2293" s="15"/>
      <c r="AB2293" s="15"/>
      <c r="AF2293" t="str">
        <f t="shared" si="154"/>
        <v>Closed in May</v>
      </c>
    </row>
    <row r="2294" spans="1:32" hidden="1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55"/>
        <v>23</v>
      </c>
      <c r="R2294" s="53" t="str">
        <f t="shared" si="156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73">
        <f t="shared" si="153"/>
        <v>22</v>
      </c>
      <c r="Z2294" s="18">
        <v>46170</v>
      </c>
      <c r="AA2294" s="15"/>
      <c r="AB2294" s="15"/>
      <c r="AF2294" t="str">
        <f t="shared" si="154"/>
        <v>Closed in May</v>
      </c>
    </row>
    <row r="2295" spans="1:32" hidden="1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55"/>
        <v>23</v>
      </c>
      <c r="R2295" s="53" t="str">
        <f t="shared" si="156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73">
        <f t="shared" si="153"/>
        <v>22</v>
      </c>
      <c r="Z2295" s="18">
        <v>46170</v>
      </c>
      <c r="AA2295" s="15"/>
      <c r="AB2295" s="15"/>
      <c r="AF2295" t="str">
        <f t="shared" si="154"/>
        <v>Closed in May</v>
      </c>
    </row>
    <row r="2296" spans="1:32" hidden="1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55"/>
        <v>23</v>
      </c>
      <c r="R2296" s="53" t="str">
        <f t="shared" si="156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73">
        <f t="shared" si="153"/>
        <v>22</v>
      </c>
      <c r="Z2296" s="18">
        <v>46170</v>
      </c>
      <c r="AA2296" s="15"/>
      <c r="AB2296" s="15"/>
      <c r="AF2296" t="str">
        <f t="shared" si="154"/>
        <v>Closed in May</v>
      </c>
    </row>
    <row r="2297" spans="1:32" hidden="1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55"/>
        <v>23</v>
      </c>
      <c r="R2297" s="53" t="str">
        <f t="shared" si="156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73">
        <f t="shared" si="153"/>
        <v>22</v>
      </c>
      <c r="Z2297" s="18">
        <v>46170</v>
      </c>
      <c r="AA2297" s="15"/>
      <c r="AB2297" s="15"/>
      <c r="AF2297" t="str">
        <f t="shared" si="154"/>
        <v>Closed in May</v>
      </c>
    </row>
    <row r="2298" spans="1:32" hidden="1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55"/>
        <v>23</v>
      </c>
      <c r="R2298" s="53" t="str">
        <f t="shared" si="156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73">
        <f t="shared" si="153"/>
        <v>22</v>
      </c>
      <c r="Z2298" s="18">
        <v>46170</v>
      </c>
      <c r="AA2298" s="15"/>
      <c r="AB2298" s="15"/>
      <c r="AF2298" t="str">
        <f t="shared" si="154"/>
        <v>Closed in May</v>
      </c>
    </row>
    <row r="2299" spans="1:32" hidden="1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55"/>
        <v>23</v>
      </c>
      <c r="R2299" s="53" t="str">
        <f t="shared" si="156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73">
        <f t="shared" si="153"/>
        <v>22</v>
      </c>
      <c r="Z2299" s="18">
        <v>46170</v>
      </c>
      <c r="AA2299" s="15"/>
      <c r="AB2299" s="15"/>
      <c r="AF2299" t="str">
        <f t="shared" si="154"/>
        <v>Closed in May</v>
      </c>
    </row>
    <row r="2300" spans="1:32" hidden="1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55"/>
        <v>23</v>
      </c>
      <c r="R2300" s="53" t="str">
        <f t="shared" si="156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73">
        <f t="shared" si="153"/>
        <v>22</v>
      </c>
      <c r="Z2300" s="18">
        <v>46170</v>
      </c>
      <c r="AA2300" s="15"/>
      <c r="AB2300" s="15"/>
      <c r="AF2300" t="str">
        <f t="shared" si="154"/>
        <v>Closed in May</v>
      </c>
    </row>
    <row r="2301" spans="1:32" hidden="1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55"/>
        <v>23</v>
      </c>
      <c r="R2301" s="53" t="str">
        <f t="shared" si="156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73">
        <f t="shared" si="153"/>
        <v>22</v>
      </c>
      <c r="Z2301" s="18">
        <v>46170</v>
      </c>
      <c r="AA2301" s="15"/>
      <c r="AB2301" s="15"/>
      <c r="AF2301" t="str">
        <f t="shared" si="154"/>
        <v>Closed in May</v>
      </c>
    </row>
    <row r="2302" spans="1:32" hidden="1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55"/>
        <v>23</v>
      </c>
      <c r="R2302" s="53" t="str">
        <f t="shared" si="156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73">
        <f t="shared" si="153"/>
        <v>22</v>
      </c>
      <c r="Z2302" s="18">
        <v>46170</v>
      </c>
      <c r="AA2302" s="15"/>
      <c r="AB2302" s="15"/>
      <c r="AF2302" t="str">
        <f t="shared" si="154"/>
        <v>Closed in May</v>
      </c>
    </row>
    <row r="2303" spans="1:32" hidden="1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55"/>
        <v>23</v>
      </c>
      <c r="R2303" s="53" t="str">
        <f t="shared" si="156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73">
        <f t="shared" si="153"/>
        <v>22</v>
      </c>
      <c r="Z2303" s="18">
        <v>46170</v>
      </c>
      <c r="AA2303" s="15"/>
      <c r="AB2303" s="15"/>
      <c r="AF2303" t="str">
        <f t="shared" si="154"/>
        <v>Closed in May</v>
      </c>
    </row>
    <row r="2304" spans="1:32" hidden="1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55"/>
        <v>23</v>
      </c>
      <c r="R2304" s="53" t="str">
        <f t="shared" si="156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73">
        <f t="shared" si="153"/>
        <v>22</v>
      </c>
      <c r="Z2304" s="18">
        <v>46170</v>
      </c>
      <c r="AA2304" s="15"/>
      <c r="AB2304" s="15"/>
      <c r="AF2304" t="str">
        <f t="shared" si="154"/>
        <v>Closed in May</v>
      </c>
    </row>
    <row r="2305" spans="1:32" hidden="1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55"/>
        <v>23</v>
      </c>
      <c r="R2305" s="53" t="str">
        <f t="shared" si="156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73">
        <f t="shared" si="153"/>
        <v>22</v>
      </c>
      <c r="Z2305" s="18">
        <v>46170</v>
      </c>
      <c r="AA2305" s="15"/>
      <c r="AB2305" s="15"/>
      <c r="AF2305" t="str">
        <f t="shared" si="154"/>
        <v>Closed in May</v>
      </c>
    </row>
    <row r="2306" spans="1:32" hidden="1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55"/>
        <v>23</v>
      </c>
      <c r="R2306" s="53" t="str">
        <f t="shared" si="156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73">
        <f t="shared" ref="Y2306:Y2369" si="157">IF(X2306="","",X2306-A2306)</f>
        <v>22</v>
      </c>
      <c r="Z2306" s="18">
        <v>46170</v>
      </c>
      <c r="AA2306" s="15"/>
      <c r="AB2306" s="15"/>
      <c r="AF2306" t="str">
        <f t="shared" ref="AF2306:AF2369" si="158">IF(AND($F2306="Closed",$X2306&gt;=DATE(2026,5,1),$X2306&lt;=DATE(2026,5,31)),"Closed in May","Other")</f>
        <v>Closed in May</v>
      </c>
    </row>
    <row r="2307" spans="1:32" hidden="1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55"/>
        <v>23</v>
      </c>
      <c r="R2307" s="53" t="str">
        <f t="shared" si="156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73">
        <f t="shared" si="157"/>
        <v>22</v>
      </c>
      <c r="Z2307" s="18">
        <v>46170</v>
      </c>
      <c r="AA2307" s="15"/>
      <c r="AB2307" s="15"/>
      <c r="AF2307" t="str">
        <f t="shared" si="158"/>
        <v>Closed in May</v>
      </c>
    </row>
    <row r="2308" spans="1:32" hidden="1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55"/>
        <v>23</v>
      </c>
      <c r="R2308" s="53" t="str">
        <f t="shared" si="156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73">
        <f t="shared" si="157"/>
        <v>22</v>
      </c>
      <c r="Z2308" s="18">
        <v>46170</v>
      </c>
      <c r="AA2308" s="15"/>
      <c r="AB2308" s="15"/>
      <c r="AF2308" t="str">
        <f t="shared" si="158"/>
        <v>Closed in May</v>
      </c>
    </row>
    <row r="2309" spans="1:32" hidden="1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55"/>
        <v>23</v>
      </c>
      <c r="R2309" s="53" t="str">
        <f t="shared" si="156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73">
        <f t="shared" si="157"/>
        <v>22</v>
      </c>
      <c r="Z2309" s="18">
        <v>46170</v>
      </c>
      <c r="AA2309" s="15"/>
      <c r="AB2309" s="15"/>
      <c r="AF2309" t="str">
        <f t="shared" si="158"/>
        <v>Closed in May</v>
      </c>
    </row>
    <row r="2310" spans="1:32" hidden="1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55"/>
        <v>23</v>
      </c>
      <c r="R2310" s="53" t="str">
        <f t="shared" si="156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73">
        <f t="shared" si="157"/>
        <v>22</v>
      </c>
      <c r="Z2310" s="18">
        <v>46170</v>
      </c>
      <c r="AA2310" s="15"/>
      <c r="AB2310" s="15"/>
      <c r="AF2310" t="str">
        <f t="shared" si="158"/>
        <v>Closed in May</v>
      </c>
    </row>
    <row r="2311" spans="1:32" hidden="1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55"/>
        <v>23</v>
      </c>
      <c r="R2311" s="53" t="str">
        <f t="shared" si="156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73">
        <f t="shared" si="157"/>
        <v>22</v>
      </c>
      <c r="Z2311" s="18">
        <v>46170</v>
      </c>
      <c r="AA2311" s="15"/>
      <c r="AB2311" s="15"/>
      <c r="AF2311" t="str">
        <f t="shared" si="158"/>
        <v>Closed in May</v>
      </c>
    </row>
    <row r="2312" spans="1:32" hidden="1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55"/>
        <v>23</v>
      </c>
      <c r="R2312" s="53" t="str">
        <f t="shared" si="156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73">
        <f t="shared" si="157"/>
        <v>22</v>
      </c>
      <c r="Z2312" s="18">
        <v>46170</v>
      </c>
      <c r="AA2312" s="15"/>
      <c r="AB2312" s="15"/>
      <c r="AF2312" t="str">
        <f t="shared" si="158"/>
        <v>Closed in May</v>
      </c>
    </row>
    <row r="2313" spans="1:32" hidden="1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55"/>
        <v>23</v>
      </c>
      <c r="R2313" s="53" t="str">
        <f t="shared" si="156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73">
        <f t="shared" si="157"/>
        <v>22</v>
      </c>
      <c r="Z2313" s="18">
        <v>46170</v>
      </c>
      <c r="AA2313" s="15"/>
      <c r="AB2313" s="15"/>
      <c r="AF2313" t="str">
        <f t="shared" si="158"/>
        <v>Closed in May</v>
      </c>
    </row>
    <row r="2314" spans="1:32" hidden="1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55"/>
        <v>23</v>
      </c>
      <c r="R2314" s="53" t="str">
        <f t="shared" si="156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73">
        <f t="shared" si="157"/>
        <v>22</v>
      </c>
      <c r="Z2314" s="18">
        <v>46170</v>
      </c>
      <c r="AA2314" s="15"/>
      <c r="AB2314" s="15"/>
      <c r="AF2314" t="str">
        <f t="shared" si="158"/>
        <v>Closed in May</v>
      </c>
    </row>
    <row r="2315" spans="1:32" hidden="1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55"/>
        <v>23</v>
      </c>
      <c r="R2315" s="53" t="str">
        <f t="shared" si="156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73">
        <f t="shared" si="157"/>
        <v>22</v>
      </c>
      <c r="Z2315" s="18">
        <v>46170</v>
      </c>
      <c r="AA2315" s="15"/>
      <c r="AB2315" s="15"/>
      <c r="AF2315" t="str">
        <f t="shared" si="158"/>
        <v>Closed in May</v>
      </c>
    </row>
    <row r="2316" spans="1:32" hidden="1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55"/>
        <v>23</v>
      </c>
      <c r="R2316" s="53" t="str">
        <f t="shared" si="156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73">
        <f t="shared" si="157"/>
        <v>22</v>
      </c>
      <c r="Z2316" s="18">
        <v>46170</v>
      </c>
      <c r="AA2316" s="15"/>
      <c r="AB2316" s="15"/>
      <c r="AF2316" t="str">
        <f t="shared" si="158"/>
        <v>Closed in May</v>
      </c>
    </row>
    <row r="2317" spans="1:32" hidden="1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55"/>
        <v>23</v>
      </c>
      <c r="R2317" s="53" t="str">
        <f t="shared" si="156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73">
        <f t="shared" si="157"/>
        <v>22</v>
      </c>
      <c r="Z2317" s="18">
        <v>46170</v>
      </c>
      <c r="AA2317" s="15"/>
      <c r="AB2317" s="15"/>
      <c r="AF2317" t="str">
        <f t="shared" si="158"/>
        <v>Closed in May</v>
      </c>
    </row>
    <row r="2318" spans="1:32" hidden="1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55"/>
        <v>23</v>
      </c>
      <c r="R2318" s="53" t="str">
        <f t="shared" si="156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73">
        <f t="shared" si="157"/>
        <v>22</v>
      </c>
      <c r="Z2318" s="18">
        <v>46170</v>
      </c>
      <c r="AA2318" s="15"/>
      <c r="AB2318" s="15"/>
      <c r="AF2318" t="str">
        <f t="shared" si="158"/>
        <v>Closed in May</v>
      </c>
    </row>
    <row r="2319" spans="1:32" hidden="1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55"/>
        <v>23</v>
      </c>
      <c r="R2319" s="53" t="str">
        <f t="shared" si="156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73">
        <f t="shared" si="157"/>
        <v>22</v>
      </c>
      <c r="Z2319" s="18">
        <v>46170</v>
      </c>
      <c r="AA2319" s="15"/>
      <c r="AB2319" s="15"/>
      <c r="AF2319" t="str">
        <f t="shared" si="158"/>
        <v>Closed in May</v>
      </c>
    </row>
    <row r="2320" spans="1:32" hidden="1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55"/>
        <v>23</v>
      </c>
      <c r="R2320" s="53" t="str">
        <f t="shared" si="156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73">
        <f t="shared" si="157"/>
        <v>22</v>
      </c>
      <c r="Z2320" s="18">
        <v>46170</v>
      </c>
      <c r="AA2320" s="15"/>
      <c r="AB2320" s="15"/>
      <c r="AF2320" t="str">
        <f t="shared" si="158"/>
        <v>Closed in May</v>
      </c>
    </row>
    <row r="2321" spans="1:32" hidden="1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55"/>
        <v>23</v>
      </c>
      <c r="R2321" s="53" t="str">
        <f t="shared" si="156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73">
        <f t="shared" si="157"/>
        <v>22</v>
      </c>
      <c r="Z2321" s="18">
        <v>46170</v>
      </c>
      <c r="AA2321" s="15"/>
      <c r="AB2321" s="15"/>
      <c r="AF2321" t="str">
        <f t="shared" si="158"/>
        <v>Closed in May</v>
      </c>
    </row>
    <row r="2322" spans="1:32" hidden="1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55"/>
        <v>23</v>
      </c>
      <c r="R2322" s="53" t="str">
        <f t="shared" si="156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73">
        <f t="shared" si="157"/>
        <v>22</v>
      </c>
      <c r="Z2322" s="18">
        <v>46170</v>
      </c>
      <c r="AA2322" s="15"/>
      <c r="AB2322" s="15"/>
      <c r="AF2322" t="str">
        <f t="shared" si="158"/>
        <v>Closed in May</v>
      </c>
    </row>
    <row r="2323" spans="1:32" hidden="1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55"/>
        <v>23</v>
      </c>
      <c r="R2323" s="53" t="str">
        <f t="shared" si="156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73">
        <f t="shared" si="157"/>
        <v>22</v>
      </c>
      <c r="Z2323" s="18">
        <v>46170</v>
      </c>
      <c r="AA2323" s="15"/>
      <c r="AB2323" s="15"/>
      <c r="AF2323" t="str">
        <f t="shared" si="158"/>
        <v>Closed in May</v>
      </c>
    </row>
    <row r="2324" spans="1:32" hidden="1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55"/>
        <v>23</v>
      </c>
      <c r="R2324" s="53" t="str">
        <f t="shared" si="156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73">
        <f t="shared" si="157"/>
        <v>22</v>
      </c>
      <c r="Z2324" s="18">
        <v>46170</v>
      </c>
      <c r="AA2324" s="15"/>
      <c r="AB2324" s="15"/>
      <c r="AF2324" t="str">
        <f t="shared" si="158"/>
        <v>Closed in May</v>
      </c>
    </row>
    <row r="2325" spans="1:32" hidden="1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55"/>
        <v>23</v>
      </c>
      <c r="R2325" s="53" t="str">
        <f t="shared" si="156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73">
        <f t="shared" si="157"/>
        <v>22</v>
      </c>
      <c r="Z2325" s="18">
        <v>46170</v>
      </c>
      <c r="AA2325" s="15"/>
      <c r="AB2325" s="15"/>
      <c r="AF2325" t="str">
        <f t="shared" si="158"/>
        <v>Closed in May</v>
      </c>
    </row>
    <row r="2326" spans="1:32" hidden="1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55"/>
        <v>23</v>
      </c>
      <c r="R2326" s="53" t="str">
        <f t="shared" si="156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73">
        <f t="shared" si="157"/>
        <v>22</v>
      </c>
      <c r="Z2326" s="18">
        <v>46170</v>
      </c>
      <c r="AA2326" s="15"/>
      <c r="AB2326" s="15"/>
      <c r="AF2326" t="str">
        <f t="shared" si="158"/>
        <v>Closed in May</v>
      </c>
    </row>
    <row r="2327" spans="1:32" hidden="1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55"/>
        <v>23</v>
      </c>
      <c r="R2327" s="53" t="str">
        <f t="shared" si="156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73">
        <f t="shared" si="157"/>
        <v>22</v>
      </c>
      <c r="Z2327" s="18">
        <v>46170</v>
      </c>
      <c r="AA2327" s="15"/>
      <c r="AB2327" s="15"/>
      <c r="AF2327" t="str">
        <f t="shared" si="158"/>
        <v>Closed in May</v>
      </c>
    </row>
    <row r="2328" spans="1:32" hidden="1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55"/>
        <v>23</v>
      </c>
      <c r="R2328" s="53" t="str">
        <f t="shared" si="156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73">
        <f t="shared" si="157"/>
        <v>22</v>
      </c>
      <c r="Z2328" s="18">
        <v>46170</v>
      </c>
      <c r="AA2328" s="15"/>
      <c r="AB2328" s="15"/>
      <c r="AF2328" t="str">
        <f t="shared" si="158"/>
        <v>Closed in May</v>
      </c>
    </row>
    <row r="2329" spans="1:32" hidden="1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55"/>
        <v>23</v>
      </c>
      <c r="R2329" s="53" t="str">
        <f t="shared" si="156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73">
        <f t="shared" si="157"/>
        <v>22</v>
      </c>
      <c r="Z2329" s="18">
        <v>46170</v>
      </c>
      <c r="AA2329" s="15"/>
      <c r="AB2329" s="15"/>
      <c r="AF2329" t="str">
        <f t="shared" si="158"/>
        <v>Closed in May</v>
      </c>
    </row>
    <row r="2330" spans="1:32" hidden="1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55"/>
        <v>23</v>
      </c>
      <c r="R2330" s="53" t="str">
        <f t="shared" si="156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73">
        <f t="shared" si="157"/>
        <v>22</v>
      </c>
      <c r="Z2330" s="18">
        <v>46170</v>
      </c>
      <c r="AA2330" s="15"/>
      <c r="AB2330" s="15"/>
      <c r="AF2330" t="str">
        <f t="shared" si="158"/>
        <v>Closed in May</v>
      </c>
    </row>
    <row r="2331" spans="1:32" hidden="1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55"/>
        <v>23</v>
      </c>
      <c r="R2331" s="53" t="str">
        <f t="shared" si="156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73">
        <f t="shared" si="157"/>
        <v>22</v>
      </c>
      <c r="Z2331" s="18">
        <v>46170</v>
      </c>
      <c r="AA2331" s="15"/>
      <c r="AB2331" s="15"/>
      <c r="AF2331" t="str">
        <f t="shared" si="158"/>
        <v>Closed in May</v>
      </c>
    </row>
    <row r="2332" spans="1:32" hidden="1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55"/>
        <v>23</v>
      </c>
      <c r="R2332" s="53" t="str">
        <f t="shared" si="156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73">
        <f t="shared" si="157"/>
        <v>22</v>
      </c>
      <c r="Z2332" s="18">
        <v>46170</v>
      </c>
      <c r="AA2332" s="15"/>
      <c r="AB2332" s="15"/>
      <c r="AF2332" t="str">
        <f t="shared" si="158"/>
        <v>Closed in May</v>
      </c>
    </row>
    <row r="2333" spans="1:32" hidden="1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55"/>
        <v>23</v>
      </c>
      <c r="R2333" s="53" t="str">
        <f t="shared" si="156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73">
        <f t="shared" si="157"/>
        <v>22</v>
      </c>
      <c r="Z2333" s="18">
        <v>46170</v>
      </c>
      <c r="AA2333" s="15"/>
      <c r="AB2333" s="15"/>
      <c r="AF2333" t="str">
        <f t="shared" si="158"/>
        <v>Closed in May</v>
      </c>
    </row>
    <row r="2334" spans="1:32" hidden="1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55"/>
        <v>23</v>
      </c>
      <c r="R2334" s="53" t="str">
        <f t="shared" si="156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73">
        <f t="shared" si="157"/>
        <v>22</v>
      </c>
      <c r="Z2334" s="18">
        <v>46170</v>
      </c>
      <c r="AA2334" s="15"/>
      <c r="AB2334" s="15"/>
      <c r="AF2334" t="str">
        <f t="shared" si="158"/>
        <v>Closed in May</v>
      </c>
    </row>
    <row r="2335" spans="1:32" hidden="1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55"/>
        <v>23</v>
      </c>
      <c r="R2335" s="53" t="str">
        <f t="shared" si="156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73">
        <f t="shared" si="157"/>
        <v>22</v>
      </c>
      <c r="Z2335" s="18">
        <v>46170</v>
      </c>
      <c r="AA2335" s="15"/>
      <c r="AB2335" s="15"/>
      <c r="AF2335" t="str">
        <f t="shared" si="158"/>
        <v>Closed in May</v>
      </c>
    </row>
    <row r="2336" spans="1:32" hidden="1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55"/>
        <v>23</v>
      </c>
      <c r="R2336" s="53" t="str">
        <f t="shared" si="156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73">
        <f t="shared" si="157"/>
        <v>22</v>
      </c>
      <c r="Z2336" s="18">
        <v>46170</v>
      </c>
      <c r="AA2336" s="15"/>
      <c r="AB2336" s="15"/>
      <c r="AF2336" t="str">
        <f t="shared" si="158"/>
        <v>Closed in May</v>
      </c>
    </row>
    <row r="2337" spans="1:32" hidden="1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55"/>
        <v>23</v>
      </c>
      <c r="R2337" s="53" t="str">
        <f t="shared" si="156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73">
        <f t="shared" si="157"/>
        <v>22</v>
      </c>
      <c r="Z2337" s="18">
        <v>46170</v>
      </c>
      <c r="AA2337" s="15"/>
      <c r="AB2337" s="15"/>
      <c r="AF2337" t="str">
        <f t="shared" si="158"/>
        <v>Closed in May</v>
      </c>
    </row>
    <row r="2338" spans="1:32" hidden="1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55"/>
        <v>23</v>
      </c>
      <c r="R2338" s="53" t="str">
        <f t="shared" si="156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73">
        <f t="shared" si="157"/>
        <v>22</v>
      </c>
      <c r="Z2338" s="18">
        <v>46170</v>
      </c>
      <c r="AA2338" s="15"/>
      <c r="AB2338" s="15"/>
      <c r="AF2338" t="str">
        <f t="shared" si="158"/>
        <v>Closed in May</v>
      </c>
    </row>
    <row r="2339" spans="1:32" hidden="1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55"/>
        <v>23</v>
      </c>
      <c r="R2339" s="53" t="str">
        <f t="shared" si="156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73">
        <f t="shared" si="157"/>
        <v>22</v>
      </c>
      <c r="Z2339" s="18">
        <v>46170</v>
      </c>
      <c r="AA2339" s="15"/>
      <c r="AB2339" s="15"/>
      <c r="AF2339" t="str">
        <f t="shared" si="158"/>
        <v>Closed in May</v>
      </c>
    </row>
    <row r="2340" spans="1:32" hidden="1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55"/>
        <v>23</v>
      </c>
      <c r="R2340" s="53" t="str">
        <f t="shared" si="156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73">
        <f t="shared" si="157"/>
        <v>22</v>
      </c>
      <c r="Z2340" s="18">
        <v>46170</v>
      </c>
      <c r="AA2340" s="15"/>
      <c r="AB2340" s="15"/>
      <c r="AF2340" t="str">
        <f t="shared" si="158"/>
        <v>Closed in May</v>
      </c>
    </row>
    <row r="2341" spans="1:32" hidden="1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55"/>
        <v>23</v>
      </c>
      <c r="R2341" s="53" t="str">
        <f t="shared" si="156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73">
        <f t="shared" si="157"/>
        <v>22</v>
      </c>
      <c r="Z2341" s="18">
        <v>46170</v>
      </c>
      <c r="AA2341" s="15"/>
      <c r="AB2341" s="15"/>
      <c r="AF2341" t="str">
        <f t="shared" si="158"/>
        <v>Closed in May</v>
      </c>
    </row>
    <row r="2342" spans="1:32" hidden="1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55"/>
        <v>23</v>
      </c>
      <c r="R2342" s="53" t="str">
        <f t="shared" si="156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73">
        <f t="shared" si="157"/>
        <v>22</v>
      </c>
      <c r="Z2342" s="18">
        <v>46170</v>
      </c>
      <c r="AA2342" s="15"/>
      <c r="AB2342" s="15"/>
      <c r="AF2342" t="str">
        <f t="shared" si="158"/>
        <v>Closed in May</v>
      </c>
    </row>
    <row r="2343" spans="1:32" hidden="1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59">MID(P2343,5,2)</f>
        <v>23</v>
      </c>
      <c r="R2343" s="53" t="str">
        <f t="shared" ref="R2343:R2406" si="160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73">
        <f t="shared" si="157"/>
        <v>22</v>
      </c>
      <c r="Z2343" s="18">
        <v>46170</v>
      </c>
      <c r="AA2343" s="15"/>
      <c r="AB2343" s="15"/>
      <c r="AF2343" t="str">
        <f t="shared" si="158"/>
        <v>Closed in May</v>
      </c>
    </row>
    <row r="2344" spans="1:32" hidden="1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59"/>
        <v>23</v>
      </c>
      <c r="R2344" s="53" t="str">
        <f t="shared" si="160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73">
        <f t="shared" si="157"/>
        <v>22</v>
      </c>
      <c r="Z2344" s="18">
        <v>46170</v>
      </c>
      <c r="AA2344" s="15"/>
      <c r="AB2344" s="15"/>
      <c r="AF2344" t="str">
        <f t="shared" si="158"/>
        <v>Closed in May</v>
      </c>
    </row>
    <row r="2345" spans="1:32" hidden="1">
      <c r="A2345" s="59">
        <v>46168</v>
      </c>
      <c r="B2345" s="3">
        <v>2026</v>
      </c>
      <c r="C2345" s="21" t="s">
        <v>343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59"/>
        <v>25</v>
      </c>
      <c r="R2345" s="53" t="str">
        <f t="shared" si="160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73">
        <f t="shared" si="157"/>
        <v>2</v>
      </c>
      <c r="Z2345" s="18">
        <v>46170</v>
      </c>
      <c r="AA2345" s="15"/>
      <c r="AB2345" s="15"/>
      <c r="AF2345" t="str">
        <f t="shared" si="158"/>
        <v>Closed in May</v>
      </c>
    </row>
    <row r="2346" spans="1:32" hidden="1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59"/>
        <v>24</v>
      </c>
      <c r="R2346" s="53" t="str">
        <f t="shared" si="160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73">
        <f t="shared" si="157"/>
        <v>27</v>
      </c>
      <c r="Z2346" s="18">
        <v>46170</v>
      </c>
      <c r="AA2346" s="15"/>
      <c r="AB2346" s="15"/>
      <c r="AF2346" t="str">
        <f t="shared" si="158"/>
        <v>Closed in May</v>
      </c>
    </row>
    <row r="2347" spans="1:32" hidden="1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59"/>
        <v>24</v>
      </c>
      <c r="R2347" s="53" t="str">
        <f t="shared" si="160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73">
        <f t="shared" si="157"/>
        <v>27</v>
      </c>
      <c r="Z2347" s="18">
        <v>46170</v>
      </c>
      <c r="AA2347" s="15"/>
      <c r="AB2347" s="15"/>
      <c r="AF2347" t="str">
        <f t="shared" si="158"/>
        <v>Closed in May</v>
      </c>
    </row>
    <row r="2348" spans="1:32" hidden="1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59"/>
        <v>24</v>
      </c>
      <c r="R2348" s="53" t="str">
        <f t="shared" si="160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73">
        <f t="shared" si="157"/>
        <v>27</v>
      </c>
      <c r="Z2348" s="18">
        <v>46170</v>
      </c>
      <c r="AA2348" s="15"/>
      <c r="AB2348" s="15"/>
      <c r="AF2348" t="str">
        <f t="shared" si="158"/>
        <v>Closed in May</v>
      </c>
    </row>
    <row r="2349" spans="1:32" hidden="1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59"/>
        <v>24</v>
      </c>
      <c r="R2349" s="53" t="str">
        <f t="shared" si="160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73">
        <f t="shared" si="157"/>
        <v>27</v>
      </c>
      <c r="Z2349" s="18">
        <v>46170</v>
      </c>
      <c r="AA2349" s="15"/>
      <c r="AB2349" s="15"/>
      <c r="AF2349" t="str">
        <f t="shared" si="158"/>
        <v>Closed in May</v>
      </c>
    </row>
    <row r="2350" spans="1:32" hidden="1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59"/>
        <v>24</v>
      </c>
      <c r="R2350" s="53" t="str">
        <f t="shared" si="160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73">
        <f t="shared" si="157"/>
        <v>27</v>
      </c>
      <c r="Z2350" s="18">
        <v>46170</v>
      </c>
      <c r="AA2350" s="15"/>
      <c r="AB2350" s="15"/>
      <c r="AF2350" t="str">
        <f t="shared" si="158"/>
        <v>Closed in May</v>
      </c>
    </row>
    <row r="2351" spans="1:32" hidden="1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59"/>
        <v>24</v>
      </c>
      <c r="R2351" s="53" t="str">
        <f t="shared" si="160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73">
        <f t="shared" si="157"/>
        <v>27</v>
      </c>
      <c r="Z2351" s="18">
        <v>46170</v>
      </c>
      <c r="AA2351" s="15"/>
      <c r="AB2351" s="15"/>
      <c r="AF2351" t="str">
        <f t="shared" si="158"/>
        <v>Closed in May</v>
      </c>
    </row>
    <row r="2352" spans="1:32" hidden="1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59"/>
        <v>24</v>
      </c>
      <c r="R2352" s="53" t="str">
        <f t="shared" si="160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73">
        <f t="shared" si="157"/>
        <v>27</v>
      </c>
      <c r="Z2352" s="18">
        <v>46170</v>
      </c>
      <c r="AA2352" s="15"/>
      <c r="AB2352" s="15"/>
      <c r="AF2352" t="str">
        <f t="shared" si="158"/>
        <v>Closed in May</v>
      </c>
    </row>
    <row r="2353" spans="1:32" hidden="1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59"/>
        <v>24</v>
      </c>
      <c r="R2353" s="53" t="str">
        <f t="shared" si="160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73">
        <f t="shared" si="157"/>
        <v>27</v>
      </c>
      <c r="Z2353" s="18">
        <v>46170</v>
      </c>
      <c r="AA2353" s="15"/>
      <c r="AB2353" s="15"/>
      <c r="AF2353" t="str">
        <f t="shared" si="158"/>
        <v>Closed in May</v>
      </c>
    </row>
    <row r="2354" spans="1:32" hidden="1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59"/>
        <v>24</v>
      </c>
      <c r="R2354" s="53" t="str">
        <f t="shared" si="160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73">
        <f t="shared" si="157"/>
        <v>27</v>
      </c>
      <c r="Z2354" s="18">
        <v>46170</v>
      </c>
      <c r="AA2354" s="15"/>
      <c r="AB2354" s="15"/>
      <c r="AF2354" t="str">
        <f t="shared" si="158"/>
        <v>Closed in May</v>
      </c>
    </row>
    <row r="2355" spans="1:32" hidden="1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59"/>
        <v>24</v>
      </c>
      <c r="R2355" s="53" t="str">
        <f t="shared" si="160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73">
        <f t="shared" si="157"/>
        <v>27</v>
      </c>
      <c r="Z2355" s="18">
        <v>46170</v>
      </c>
      <c r="AA2355" s="15"/>
      <c r="AB2355" s="15"/>
      <c r="AF2355" t="str">
        <f t="shared" si="158"/>
        <v>Closed in May</v>
      </c>
    </row>
    <row r="2356" spans="1:32" hidden="1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59"/>
        <v>24</v>
      </c>
      <c r="R2356" s="53" t="str">
        <f t="shared" si="160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73">
        <f t="shared" si="157"/>
        <v>27</v>
      </c>
      <c r="Z2356" s="18">
        <v>46170</v>
      </c>
      <c r="AA2356" s="15"/>
      <c r="AB2356" s="15"/>
      <c r="AF2356" t="str">
        <f t="shared" si="158"/>
        <v>Closed in May</v>
      </c>
    </row>
    <row r="2357" spans="1:32" hidden="1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59"/>
        <v>24</v>
      </c>
      <c r="R2357" s="53" t="str">
        <f t="shared" si="160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73">
        <f t="shared" si="157"/>
        <v>27</v>
      </c>
      <c r="Z2357" s="18">
        <v>46170</v>
      </c>
      <c r="AA2357" s="15"/>
      <c r="AB2357" s="15"/>
      <c r="AF2357" t="str">
        <f t="shared" si="158"/>
        <v>Closed in May</v>
      </c>
    </row>
    <row r="2358" spans="1:32" hidden="1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59"/>
        <v>24</v>
      </c>
      <c r="R2358" s="53" t="str">
        <f t="shared" si="160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73">
        <f t="shared" si="157"/>
        <v>27</v>
      </c>
      <c r="Z2358" s="18">
        <v>46170</v>
      </c>
      <c r="AA2358" s="15"/>
      <c r="AB2358" s="15"/>
      <c r="AF2358" t="str">
        <f t="shared" si="158"/>
        <v>Closed in May</v>
      </c>
    </row>
    <row r="2359" spans="1:32" hidden="1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59"/>
        <v>24</v>
      </c>
      <c r="R2359" s="53" t="str">
        <f t="shared" si="160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73">
        <f t="shared" si="157"/>
        <v>27</v>
      </c>
      <c r="Z2359" s="18">
        <v>46170</v>
      </c>
      <c r="AA2359" s="15"/>
      <c r="AB2359" s="15"/>
      <c r="AF2359" t="str">
        <f t="shared" si="158"/>
        <v>Closed in May</v>
      </c>
    </row>
    <row r="2360" spans="1:32" hidden="1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59"/>
        <v>24</v>
      </c>
      <c r="R2360" s="53" t="str">
        <f t="shared" si="160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73">
        <f t="shared" si="157"/>
        <v>27</v>
      </c>
      <c r="Z2360" s="18">
        <v>46170</v>
      </c>
      <c r="AA2360" s="15"/>
      <c r="AB2360" s="15"/>
      <c r="AF2360" t="str">
        <f t="shared" si="158"/>
        <v>Closed in May</v>
      </c>
    </row>
    <row r="2361" spans="1:32" hidden="1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59"/>
        <v>24</v>
      </c>
      <c r="R2361" s="53" t="str">
        <f t="shared" si="160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73">
        <f t="shared" si="157"/>
        <v>27</v>
      </c>
      <c r="Z2361" s="18">
        <v>46170</v>
      </c>
      <c r="AA2361" s="15"/>
      <c r="AB2361" s="15"/>
      <c r="AF2361" t="str">
        <f t="shared" si="158"/>
        <v>Closed in May</v>
      </c>
    </row>
    <row r="2362" spans="1:32" hidden="1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59"/>
        <v>24</v>
      </c>
      <c r="R2362" s="53" t="str">
        <f t="shared" si="160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73">
        <f t="shared" si="157"/>
        <v>27</v>
      </c>
      <c r="Z2362" s="18">
        <v>46170</v>
      </c>
      <c r="AA2362" s="15"/>
      <c r="AB2362" s="15"/>
      <c r="AF2362" t="str">
        <f t="shared" si="158"/>
        <v>Closed in May</v>
      </c>
    </row>
    <row r="2363" spans="1:32" hidden="1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59"/>
        <v>24</v>
      </c>
      <c r="R2363" s="53" t="str">
        <f t="shared" si="160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73">
        <f t="shared" si="157"/>
        <v>27</v>
      </c>
      <c r="Z2363" s="18">
        <v>46170</v>
      </c>
      <c r="AA2363" s="15"/>
      <c r="AB2363" s="15"/>
      <c r="AF2363" t="str">
        <f t="shared" si="158"/>
        <v>Closed in May</v>
      </c>
    </row>
    <row r="2364" spans="1:32" hidden="1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59"/>
        <v>24</v>
      </c>
      <c r="R2364" s="53" t="str">
        <f t="shared" si="160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73">
        <f t="shared" si="157"/>
        <v>27</v>
      </c>
      <c r="Z2364" s="18">
        <v>46170</v>
      </c>
      <c r="AA2364" s="15"/>
      <c r="AB2364" s="15"/>
      <c r="AF2364" t="str">
        <f t="shared" si="158"/>
        <v>Closed in May</v>
      </c>
    </row>
    <row r="2365" spans="1:32" hidden="1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59"/>
        <v>24</v>
      </c>
      <c r="R2365" s="53" t="str">
        <f t="shared" si="160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73">
        <f t="shared" si="157"/>
        <v>27</v>
      </c>
      <c r="Z2365" s="18">
        <v>46170</v>
      </c>
      <c r="AA2365" s="15"/>
      <c r="AB2365" s="15"/>
      <c r="AF2365" t="str">
        <f t="shared" si="158"/>
        <v>Closed in May</v>
      </c>
    </row>
    <row r="2366" spans="1:32" hidden="1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59"/>
        <v>24</v>
      </c>
      <c r="R2366" s="53" t="str">
        <f t="shared" si="160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73">
        <f t="shared" si="157"/>
        <v>27</v>
      </c>
      <c r="Z2366" s="18">
        <v>46170</v>
      </c>
      <c r="AA2366" s="15"/>
      <c r="AB2366" s="15"/>
      <c r="AF2366" t="str">
        <f t="shared" si="158"/>
        <v>Closed in May</v>
      </c>
    </row>
    <row r="2367" spans="1:32" hidden="1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59"/>
        <v>24</v>
      </c>
      <c r="R2367" s="53" t="str">
        <f t="shared" si="160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73">
        <f t="shared" si="157"/>
        <v>27</v>
      </c>
      <c r="Z2367" s="18">
        <v>46170</v>
      </c>
      <c r="AA2367" s="15"/>
      <c r="AB2367" s="15"/>
      <c r="AF2367" t="str">
        <f t="shared" si="158"/>
        <v>Closed in May</v>
      </c>
    </row>
    <row r="2368" spans="1:32" hidden="1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59"/>
        <v>24</v>
      </c>
      <c r="R2368" s="53" t="str">
        <f t="shared" si="160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73">
        <f t="shared" si="157"/>
        <v>27</v>
      </c>
      <c r="Z2368" s="18">
        <v>46170</v>
      </c>
      <c r="AA2368" s="15"/>
      <c r="AB2368" s="15"/>
      <c r="AF2368" t="str">
        <f t="shared" si="158"/>
        <v>Closed in May</v>
      </c>
    </row>
    <row r="2369" spans="1:32" hidden="1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59"/>
        <v>24</v>
      </c>
      <c r="R2369" s="53" t="str">
        <f t="shared" si="160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73">
        <f t="shared" si="157"/>
        <v>27</v>
      </c>
      <c r="Z2369" s="18">
        <v>46170</v>
      </c>
      <c r="AA2369" s="15"/>
      <c r="AB2369" s="15"/>
      <c r="AF2369" t="str">
        <f t="shared" si="158"/>
        <v>Closed in May</v>
      </c>
    </row>
    <row r="2370" spans="1:32" hidden="1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59"/>
        <v>24</v>
      </c>
      <c r="R2370" s="53" t="str">
        <f t="shared" si="160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73">
        <f t="shared" ref="Y2370:Y2433" si="161">IF(X2370="","",X2370-A2370)</f>
        <v>27</v>
      </c>
      <c r="Z2370" s="18">
        <v>46170</v>
      </c>
      <c r="AA2370" s="15"/>
      <c r="AB2370" s="15"/>
      <c r="AF2370" t="str">
        <f t="shared" ref="AF2370:AF2433" si="162">IF(AND($F2370="Closed",$X2370&gt;=DATE(2026,5,1),$X2370&lt;=DATE(2026,5,31)),"Closed in May","Other")</f>
        <v>Closed in May</v>
      </c>
    </row>
    <row r="2371" spans="1:32" hidden="1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59"/>
        <v>24</v>
      </c>
      <c r="R2371" s="53" t="str">
        <f t="shared" si="160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73">
        <f t="shared" si="161"/>
        <v>27</v>
      </c>
      <c r="Z2371" s="18">
        <v>46170</v>
      </c>
      <c r="AA2371" s="15"/>
      <c r="AB2371" s="15"/>
      <c r="AF2371" t="str">
        <f t="shared" si="162"/>
        <v>Closed in May</v>
      </c>
    </row>
    <row r="2372" spans="1:32" hidden="1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59"/>
        <v>24</v>
      </c>
      <c r="R2372" s="53" t="str">
        <f t="shared" si="160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73">
        <f t="shared" si="161"/>
        <v>27</v>
      </c>
      <c r="Z2372" s="18">
        <v>46170</v>
      </c>
      <c r="AA2372" s="15"/>
      <c r="AB2372" s="15"/>
      <c r="AF2372" t="str">
        <f t="shared" si="162"/>
        <v>Closed in May</v>
      </c>
    </row>
    <row r="2373" spans="1:32" hidden="1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59"/>
        <v>24</v>
      </c>
      <c r="R2373" s="53" t="str">
        <f t="shared" si="160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73">
        <f t="shared" si="161"/>
        <v>27</v>
      </c>
      <c r="Z2373" s="18">
        <v>46170</v>
      </c>
      <c r="AA2373" s="15"/>
      <c r="AB2373" s="15"/>
      <c r="AF2373" t="str">
        <f t="shared" si="162"/>
        <v>Closed in May</v>
      </c>
    </row>
    <row r="2374" spans="1:32" hidden="1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59"/>
        <v>24</v>
      </c>
      <c r="R2374" s="53" t="str">
        <f t="shared" si="160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73">
        <f t="shared" si="161"/>
        <v>27</v>
      </c>
      <c r="Z2374" s="18">
        <v>46170</v>
      </c>
      <c r="AA2374" s="15"/>
      <c r="AB2374" s="15"/>
      <c r="AF2374" t="str">
        <f t="shared" si="162"/>
        <v>Closed in May</v>
      </c>
    </row>
    <row r="2375" spans="1:32" hidden="1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59"/>
        <v>24</v>
      </c>
      <c r="R2375" s="53" t="str">
        <f t="shared" si="160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73">
        <f t="shared" si="161"/>
        <v>27</v>
      </c>
      <c r="Z2375" s="18">
        <v>46170</v>
      </c>
      <c r="AA2375" s="15"/>
      <c r="AB2375" s="15"/>
      <c r="AF2375" t="str">
        <f t="shared" si="162"/>
        <v>Closed in May</v>
      </c>
    </row>
    <row r="2376" spans="1:32" hidden="1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59"/>
        <v>24</v>
      </c>
      <c r="R2376" s="53" t="str">
        <f t="shared" si="160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73">
        <f t="shared" si="161"/>
        <v>27</v>
      </c>
      <c r="Z2376" s="18">
        <v>46170</v>
      </c>
      <c r="AA2376" s="15"/>
      <c r="AB2376" s="15"/>
      <c r="AF2376" t="str">
        <f t="shared" si="162"/>
        <v>Closed in May</v>
      </c>
    </row>
    <row r="2377" spans="1:32" hidden="1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59"/>
        <v>24</v>
      </c>
      <c r="R2377" s="53" t="str">
        <f t="shared" si="160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73">
        <f t="shared" si="161"/>
        <v>27</v>
      </c>
      <c r="Z2377" s="18">
        <v>46170</v>
      </c>
      <c r="AA2377" s="15"/>
      <c r="AB2377" s="15"/>
      <c r="AF2377" t="str">
        <f t="shared" si="162"/>
        <v>Closed in May</v>
      </c>
    </row>
    <row r="2378" spans="1:32" hidden="1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59"/>
        <v>24</v>
      </c>
      <c r="R2378" s="53" t="str">
        <f t="shared" si="160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73">
        <f t="shared" si="161"/>
        <v>27</v>
      </c>
      <c r="Z2378" s="18">
        <v>46170</v>
      </c>
      <c r="AA2378" s="15"/>
      <c r="AB2378" s="15"/>
      <c r="AF2378" t="str">
        <f t="shared" si="162"/>
        <v>Closed in May</v>
      </c>
    </row>
    <row r="2379" spans="1:32" hidden="1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59"/>
        <v>24</v>
      </c>
      <c r="R2379" s="53" t="str">
        <f t="shared" si="160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73">
        <f t="shared" si="161"/>
        <v>27</v>
      </c>
      <c r="Z2379" s="18">
        <v>46170</v>
      </c>
      <c r="AA2379" s="15"/>
      <c r="AB2379" s="15"/>
      <c r="AF2379" t="str">
        <f t="shared" si="162"/>
        <v>Closed in May</v>
      </c>
    </row>
    <row r="2380" spans="1:32" hidden="1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59"/>
        <v>24</v>
      </c>
      <c r="R2380" s="53" t="str">
        <f t="shared" si="160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73">
        <f t="shared" si="161"/>
        <v>27</v>
      </c>
      <c r="Z2380" s="18">
        <v>46170</v>
      </c>
      <c r="AA2380" s="15"/>
      <c r="AB2380" s="15"/>
      <c r="AF2380" t="str">
        <f t="shared" si="162"/>
        <v>Closed in May</v>
      </c>
    </row>
    <row r="2381" spans="1:32" hidden="1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59"/>
        <v>24</v>
      </c>
      <c r="R2381" s="53" t="str">
        <f t="shared" si="160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73">
        <f t="shared" si="161"/>
        <v>27</v>
      </c>
      <c r="Z2381" s="18">
        <v>46170</v>
      </c>
      <c r="AA2381" s="15"/>
      <c r="AB2381" s="15"/>
      <c r="AF2381" t="str">
        <f t="shared" si="162"/>
        <v>Closed in May</v>
      </c>
    </row>
    <row r="2382" spans="1:32" hidden="1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59"/>
        <v>24</v>
      </c>
      <c r="R2382" s="53" t="str">
        <f t="shared" si="160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73">
        <f t="shared" si="161"/>
        <v>27</v>
      </c>
      <c r="Z2382" s="18">
        <v>46170</v>
      </c>
      <c r="AA2382" s="15"/>
      <c r="AB2382" s="15"/>
      <c r="AF2382" t="str">
        <f t="shared" si="162"/>
        <v>Closed in May</v>
      </c>
    </row>
    <row r="2383" spans="1:32" hidden="1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59"/>
        <v>24</v>
      </c>
      <c r="R2383" s="53" t="str">
        <f t="shared" si="160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73">
        <f t="shared" si="161"/>
        <v>27</v>
      </c>
      <c r="Z2383" s="18">
        <v>46170</v>
      </c>
      <c r="AA2383" s="15"/>
      <c r="AB2383" s="15"/>
      <c r="AF2383" t="str">
        <f t="shared" si="162"/>
        <v>Closed in May</v>
      </c>
    </row>
    <row r="2384" spans="1:32" hidden="1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59"/>
        <v>24</v>
      </c>
      <c r="R2384" s="53" t="str">
        <f t="shared" si="160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73">
        <f t="shared" si="161"/>
        <v>27</v>
      </c>
      <c r="Z2384" s="18">
        <v>46170</v>
      </c>
      <c r="AA2384" s="15"/>
      <c r="AB2384" s="15"/>
      <c r="AF2384" t="str">
        <f t="shared" si="162"/>
        <v>Closed in May</v>
      </c>
    </row>
    <row r="2385" spans="1:32" hidden="1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59"/>
        <v>24</v>
      </c>
      <c r="R2385" s="53" t="str">
        <f t="shared" si="160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73">
        <f t="shared" si="161"/>
        <v>27</v>
      </c>
      <c r="Z2385" s="18">
        <v>46170</v>
      </c>
      <c r="AA2385" s="15"/>
      <c r="AB2385" s="15"/>
      <c r="AF2385" t="str">
        <f t="shared" si="162"/>
        <v>Closed in May</v>
      </c>
    </row>
    <row r="2386" spans="1:32" hidden="1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59"/>
        <v>24</v>
      </c>
      <c r="R2386" s="53" t="str">
        <f t="shared" si="160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73">
        <f t="shared" si="161"/>
        <v>27</v>
      </c>
      <c r="Z2386" s="18">
        <v>46170</v>
      </c>
      <c r="AA2386" s="15"/>
      <c r="AB2386" s="15"/>
      <c r="AF2386" t="str">
        <f t="shared" si="162"/>
        <v>Closed in May</v>
      </c>
    </row>
    <row r="2387" spans="1:32" hidden="1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59"/>
        <v>24</v>
      </c>
      <c r="R2387" s="53" t="str">
        <f t="shared" si="160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73">
        <f t="shared" si="161"/>
        <v>27</v>
      </c>
      <c r="Z2387" s="18">
        <v>46170</v>
      </c>
      <c r="AA2387" s="15"/>
      <c r="AB2387" s="15"/>
      <c r="AF2387" t="str">
        <f t="shared" si="162"/>
        <v>Closed in May</v>
      </c>
    </row>
    <row r="2388" spans="1:32" hidden="1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59"/>
        <v>24</v>
      </c>
      <c r="R2388" s="53" t="str">
        <f t="shared" si="160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73">
        <f t="shared" si="161"/>
        <v>27</v>
      </c>
      <c r="Z2388" s="18">
        <v>46170</v>
      </c>
      <c r="AA2388" s="15"/>
      <c r="AB2388" s="15"/>
      <c r="AF2388" t="str">
        <f t="shared" si="162"/>
        <v>Closed in May</v>
      </c>
    </row>
    <row r="2389" spans="1:32" hidden="1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59"/>
        <v>24</v>
      </c>
      <c r="R2389" s="53" t="str">
        <f t="shared" si="160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73">
        <f t="shared" si="161"/>
        <v>27</v>
      </c>
      <c r="Z2389" s="18">
        <v>46170</v>
      </c>
      <c r="AA2389" s="15"/>
      <c r="AB2389" s="15"/>
      <c r="AF2389" t="str">
        <f t="shared" si="162"/>
        <v>Closed in May</v>
      </c>
    </row>
    <row r="2390" spans="1:32" hidden="1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59"/>
        <v>24</v>
      </c>
      <c r="R2390" s="53" t="str">
        <f t="shared" si="160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73">
        <f t="shared" si="161"/>
        <v>27</v>
      </c>
      <c r="Z2390" s="18">
        <v>46170</v>
      </c>
      <c r="AA2390" s="15"/>
      <c r="AB2390" s="15"/>
      <c r="AF2390" t="str">
        <f t="shared" si="162"/>
        <v>Closed in May</v>
      </c>
    </row>
    <row r="2391" spans="1:32" hidden="1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59"/>
        <v>24</v>
      </c>
      <c r="R2391" s="53" t="str">
        <f t="shared" si="160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73">
        <f t="shared" si="161"/>
        <v>27</v>
      </c>
      <c r="Z2391" s="18">
        <v>46170</v>
      </c>
      <c r="AA2391" s="15"/>
      <c r="AB2391" s="15"/>
      <c r="AF2391" t="str">
        <f t="shared" si="162"/>
        <v>Closed in May</v>
      </c>
    </row>
    <row r="2392" spans="1:32" hidden="1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59"/>
        <v>24</v>
      </c>
      <c r="R2392" s="53" t="str">
        <f t="shared" si="160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73">
        <f t="shared" si="161"/>
        <v>27</v>
      </c>
      <c r="Z2392" s="18">
        <v>46170</v>
      </c>
      <c r="AA2392" s="15"/>
      <c r="AB2392" s="15"/>
      <c r="AF2392" t="str">
        <f t="shared" si="162"/>
        <v>Closed in May</v>
      </c>
    </row>
    <row r="2393" spans="1:32" hidden="1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59"/>
        <v>24</v>
      </c>
      <c r="R2393" s="53" t="str">
        <f t="shared" si="160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73">
        <f t="shared" si="161"/>
        <v>27</v>
      </c>
      <c r="Z2393" s="18">
        <v>46170</v>
      </c>
      <c r="AA2393" s="15"/>
      <c r="AB2393" s="15"/>
      <c r="AF2393" t="str">
        <f t="shared" si="162"/>
        <v>Closed in May</v>
      </c>
    </row>
    <row r="2394" spans="1:32" hidden="1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59"/>
        <v>24</v>
      </c>
      <c r="R2394" s="53" t="str">
        <f t="shared" si="160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73">
        <f t="shared" si="161"/>
        <v>27</v>
      </c>
      <c r="Z2394" s="18">
        <v>46170</v>
      </c>
      <c r="AA2394" s="15"/>
      <c r="AB2394" s="15"/>
      <c r="AF2394" t="str">
        <f t="shared" si="162"/>
        <v>Closed in May</v>
      </c>
    </row>
    <row r="2395" spans="1:32" hidden="1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59"/>
        <v>24</v>
      </c>
      <c r="R2395" s="53" t="str">
        <f t="shared" si="160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73">
        <f t="shared" si="161"/>
        <v>27</v>
      </c>
      <c r="Z2395" s="18">
        <v>46170</v>
      </c>
      <c r="AA2395" s="15"/>
      <c r="AB2395" s="15"/>
      <c r="AF2395" t="str">
        <f t="shared" si="162"/>
        <v>Closed in May</v>
      </c>
    </row>
    <row r="2396" spans="1:32" hidden="1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59"/>
        <v>24</v>
      </c>
      <c r="R2396" s="53" t="str">
        <f t="shared" si="160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73">
        <f t="shared" si="161"/>
        <v>27</v>
      </c>
      <c r="Z2396" s="18">
        <v>46170</v>
      </c>
      <c r="AA2396" s="15"/>
      <c r="AB2396" s="15"/>
      <c r="AF2396" t="str">
        <f t="shared" si="162"/>
        <v>Closed in May</v>
      </c>
    </row>
    <row r="2397" spans="1:32" hidden="1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59"/>
        <v>24</v>
      </c>
      <c r="R2397" s="53" t="str">
        <f t="shared" si="160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73">
        <f t="shared" si="161"/>
        <v>27</v>
      </c>
      <c r="Z2397" s="18">
        <v>46170</v>
      </c>
      <c r="AA2397" s="15"/>
      <c r="AB2397" s="15"/>
      <c r="AF2397" t="str">
        <f t="shared" si="162"/>
        <v>Closed in May</v>
      </c>
    </row>
    <row r="2398" spans="1:32" hidden="1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59"/>
        <v>24</v>
      </c>
      <c r="R2398" s="53" t="str">
        <f t="shared" si="160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73">
        <f t="shared" si="161"/>
        <v>27</v>
      </c>
      <c r="Z2398" s="18">
        <v>46170</v>
      </c>
      <c r="AA2398" s="15"/>
      <c r="AB2398" s="15"/>
      <c r="AF2398" t="str">
        <f t="shared" si="162"/>
        <v>Closed in May</v>
      </c>
    </row>
    <row r="2399" spans="1:32" hidden="1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59"/>
        <v>24</v>
      </c>
      <c r="R2399" s="53" t="str">
        <f t="shared" si="160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73">
        <f t="shared" si="161"/>
        <v>27</v>
      </c>
      <c r="Z2399" s="18">
        <v>46170</v>
      </c>
      <c r="AA2399" s="15"/>
      <c r="AB2399" s="15"/>
      <c r="AF2399" t="str">
        <f t="shared" si="162"/>
        <v>Closed in May</v>
      </c>
    </row>
    <row r="2400" spans="1:32" hidden="1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59"/>
        <v>24</v>
      </c>
      <c r="R2400" s="53" t="str">
        <f t="shared" si="160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73">
        <f t="shared" si="161"/>
        <v>27</v>
      </c>
      <c r="Z2400" s="18">
        <v>46170</v>
      </c>
      <c r="AA2400" s="15"/>
      <c r="AB2400" s="15"/>
      <c r="AF2400" t="str">
        <f t="shared" si="162"/>
        <v>Closed in May</v>
      </c>
    </row>
    <row r="2401" spans="1:32" hidden="1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59"/>
        <v>24</v>
      </c>
      <c r="R2401" s="53" t="str">
        <f t="shared" si="160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73">
        <f t="shared" si="161"/>
        <v>27</v>
      </c>
      <c r="Z2401" s="18">
        <v>46170</v>
      </c>
      <c r="AA2401" s="15"/>
      <c r="AB2401" s="15"/>
      <c r="AF2401" t="str">
        <f t="shared" si="162"/>
        <v>Closed in May</v>
      </c>
    </row>
    <row r="2402" spans="1:32" hidden="1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59"/>
        <v>24</v>
      </c>
      <c r="R2402" s="53" t="str">
        <f t="shared" si="160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73">
        <f t="shared" si="161"/>
        <v>27</v>
      </c>
      <c r="Z2402" s="18">
        <v>46170</v>
      </c>
      <c r="AA2402" s="15"/>
      <c r="AB2402" s="15"/>
      <c r="AF2402" t="str">
        <f t="shared" si="162"/>
        <v>Closed in May</v>
      </c>
    </row>
    <row r="2403" spans="1:32" hidden="1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59"/>
        <v>24</v>
      </c>
      <c r="R2403" s="53" t="str">
        <f t="shared" si="160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73">
        <f t="shared" si="161"/>
        <v>27</v>
      </c>
      <c r="Z2403" s="18">
        <v>46170</v>
      </c>
      <c r="AA2403" s="15"/>
      <c r="AB2403" s="15"/>
      <c r="AF2403" t="str">
        <f t="shared" si="162"/>
        <v>Closed in May</v>
      </c>
    </row>
    <row r="2404" spans="1:32" hidden="1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59"/>
        <v>24</v>
      </c>
      <c r="R2404" s="53" t="str">
        <f t="shared" si="160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73">
        <f t="shared" si="161"/>
        <v>27</v>
      </c>
      <c r="Z2404" s="18">
        <v>46170</v>
      </c>
      <c r="AA2404" s="15"/>
      <c r="AB2404" s="15"/>
      <c r="AF2404" t="str">
        <f t="shared" si="162"/>
        <v>Closed in May</v>
      </c>
    </row>
    <row r="2405" spans="1:32" hidden="1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59"/>
        <v>24</v>
      </c>
      <c r="R2405" s="53" t="str">
        <f t="shared" si="160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73">
        <f t="shared" si="161"/>
        <v>27</v>
      </c>
      <c r="Z2405" s="18">
        <v>46170</v>
      </c>
      <c r="AA2405" s="15"/>
      <c r="AB2405" s="15"/>
      <c r="AF2405" t="str">
        <f t="shared" si="162"/>
        <v>Closed in May</v>
      </c>
    </row>
    <row r="2406" spans="1:32" hidden="1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59"/>
        <v>24</v>
      </c>
      <c r="R2406" s="53" t="str">
        <f t="shared" si="160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73">
        <f t="shared" si="161"/>
        <v>27</v>
      </c>
      <c r="Z2406" s="18">
        <v>46170</v>
      </c>
      <c r="AA2406" s="15"/>
      <c r="AB2406" s="15"/>
      <c r="AF2406" t="str">
        <f t="shared" si="162"/>
        <v>Closed in May</v>
      </c>
    </row>
    <row r="2407" spans="1:32" hidden="1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63">MID(P2407,5,2)</f>
        <v>25</v>
      </c>
      <c r="R2407" s="53" t="str">
        <f t="shared" ref="R2407:R2470" si="164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73">
        <f t="shared" si="161"/>
        <v>11</v>
      </c>
      <c r="Z2407" s="18">
        <v>46171</v>
      </c>
      <c r="AA2407" s="15"/>
      <c r="AB2407" s="15"/>
      <c r="AF2407" t="str">
        <f t="shared" si="162"/>
        <v>Closed in May</v>
      </c>
    </row>
    <row r="2408" spans="1:32" hidden="1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63"/>
        <v>25</v>
      </c>
      <c r="R2408" s="53" t="str">
        <f t="shared" si="164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73">
        <f t="shared" si="161"/>
        <v>11</v>
      </c>
      <c r="Z2408" s="18">
        <v>46171</v>
      </c>
      <c r="AA2408" s="15"/>
      <c r="AB2408" s="15"/>
      <c r="AF2408" t="str">
        <f t="shared" si="162"/>
        <v>Closed in May</v>
      </c>
    </row>
    <row r="2409" spans="1:32" hidden="1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63"/>
        <v>25</v>
      </c>
      <c r="R2409" s="53" t="str">
        <f t="shared" si="164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73">
        <f t="shared" si="161"/>
        <v>3</v>
      </c>
      <c r="Z2409" s="18">
        <v>46171</v>
      </c>
      <c r="AA2409" s="15"/>
      <c r="AB2409" s="15"/>
      <c r="AF2409" t="str">
        <f t="shared" si="162"/>
        <v>Closed in May</v>
      </c>
    </row>
    <row r="2410" spans="1:32" hidden="1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63"/>
        <v>25</v>
      </c>
      <c r="R2410" s="53" t="str">
        <f t="shared" si="164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73">
        <f t="shared" si="161"/>
        <v>3</v>
      </c>
      <c r="Z2410" s="18">
        <v>46171</v>
      </c>
      <c r="AA2410" s="15"/>
      <c r="AB2410" s="15"/>
      <c r="AF2410" t="str">
        <f t="shared" si="162"/>
        <v>Closed in May</v>
      </c>
    </row>
    <row r="2411" spans="1:32" hidden="1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63"/>
        <v>25</v>
      </c>
      <c r="R2411" s="53" t="str">
        <f t="shared" si="164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73">
        <f t="shared" si="161"/>
        <v>3</v>
      </c>
      <c r="Z2411" s="18">
        <v>46171</v>
      </c>
      <c r="AA2411" s="15"/>
      <c r="AB2411" s="15"/>
      <c r="AF2411" t="str">
        <f t="shared" si="162"/>
        <v>Closed in May</v>
      </c>
    </row>
    <row r="2412" spans="1:32" hidden="1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63"/>
        <v>25</v>
      </c>
      <c r="R2412" s="53" t="str">
        <f t="shared" si="164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73">
        <f t="shared" si="161"/>
        <v>3</v>
      </c>
      <c r="Z2412" s="18">
        <v>46171</v>
      </c>
      <c r="AA2412" s="15"/>
      <c r="AB2412" s="15"/>
      <c r="AF2412" t="str">
        <f t="shared" si="162"/>
        <v>Closed in May</v>
      </c>
    </row>
    <row r="2413" spans="1:32" hidden="1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63"/>
        <v>25</v>
      </c>
      <c r="R2413" s="53" t="str">
        <f t="shared" si="164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73">
        <f t="shared" si="161"/>
        <v>3</v>
      </c>
      <c r="Z2413" s="18">
        <v>46171</v>
      </c>
      <c r="AA2413" s="15"/>
      <c r="AB2413" s="15"/>
      <c r="AF2413" t="str">
        <f t="shared" si="162"/>
        <v>Closed in May</v>
      </c>
    </row>
    <row r="2414" spans="1:32" hidden="1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63"/>
        <v>23</v>
      </c>
      <c r="R2414" s="53" t="str">
        <f t="shared" si="164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73">
        <f t="shared" si="161"/>
        <v>23</v>
      </c>
      <c r="Z2414" s="18">
        <v>46171</v>
      </c>
      <c r="AA2414" s="15"/>
      <c r="AB2414" s="15"/>
      <c r="AF2414" t="str">
        <f t="shared" si="162"/>
        <v>Closed in May</v>
      </c>
    </row>
    <row r="2415" spans="1:32" hidden="1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63"/>
        <v>23</v>
      </c>
      <c r="R2415" s="53" t="str">
        <f t="shared" si="164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73">
        <f t="shared" si="161"/>
        <v>23</v>
      </c>
      <c r="Z2415" s="18">
        <v>46171</v>
      </c>
      <c r="AA2415" s="15"/>
      <c r="AB2415" s="15"/>
      <c r="AF2415" t="str">
        <f t="shared" si="162"/>
        <v>Closed in May</v>
      </c>
    </row>
    <row r="2416" spans="1:32" hidden="1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63"/>
        <v>23</v>
      </c>
      <c r="R2416" s="53" t="str">
        <f t="shared" si="164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73">
        <f t="shared" si="161"/>
        <v>23</v>
      </c>
      <c r="Z2416" s="18">
        <v>46171</v>
      </c>
      <c r="AA2416" s="15"/>
      <c r="AB2416" s="15"/>
      <c r="AF2416" t="str">
        <f t="shared" si="162"/>
        <v>Closed in May</v>
      </c>
    </row>
    <row r="2417" spans="1:32" hidden="1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63"/>
        <v>23</v>
      </c>
      <c r="R2417" s="53" t="str">
        <f t="shared" si="164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73">
        <f t="shared" si="161"/>
        <v>23</v>
      </c>
      <c r="Z2417" s="18">
        <v>46171</v>
      </c>
      <c r="AA2417" s="15"/>
      <c r="AB2417" s="15"/>
      <c r="AF2417" t="str">
        <f t="shared" si="162"/>
        <v>Closed in May</v>
      </c>
    </row>
    <row r="2418" spans="1:32" hidden="1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63"/>
        <v>23</v>
      </c>
      <c r="R2418" s="53" t="str">
        <f t="shared" si="164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73">
        <f t="shared" si="161"/>
        <v>23</v>
      </c>
      <c r="Z2418" s="18">
        <v>46171</v>
      </c>
      <c r="AA2418" s="15"/>
      <c r="AB2418" s="15"/>
      <c r="AF2418" t="str">
        <f t="shared" si="162"/>
        <v>Closed in May</v>
      </c>
    </row>
    <row r="2419" spans="1:32" hidden="1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63"/>
        <v>23</v>
      </c>
      <c r="R2419" s="53" t="str">
        <f t="shared" si="164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73">
        <f t="shared" si="161"/>
        <v>23</v>
      </c>
      <c r="Z2419" s="18">
        <v>46171</v>
      </c>
      <c r="AA2419" s="15"/>
      <c r="AB2419" s="15"/>
      <c r="AF2419" t="str">
        <f t="shared" si="162"/>
        <v>Closed in May</v>
      </c>
    </row>
    <row r="2420" spans="1:32" hidden="1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63"/>
        <v>23</v>
      </c>
      <c r="R2420" s="53" t="str">
        <f t="shared" si="164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73">
        <f t="shared" si="161"/>
        <v>23</v>
      </c>
      <c r="Z2420" s="18">
        <v>46171</v>
      </c>
      <c r="AA2420" s="15"/>
      <c r="AB2420" s="15"/>
      <c r="AF2420" t="str">
        <f t="shared" si="162"/>
        <v>Closed in May</v>
      </c>
    </row>
    <row r="2421" spans="1:32" hidden="1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63"/>
        <v>23</v>
      </c>
      <c r="R2421" s="53" t="str">
        <f t="shared" si="164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73">
        <f t="shared" si="161"/>
        <v>23</v>
      </c>
      <c r="Z2421" s="18">
        <v>46171</v>
      </c>
      <c r="AA2421" s="15"/>
      <c r="AB2421" s="15"/>
      <c r="AF2421" t="str">
        <f t="shared" si="162"/>
        <v>Closed in May</v>
      </c>
    </row>
    <row r="2422" spans="1:32" hidden="1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63"/>
        <v>23</v>
      </c>
      <c r="R2422" s="53" t="str">
        <f t="shared" si="164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73">
        <f t="shared" si="161"/>
        <v>23</v>
      </c>
      <c r="Z2422" s="18">
        <v>46171</v>
      </c>
      <c r="AA2422" s="15"/>
      <c r="AB2422" s="15"/>
      <c r="AF2422" t="str">
        <f t="shared" si="162"/>
        <v>Closed in May</v>
      </c>
    </row>
    <row r="2423" spans="1:32" hidden="1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63"/>
        <v>23</v>
      </c>
      <c r="R2423" s="53" t="str">
        <f t="shared" si="164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73">
        <f t="shared" si="161"/>
        <v>23</v>
      </c>
      <c r="Z2423" s="18">
        <v>46171</v>
      </c>
      <c r="AA2423" s="15"/>
      <c r="AB2423" s="15"/>
      <c r="AF2423" t="str">
        <f t="shared" si="162"/>
        <v>Closed in May</v>
      </c>
    </row>
    <row r="2424" spans="1:32" hidden="1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63"/>
        <v>23</v>
      </c>
      <c r="R2424" s="53" t="str">
        <f t="shared" si="164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73">
        <f t="shared" si="161"/>
        <v>23</v>
      </c>
      <c r="Z2424" s="18">
        <v>46171</v>
      </c>
      <c r="AA2424" s="15"/>
      <c r="AB2424" s="15"/>
      <c r="AF2424" t="str">
        <f t="shared" si="162"/>
        <v>Closed in May</v>
      </c>
    </row>
    <row r="2425" spans="1:32" hidden="1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63"/>
        <v>23</v>
      </c>
      <c r="R2425" s="53" t="str">
        <f t="shared" si="164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73">
        <f t="shared" si="161"/>
        <v>23</v>
      </c>
      <c r="Z2425" s="18">
        <v>46171</v>
      </c>
      <c r="AA2425" s="15"/>
      <c r="AB2425" s="15"/>
      <c r="AF2425" t="str">
        <f t="shared" si="162"/>
        <v>Closed in May</v>
      </c>
    </row>
    <row r="2426" spans="1:32" hidden="1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63"/>
        <v>24</v>
      </c>
      <c r="R2426" s="53" t="str">
        <f t="shared" si="164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73">
        <f t="shared" si="161"/>
        <v>28</v>
      </c>
      <c r="Z2426" s="18">
        <v>46171</v>
      </c>
      <c r="AA2426" s="15"/>
      <c r="AB2426" s="15"/>
      <c r="AF2426" t="str">
        <f t="shared" si="162"/>
        <v>Closed in May</v>
      </c>
    </row>
    <row r="2427" spans="1:32" hidden="1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63"/>
        <v>24</v>
      </c>
      <c r="R2427" s="53" t="str">
        <f t="shared" si="164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73">
        <f t="shared" si="161"/>
        <v>28</v>
      </c>
      <c r="Z2427" s="18">
        <v>46171</v>
      </c>
      <c r="AA2427" s="15"/>
      <c r="AB2427" s="15"/>
      <c r="AF2427" t="str">
        <f t="shared" si="162"/>
        <v>Closed in May</v>
      </c>
    </row>
    <row r="2428" spans="1:32" hidden="1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63"/>
        <v>24</v>
      </c>
      <c r="R2428" s="53" t="str">
        <f t="shared" si="164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73">
        <f t="shared" si="161"/>
        <v>28</v>
      </c>
      <c r="Z2428" s="18">
        <v>46171</v>
      </c>
      <c r="AA2428" s="15"/>
      <c r="AB2428" s="15"/>
      <c r="AF2428" t="str">
        <f t="shared" si="162"/>
        <v>Closed in May</v>
      </c>
    </row>
    <row r="2429" spans="1:32" hidden="1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63"/>
        <v>24</v>
      </c>
      <c r="R2429" s="53" t="str">
        <f t="shared" si="164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73">
        <f t="shared" si="161"/>
        <v>28</v>
      </c>
      <c r="Z2429" s="18">
        <v>46171</v>
      </c>
      <c r="AA2429" s="15"/>
      <c r="AB2429" s="15"/>
      <c r="AF2429" t="str">
        <f t="shared" si="162"/>
        <v>Closed in May</v>
      </c>
    </row>
    <row r="2430" spans="1:32" hidden="1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63"/>
        <v>24</v>
      </c>
      <c r="R2430" s="53" t="str">
        <f t="shared" si="164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73">
        <f t="shared" si="161"/>
        <v>28</v>
      </c>
      <c r="Z2430" s="18">
        <v>46171</v>
      </c>
      <c r="AA2430" s="15"/>
      <c r="AB2430" s="15"/>
      <c r="AF2430" t="str">
        <f t="shared" si="162"/>
        <v>Closed in May</v>
      </c>
    </row>
    <row r="2431" spans="1:32" hidden="1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63"/>
        <v>24</v>
      </c>
      <c r="R2431" s="53" t="str">
        <f t="shared" si="164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73">
        <f t="shared" si="161"/>
        <v>28</v>
      </c>
      <c r="Z2431" s="18">
        <v>46171</v>
      </c>
      <c r="AA2431" s="15"/>
      <c r="AB2431" s="15"/>
      <c r="AF2431" t="str">
        <f t="shared" si="162"/>
        <v>Closed in May</v>
      </c>
    </row>
    <row r="2432" spans="1:32" hidden="1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63"/>
        <v>24</v>
      </c>
      <c r="R2432" s="53" t="str">
        <f t="shared" si="164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73">
        <f t="shared" si="161"/>
        <v>28</v>
      </c>
      <c r="Z2432" s="18">
        <v>46171</v>
      </c>
      <c r="AA2432" s="15"/>
      <c r="AB2432" s="15"/>
      <c r="AF2432" t="str">
        <f t="shared" si="162"/>
        <v>Closed in May</v>
      </c>
    </row>
    <row r="2433" spans="1:32" hidden="1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63"/>
        <v>24</v>
      </c>
      <c r="R2433" s="53" t="str">
        <f t="shared" si="164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73">
        <f t="shared" si="161"/>
        <v>28</v>
      </c>
      <c r="Z2433" s="18">
        <v>46171</v>
      </c>
      <c r="AA2433" s="15"/>
      <c r="AB2433" s="15"/>
      <c r="AF2433" t="str">
        <f t="shared" si="162"/>
        <v>Closed in May</v>
      </c>
    </row>
    <row r="2434" spans="1:32" hidden="1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63"/>
        <v>24</v>
      </c>
      <c r="R2434" s="53" t="str">
        <f t="shared" si="164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73">
        <f t="shared" ref="Y2434:Y2497" si="165">IF(X2434="","",X2434-A2434)</f>
        <v>28</v>
      </c>
      <c r="Z2434" s="18">
        <v>46171</v>
      </c>
      <c r="AA2434" s="15"/>
      <c r="AB2434" s="15"/>
      <c r="AF2434" t="str">
        <f t="shared" ref="AF2434:AF2497" si="166">IF(AND($F2434="Closed",$X2434&gt;=DATE(2026,5,1),$X2434&lt;=DATE(2026,5,31)),"Closed in May","Other")</f>
        <v>Closed in May</v>
      </c>
    </row>
    <row r="2435" spans="1:32" hidden="1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63"/>
        <v>24</v>
      </c>
      <c r="R2435" s="53" t="str">
        <f t="shared" si="164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73">
        <f t="shared" si="165"/>
        <v>28</v>
      </c>
      <c r="Z2435" s="18">
        <v>46171</v>
      </c>
      <c r="AA2435" s="15"/>
      <c r="AB2435" s="15"/>
      <c r="AF2435" t="str">
        <f t="shared" si="166"/>
        <v>Closed in May</v>
      </c>
    </row>
    <row r="2436" spans="1:32" hidden="1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63"/>
        <v>24</v>
      </c>
      <c r="R2436" s="53" t="str">
        <f t="shared" si="164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73">
        <f t="shared" si="165"/>
        <v>28</v>
      </c>
      <c r="Z2436" s="18">
        <v>46171</v>
      </c>
      <c r="AA2436" s="15"/>
      <c r="AB2436" s="15"/>
      <c r="AF2436" t="str">
        <f t="shared" si="166"/>
        <v>Closed in May</v>
      </c>
    </row>
    <row r="2437" spans="1:32" hidden="1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63"/>
        <v>24</v>
      </c>
      <c r="R2437" s="53" t="str">
        <f t="shared" si="164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73">
        <f t="shared" si="165"/>
        <v>28</v>
      </c>
      <c r="Z2437" s="18">
        <v>46171</v>
      </c>
      <c r="AA2437" s="15"/>
      <c r="AB2437" s="15"/>
      <c r="AF2437" t="str">
        <f t="shared" si="166"/>
        <v>Closed in May</v>
      </c>
    </row>
    <row r="2438" spans="1:32" hidden="1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63"/>
        <v>24</v>
      </c>
      <c r="R2438" s="53" t="str">
        <f t="shared" si="164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73">
        <f t="shared" si="165"/>
        <v>28</v>
      </c>
      <c r="Z2438" s="18">
        <v>46171</v>
      </c>
      <c r="AA2438" s="15"/>
      <c r="AB2438" s="15"/>
      <c r="AF2438" t="str">
        <f t="shared" si="166"/>
        <v>Closed in May</v>
      </c>
    </row>
    <row r="2439" spans="1:32" hidden="1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63"/>
        <v>24</v>
      </c>
      <c r="R2439" s="53" t="str">
        <f t="shared" si="164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73">
        <f t="shared" si="165"/>
        <v>28</v>
      </c>
      <c r="Z2439" s="18">
        <v>46171</v>
      </c>
      <c r="AA2439" s="15"/>
      <c r="AB2439" s="15"/>
      <c r="AF2439" t="str">
        <f t="shared" si="166"/>
        <v>Closed in May</v>
      </c>
    </row>
    <row r="2440" spans="1:32" hidden="1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63"/>
        <v>24</v>
      </c>
      <c r="R2440" s="53" t="str">
        <f t="shared" si="164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73">
        <f t="shared" si="165"/>
        <v>28</v>
      </c>
      <c r="Z2440" s="18">
        <v>46171</v>
      </c>
      <c r="AA2440" s="15"/>
      <c r="AB2440" s="15"/>
      <c r="AF2440" t="str">
        <f t="shared" si="166"/>
        <v>Closed in May</v>
      </c>
    </row>
    <row r="2441" spans="1:32" hidden="1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63"/>
        <v>24</v>
      </c>
      <c r="R2441" s="53" t="str">
        <f t="shared" si="164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73">
        <f t="shared" si="165"/>
        <v>28</v>
      </c>
      <c r="Z2441" s="18">
        <v>46171</v>
      </c>
      <c r="AA2441" s="15"/>
      <c r="AB2441" s="15"/>
      <c r="AF2441" t="str">
        <f t="shared" si="166"/>
        <v>Closed in May</v>
      </c>
    </row>
    <row r="2442" spans="1:32" hidden="1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63"/>
        <v>24</v>
      </c>
      <c r="R2442" s="53" t="str">
        <f t="shared" si="164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73">
        <f t="shared" si="165"/>
        <v>28</v>
      </c>
      <c r="Z2442" s="18">
        <v>46171</v>
      </c>
      <c r="AA2442" s="15"/>
      <c r="AB2442" s="15"/>
      <c r="AF2442" t="str">
        <f t="shared" si="166"/>
        <v>Closed in May</v>
      </c>
    </row>
    <row r="2443" spans="1:32" hidden="1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63"/>
        <v>24</v>
      </c>
      <c r="R2443" s="53" t="str">
        <f t="shared" si="164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73">
        <f t="shared" si="165"/>
        <v>28</v>
      </c>
      <c r="Z2443" s="18">
        <v>46171</v>
      </c>
      <c r="AA2443" s="15"/>
      <c r="AB2443" s="15"/>
      <c r="AF2443" t="str">
        <f t="shared" si="166"/>
        <v>Closed in May</v>
      </c>
    </row>
    <row r="2444" spans="1:32" hidden="1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63"/>
        <v>24</v>
      </c>
      <c r="R2444" s="53" t="str">
        <f t="shared" si="164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73">
        <f t="shared" si="165"/>
        <v>28</v>
      </c>
      <c r="Z2444" s="18">
        <v>46171</v>
      </c>
      <c r="AA2444" s="15"/>
      <c r="AB2444" s="15"/>
      <c r="AF2444" t="str">
        <f t="shared" si="166"/>
        <v>Closed in May</v>
      </c>
    </row>
    <row r="2445" spans="1:32" hidden="1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63"/>
        <v>24</v>
      </c>
      <c r="R2445" s="53" t="str">
        <f t="shared" si="164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73">
        <f t="shared" si="165"/>
        <v>28</v>
      </c>
      <c r="Z2445" s="18">
        <v>46171</v>
      </c>
      <c r="AA2445" s="15"/>
      <c r="AB2445" s="15"/>
      <c r="AF2445" t="str">
        <f t="shared" si="166"/>
        <v>Closed in May</v>
      </c>
    </row>
    <row r="2446" spans="1:32" hidden="1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63"/>
        <v>24</v>
      </c>
      <c r="R2446" s="53" t="str">
        <f t="shared" si="164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73">
        <f t="shared" si="165"/>
        <v>28</v>
      </c>
      <c r="Z2446" s="18">
        <v>46171</v>
      </c>
      <c r="AA2446" s="15"/>
      <c r="AB2446" s="15"/>
      <c r="AF2446" t="str">
        <f t="shared" si="166"/>
        <v>Closed in May</v>
      </c>
    </row>
    <row r="2447" spans="1:32" hidden="1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63"/>
        <v>24</v>
      </c>
      <c r="R2447" s="53" t="str">
        <f t="shared" si="164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73">
        <f t="shared" si="165"/>
        <v>28</v>
      </c>
      <c r="Z2447" s="18">
        <v>46171</v>
      </c>
      <c r="AA2447" s="15"/>
      <c r="AB2447" s="15"/>
      <c r="AF2447" t="str">
        <f t="shared" si="166"/>
        <v>Closed in May</v>
      </c>
    </row>
    <row r="2448" spans="1:32" hidden="1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63"/>
        <v>24</v>
      </c>
      <c r="R2448" s="53" t="str">
        <f t="shared" si="164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73">
        <f t="shared" si="165"/>
        <v>28</v>
      </c>
      <c r="Z2448" s="18">
        <v>46171</v>
      </c>
      <c r="AA2448" s="15"/>
      <c r="AB2448" s="15"/>
      <c r="AF2448" t="str">
        <f t="shared" si="166"/>
        <v>Closed in May</v>
      </c>
    </row>
    <row r="2449" spans="1:32" hidden="1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63"/>
        <v>24</v>
      </c>
      <c r="R2449" s="53" t="str">
        <f t="shared" si="164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73">
        <f t="shared" si="165"/>
        <v>28</v>
      </c>
      <c r="Z2449" s="18">
        <v>46171</v>
      </c>
      <c r="AA2449" s="15"/>
      <c r="AB2449" s="15"/>
      <c r="AF2449" t="str">
        <f t="shared" si="166"/>
        <v>Closed in May</v>
      </c>
    </row>
    <row r="2450" spans="1:32" hidden="1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63"/>
        <v>24</v>
      </c>
      <c r="R2450" s="53" t="str">
        <f t="shared" si="164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73">
        <f t="shared" si="165"/>
        <v>28</v>
      </c>
      <c r="Z2450" s="18">
        <v>46171</v>
      </c>
      <c r="AA2450" s="15"/>
      <c r="AB2450" s="15"/>
      <c r="AF2450" t="str">
        <f t="shared" si="166"/>
        <v>Closed in May</v>
      </c>
    </row>
    <row r="2451" spans="1:32" hidden="1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63"/>
        <v>24</v>
      </c>
      <c r="R2451" s="53" t="str">
        <f t="shared" si="164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73">
        <f t="shared" si="165"/>
        <v>28</v>
      </c>
      <c r="Z2451" s="18">
        <v>46171</v>
      </c>
      <c r="AA2451" s="15"/>
      <c r="AB2451" s="15"/>
      <c r="AF2451" t="str">
        <f t="shared" si="166"/>
        <v>Closed in May</v>
      </c>
    </row>
    <row r="2452" spans="1:32" hidden="1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63"/>
        <v>24</v>
      </c>
      <c r="R2452" s="53" t="str">
        <f t="shared" si="164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73">
        <f t="shared" si="165"/>
        <v>28</v>
      </c>
      <c r="Z2452" s="18">
        <v>46171</v>
      </c>
      <c r="AA2452" s="15"/>
      <c r="AB2452" s="15"/>
      <c r="AF2452" t="str">
        <f t="shared" si="166"/>
        <v>Closed in May</v>
      </c>
    </row>
    <row r="2453" spans="1:32" hidden="1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63"/>
        <v>24</v>
      </c>
      <c r="R2453" s="53" t="str">
        <f t="shared" si="164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73">
        <f t="shared" si="165"/>
        <v>28</v>
      </c>
      <c r="Z2453" s="18">
        <v>46171</v>
      </c>
      <c r="AA2453" s="15"/>
      <c r="AB2453" s="15"/>
      <c r="AF2453" t="str">
        <f t="shared" si="166"/>
        <v>Closed in May</v>
      </c>
    </row>
    <row r="2454" spans="1:32" hidden="1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63"/>
        <v>24</v>
      </c>
      <c r="R2454" s="53" t="str">
        <f t="shared" si="164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73">
        <f t="shared" si="165"/>
        <v>28</v>
      </c>
      <c r="Z2454" s="18">
        <v>46171</v>
      </c>
      <c r="AA2454" s="15"/>
      <c r="AB2454" s="15"/>
      <c r="AF2454" t="str">
        <f t="shared" si="166"/>
        <v>Closed in May</v>
      </c>
    </row>
    <row r="2455" spans="1:32" hidden="1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63"/>
        <v>24</v>
      </c>
      <c r="R2455" s="53" t="str">
        <f t="shared" si="164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73">
        <f t="shared" si="165"/>
        <v>28</v>
      </c>
      <c r="Z2455" s="18">
        <v>46171</v>
      </c>
      <c r="AA2455" s="15"/>
      <c r="AB2455" s="15"/>
      <c r="AF2455" t="str">
        <f t="shared" si="166"/>
        <v>Closed in May</v>
      </c>
    </row>
    <row r="2456" spans="1:32" hidden="1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63"/>
        <v>24</v>
      </c>
      <c r="R2456" s="53" t="str">
        <f t="shared" si="164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73">
        <f t="shared" si="165"/>
        <v>28</v>
      </c>
      <c r="Z2456" s="18">
        <v>46171</v>
      </c>
      <c r="AA2456" s="15"/>
      <c r="AB2456" s="15"/>
      <c r="AF2456" t="str">
        <f t="shared" si="166"/>
        <v>Closed in May</v>
      </c>
    </row>
    <row r="2457" spans="1:32" hidden="1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63"/>
        <v>24</v>
      </c>
      <c r="R2457" s="53" t="str">
        <f t="shared" si="164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73">
        <f t="shared" si="165"/>
        <v>28</v>
      </c>
      <c r="Z2457" s="18">
        <v>46171</v>
      </c>
      <c r="AA2457" s="15"/>
      <c r="AB2457" s="15"/>
      <c r="AF2457" t="str">
        <f t="shared" si="166"/>
        <v>Closed in May</v>
      </c>
    </row>
    <row r="2458" spans="1:32" hidden="1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63"/>
        <v>24</v>
      </c>
      <c r="R2458" s="53" t="str">
        <f t="shared" si="164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73">
        <f t="shared" si="165"/>
        <v>28</v>
      </c>
      <c r="Z2458" s="18">
        <v>46171</v>
      </c>
      <c r="AA2458" s="15"/>
      <c r="AB2458" s="15"/>
      <c r="AF2458" t="str">
        <f t="shared" si="166"/>
        <v>Closed in May</v>
      </c>
    </row>
    <row r="2459" spans="1:32" hidden="1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63"/>
        <v>24</v>
      </c>
      <c r="R2459" s="53" t="str">
        <f t="shared" si="164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73">
        <f t="shared" si="165"/>
        <v>28</v>
      </c>
      <c r="Z2459" s="18">
        <v>46171</v>
      </c>
      <c r="AA2459" s="15"/>
      <c r="AB2459" s="15"/>
      <c r="AF2459" t="str">
        <f t="shared" si="166"/>
        <v>Closed in May</v>
      </c>
    </row>
    <row r="2460" spans="1:32" hidden="1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63"/>
        <v>24</v>
      </c>
      <c r="R2460" s="53" t="str">
        <f t="shared" si="164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73">
        <f t="shared" si="165"/>
        <v>28</v>
      </c>
      <c r="Z2460" s="18">
        <v>46171</v>
      </c>
      <c r="AA2460" s="15"/>
      <c r="AB2460" s="15"/>
      <c r="AF2460" t="str">
        <f t="shared" si="166"/>
        <v>Closed in May</v>
      </c>
    </row>
    <row r="2461" spans="1:32" hidden="1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63"/>
        <v>24</v>
      </c>
      <c r="R2461" s="53" t="str">
        <f t="shared" si="164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73">
        <f t="shared" si="165"/>
        <v>28</v>
      </c>
      <c r="Z2461" s="18">
        <v>46171</v>
      </c>
      <c r="AA2461" s="15"/>
      <c r="AB2461" s="15"/>
      <c r="AF2461" t="str">
        <f t="shared" si="166"/>
        <v>Closed in May</v>
      </c>
    </row>
    <row r="2462" spans="1:32" hidden="1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63"/>
        <v>24</v>
      </c>
      <c r="R2462" s="53" t="str">
        <f t="shared" si="164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73">
        <f t="shared" si="165"/>
        <v>28</v>
      </c>
      <c r="Z2462" s="18">
        <v>46171</v>
      </c>
      <c r="AA2462" s="15"/>
      <c r="AB2462" s="15"/>
      <c r="AF2462" t="str">
        <f t="shared" si="166"/>
        <v>Closed in May</v>
      </c>
    </row>
    <row r="2463" spans="1:32" hidden="1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63"/>
        <v>24</v>
      </c>
      <c r="R2463" s="53" t="str">
        <f t="shared" si="164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73">
        <f t="shared" si="165"/>
        <v>28</v>
      </c>
      <c r="Z2463" s="18">
        <v>46171</v>
      </c>
      <c r="AA2463" s="15"/>
      <c r="AB2463" s="15"/>
      <c r="AF2463" t="str">
        <f t="shared" si="166"/>
        <v>Closed in May</v>
      </c>
    </row>
    <row r="2464" spans="1:32" hidden="1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63"/>
        <v>24</v>
      </c>
      <c r="R2464" s="53" t="str">
        <f t="shared" si="164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73">
        <f t="shared" si="165"/>
        <v>28</v>
      </c>
      <c r="Z2464" s="18">
        <v>46171</v>
      </c>
      <c r="AA2464" s="15"/>
      <c r="AB2464" s="15"/>
      <c r="AF2464" t="str">
        <f t="shared" si="166"/>
        <v>Closed in May</v>
      </c>
    </row>
    <row r="2465" spans="1:32" hidden="1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63"/>
        <v>24</v>
      </c>
      <c r="R2465" s="53" t="str">
        <f t="shared" si="164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73">
        <f t="shared" si="165"/>
        <v>28</v>
      </c>
      <c r="Z2465" s="18">
        <v>46171</v>
      </c>
      <c r="AA2465" s="15"/>
      <c r="AB2465" s="15"/>
      <c r="AF2465" t="str">
        <f t="shared" si="166"/>
        <v>Closed in May</v>
      </c>
    </row>
    <row r="2466" spans="1:32" hidden="1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63"/>
        <v>24</v>
      </c>
      <c r="R2466" s="53" t="str">
        <f t="shared" si="164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73">
        <f t="shared" si="165"/>
        <v>28</v>
      </c>
      <c r="Z2466" s="18">
        <v>46171</v>
      </c>
      <c r="AA2466" s="15"/>
      <c r="AB2466" s="15"/>
      <c r="AF2466" t="str">
        <f t="shared" si="166"/>
        <v>Closed in May</v>
      </c>
    </row>
    <row r="2467" spans="1:32" hidden="1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63"/>
        <v>24</v>
      </c>
      <c r="R2467" s="53" t="str">
        <f t="shared" si="164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73">
        <f t="shared" si="165"/>
        <v>28</v>
      </c>
      <c r="Z2467" s="18">
        <v>46171</v>
      </c>
      <c r="AA2467" s="15"/>
      <c r="AB2467" s="15"/>
      <c r="AF2467" t="str">
        <f t="shared" si="166"/>
        <v>Closed in May</v>
      </c>
    </row>
    <row r="2468" spans="1:32" hidden="1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63"/>
        <v>24</v>
      </c>
      <c r="R2468" s="53" t="str">
        <f t="shared" si="164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73">
        <f t="shared" si="165"/>
        <v>28</v>
      </c>
      <c r="Z2468" s="18">
        <v>46171</v>
      </c>
      <c r="AA2468" s="15"/>
      <c r="AB2468" s="15"/>
      <c r="AF2468" t="str">
        <f t="shared" si="166"/>
        <v>Closed in May</v>
      </c>
    </row>
    <row r="2469" spans="1:32" hidden="1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63"/>
        <v>24</v>
      </c>
      <c r="R2469" s="53" t="str">
        <f t="shared" si="164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73">
        <f t="shared" si="165"/>
        <v>28</v>
      </c>
      <c r="Z2469" s="18">
        <v>46171</v>
      </c>
      <c r="AA2469" s="15"/>
      <c r="AB2469" s="15"/>
      <c r="AF2469" t="str">
        <f t="shared" si="166"/>
        <v>Closed in May</v>
      </c>
    </row>
    <row r="2470" spans="1:32" hidden="1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63"/>
        <v>24</v>
      </c>
      <c r="R2470" s="53" t="str">
        <f t="shared" si="164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73">
        <f t="shared" si="165"/>
        <v>28</v>
      </c>
      <c r="Z2470" s="18">
        <v>46171</v>
      </c>
      <c r="AA2470" s="15"/>
      <c r="AB2470" s="15"/>
      <c r="AF2470" t="str">
        <f t="shared" si="166"/>
        <v>Closed in May</v>
      </c>
    </row>
    <row r="2471" spans="1:32" hidden="1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67">MID(P2471,5,2)</f>
        <v>24</v>
      </c>
      <c r="R2471" s="53" t="str">
        <f t="shared" ref="R2471:R2534" si="168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73">
        <f t="shared" si="165"/>
        <v>28</v>
      </c>
      <c r="Z2471" s="18">
        <v>46171</v>
      </c>
      <c r="AA2471" s="15"/>
      <c r="AB2471" s="15"/>
      <c r="AF2471" t="str">
        <f t="shared" si="166"/>
        <v>Closed in May</v>
      </c>
    </row>
    <row r="2472" spans="1:32" hidden="1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67"/>
        <v>24</v>
      </c>
      <c r="R2472" s="53" t="str">
        <f t="shared" si="168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73">
        <f t="shared" si="165"/>
        <v>28</v>
      </c>
      <c r="Z2472" s="18">
        <v>46171</v>
      </c>
      <c r="AA2472" s="15"/>
      <c r="AB2472" s="15"/>
      <c r="AF2472" t="str">
        <f t="shared" si="166"/>
        <v>Closed in May</v>
      </c>
    </row>
    <row r="2473" spans="1:32" hidden="1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67"/>
        <v>24</v>
      </c>
      <c r="R2473" s="53" t="str">
        <f t="shared" si="168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73">
        <f t="shared" si="165"/>
        <v>28</v>
      </c>
      <c r="Z2473" s="18">
        <v>46171</v>
      </c>
      <c r="AA2473" s="15"/>
      <c r="AB2473" s="15"/>
      <c r="AF2473" t="str">
        <f t="shared" si="166"/>
        <v>Closed in May</v>
      </c>
    </row>
    <row r="2474" spans="1:32" hidden="1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67"/>
        <v>24</v>
      </c>
      <c r="R2474" s="53" t="str">
        <f t="shared" si="168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73">
        <f t="shared" si="165"/>
        <v>28</v>
      </c>
      <c r="Z2474" s="18">
        <v>46171</v>
      </c>
      <c r="AA2474" s="15"/>
      <c r="AB2474" s="15"/>
      <c r="AF2474" t="str">
        <f t="shared" si="166"/>
        <v>Closed in May</v>
      </c>
    </row>
    <row r="2475" spans="1:32" hidden="1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67"/>
        <v>24</v>
      </c>
      <c r="R2475" s="53" t="str">
        <f t="shared" si="168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73">
        <f t="shared" si="165"/>
        <v>28</v>
      </c>
      <c r="Z2475" s="18">
        <v>46171</v>
      </c>
      <c r="AA2475" s="15"/>
      <c r="AB2475" s="15"/>
      <c r="AF2475" t="str">
        <f t="shared" si="166"/>
        <v>Closed in May</v>
      </c>
    </row>
    <row r="2476" spans="1:32" hidden="1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67"/>
        <v>24</v>
      </c>
      <c r="R2476" s="53" t="str">
        <f t="shared" si="168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73">
        <f t="shared" si="165"/>
        <v>28</v>
      </c>
      <c r="Z2476" s="18">
        <v>46171</v>
      </c>
      <c r="AA2476" s="15"/>
      <c r="AB2476" s="15"/>
      <c r="AF2476" t="str">
        <f t="shared" si="166"/>
        <v>Closed in May</v>
      </c>
    </row>
    <row r="2477" spans="1:32" hidden="1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67"/>
        <v>24</v>
      </c>
      <c r="R2477" s="53" t="str">
        <f t="shared" si="168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73">
        <f t="shared" si="165"/>
        <v>28</v>
      </c>
      <c r="Z2477" s="18">
        <v>46171</v>
      </c>
      <c r="AA2477" s="15"/>
      <c r="AB2477" s="15"/>
      <c r="AF2477" t="str">
        <f t="shared" si="166"/>
        <v>Closed in May</v>
      </c>
    </row>
    <row r="2478" spans="1:32" hidden="1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67"/>
        <v>24</v>
      </c>
      <c r="R2478" s="53" t="str">
        <f t="shared" si="168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73">
        <f t="shared" si="165"/>
        <v>28</v>
      </c>
      <c r="Z2478" s="18">
        <v>46171</v>
      </c>
      <c r="AA2478" s="15"/>
      <c r="AB2478" s="15"/>
      <c r="AF2478" t="str">
        <f t="shared" si="166"/>
        <v>Closed in May</v>
      </c>
    </row>
    <row r="2479" spans="1:32" hidden="1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67"/>
        <v>24</v>
      </c>
      <c r="R2479" s="53" t="str">
        <f t="shared" si="168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73">
        <f t="shared" si="165"/>
        <v>28</v>
      </c>
      <c r="Z2479" s="18">
        <v>46171</v>
      </c>
      <c r="AA2479" s="15"/>
      <c r="AB2479" s="15"/>
      <c r="AF2479" t="str">
        <f t="shared" si="166"/>
        <v>Closed in May</v>
      </c>
    </row>
    <row r="2480" spans="1:32" hidden="1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67"/>
        <v>24</v>
      </c>
      <c r="R2480" s="53" t="str">
        <f t="shared" si="168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73">
        <f t="shared" si="165"/>
        <v>28</v>
      </c>
      <c r="Z2480" s="18">
        <v>46171</v>
      </c>
      <c r="AA2480" s="15"/>
      <c r="AB2480" s="15"/>
      <c r="AF2480" t="str">
        <f t="shared" si="166"/>
        <v>Closed in May</v>
      </c>
    </row>
    <row r="2481" spans="1:32" hidden="1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67"/>
        <v>24</v>
      </c>
      <c r="R2481" s="53" t="str">
        <f t="shared" si="168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73">
        <f t="shared" si="165"/>
        <v>28</v>
      </c>
      <c r="Z2481" s="18">
        <v>46171</v>
      </c>
      <c r="AA2481" s="15"/>
      <c r="AB2481" s="15"/>
      <c r="AF2481" t="str">
        <f t="shared" si="166"/>
        <v>Closed in May</v>
      </c>
    </row>
    <row r="2482" spans="1:32" hidden="1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67"/>
        <v>24</v>
      </c>
      <c r="R2482" s="53" t="str">
        <f t="shared" si="168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73">
        <f t="shared" si="165"/>
        <v>28</v>
      </c>
      <c r="Z2482" s="18">
        <v>46171</v>
      </c>
      <c r="AA2482" s="15"/>
      <c r="AB2482" s="15"/>
      <c r="AF2482" t="str">
        <f t="shared" si="166"/>
        <v>Closed in May</v>
      </c>
    </row>
    <row r="2483" spans="1:32" hidden="1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67"/>
        <v>24</v>
      </c>
      <c r="R2483" s="53" t="str">
        <f t="shared" si="168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73">
        <f t="shared" si="165"/>
        <v>28</v>
      </c>
      <c r="Z2483" s="18">
        <v>46171</v>
      </c>
      <c r="AA2483" s="15"/>
      <c r="AB2483" s="15"/>
      <c r="AF2483" t="str">
        <f t="shared" si="166"/>
        <v>Closed in May</v>
      </c>
    </row>
    <row r="2484" spans="1:32" hidden="1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67"/>
        <v>24</v>
      </c>
      <c r="R2484" s="53" t="str">
        <f t="shared" si="168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73">
        <f t="shared" si="165"/>
        <v>28</v>
      </c>
      <c r="Z2484" s="18">
        <v>46171</v>
      </c>
      <c r="AA2484" s="15"/>
      <c r="AB2484" s="15"/>
      <c r="AF2484" t="str">
        <f t="shared" si="166"/>
        <v>Closed in May</v>
      </c>
    </row>
    <row r="2485" spans="1:32" hidden="1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67"/>
        <v>24</v>
      </c>
      <c r="R2485" s="53" t="str">
        <f t="shared" si="168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73">
        <f t="shared" si="165"/>
        <v>28</v>
      </c>
      <c r="Z2485" s="18">
        <v>46171</v>
      </c>
      <c r="AA2485" s="15"/>
      <c r="AB2485" s="15"/>
      <c r="AF2485" t="str">
        <f t="shared" si="166"/>
        <v>Closed in May</v>
      </c>
    </row>
    <row r="2486" spans="1:32" hidden="1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67"/>
        <v>24</v>
      </c>
      <c r="R2486" s="53" t="str">
        <f t="shared" si="168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73">
        <f t="shared" si="165"/>
        <v>28</v>
      </c>
      <c r="Z2486" s="18">
        <v>46171</v>
      </c>
      <c r="AA2486" s="15"/>
      <c r="AB2486" s="15"/>
      <c r="AF2486" t="str">
        <f t="shared" si="166"/>
        <v>Closed in May</v>
      </c>
    </row>
    <row r="2487" spans="1:32" hidden="1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67"/>
        <v>24</v>
      </c>
      <c r="R2487" s="53" t="str">
        <f t="shared" si="168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73">
        <f t="shared" si="165"/>
        <v>28</v>
      </c>
      <c r="Z2487" s="18">
        <v>46171</v>
      </c>
      <c r="AA2487" s="15"/>
      <c r="AB2487" s="15"/>
      <c r="AF2487" t="str">
        <f t="shared" si="166"/>
        <v>Closed in May</v>
      </c>
    </row>
    <row r="2488" spans="1:32" hidden="1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67"/>
        <v>24</v>
      </c>
      <c r="R2488" s="53" t="str">
        <f t="shared" si="168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73">
        <f t="shared" si="165"/>
        <v>28</v>
      </c>
      <c r="Z2488" s="18">
        <v>46171</v>
      </c>
      <c r="AA2488" s="15"/>
      <c r="AB2488" s="15"/>
      <c r="AF2488" t="str">
        <f t="shared" si="166"/>
        <v>Closed in May</v>
      </c>
    </row>
    <row r="2489" spans="1:32" hidden="1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67"/>
        <v>24</v>
      </c>
      <c r="R2489" s="53" t="str">
        <f t="shared" si="168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73">
        <f t="shared" si="165"/>
        <v>28</v>
      </c>
      <c r="Z2489" s="18">
        <v>46171</v>
      </c>
      <c r="AA2489" s="15"/>
      <c r="AB2489" s="15"/>
      <c r="AF2489" t="str">
        <f t="shared" si="166"/>
        <v>Closed in May</v>
      </c>
    </row>
    <row r="2490" spans="1:32" hidden="1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67"/>
        <v>24</v>
      </c>
      <c r="R2490" s="53" t="str">
        <f t="shared" si="168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73">
        <f t="shared" si="165"/>
        <v>28</v>
      </c>
      <c r="Z2490" s="18">
        <v>46171</v>
      </c>
      <c r="AA2490" s="15"/>
      <c r="AB2490" s="15"/>
      <c r="AF2490" t="str">
        <f t="shared" si="166"/>
        <v>Closed in May</v>
      </c>
    </row>
    <row r="2491" spans="1:32" hidden="1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67"/>
        <v>23</v>
      </c>
      <c r="R2491" s="53" t="str">
        <f t="shared" si="168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73">
        <f t="shared" si="165"/>
        <v>24</v>
      </c>
      <c r="Z2491" s="18">
        <v>46172</v>
      </c>
      <c r="AA2491" s="15"/>
      <c r="AB2491" s="15"/>
      <c r="AF2491" t="str">
        <f t="shared" si="166"/>
        <v>Closed in May</v>
      </c>
    </row>
    <row r="2492" spans="1:32" hidden="1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67"/>
        <v>23</v>
      </c>
      <c r="R2492" s="53" t="str">
        <f t="shared" si="168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73">
        <f t="shared" si="165"/>
        <v>24</v>
      </c>
      <c r="Z2492" s="18">
        <v>46172</v>
      </c>
      <c r="AA2492" s="15"/>
      <c r="AB2492" s="15"/>
      <c r="AF2492" t="str">
        <f t="shared" si="166"/>
        <v>Closed in May</v>
      </c>
    </row>
    <row r="2493" spans="1:32" hidden="1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67"/>
        <v>23</v>
      </c>
      <c r="R2493" s="53" t="str">
        <f t="shared" si="168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73">
        <f t="shared" si="165"/>
        <v>24</v>
      </c>
      <c r="Z2493" s="18">
        <v>46172</v>
      </c>
      <c r="AA2493" s="15"/>
      <c r="AB2493" s="15"/>
      <c r="AF2493" t="str">
        <f t="shared" si="166"/>
        <v>Closed in May</v>
      </c>
    </row>
    <row r="2494" spans="1:32" hidden="1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67"/>
        <v>23</v>
      </c>
      <c r="R2494" s="53" t="str">
        <f t="shared" si="168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73">
        <f t="shared" si="165"/>
        <v>24</v>
      </c>
      <c r="Z2494" s="18">
        <v>46172</v>
      </c>
      <c r="AA2494" s="15"/>
      <c r="AB2494" s="15"/>
      <c r="AF2494" t="str">
        <f t="shared" si="166"/>
        <v>Closed in May</v>
      </c>
    </row>
    <row r="2495" spans="1:32" hidden="1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67"/>
        <v>23</v>
      </c>
      <c r="R2495" s="53" t="str">
        <f t="shared" si="168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73">
        <f t="shared" si="165"/>
        <v>24</v>
      </c>
      <c r="Z2495" s="18">
        <v>46172</v>
      </c>
      <c r="AA2495" s="15"/>
      <c r="AB2495" s="15"/>
      <c r="AF2495" t="str">
        <f t="shared" si="166"/>
        <v>Closed in May</v>
      </c>
    </row>
    <row r="2496" spans="1:32" hidden="1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67"/>
        <v>23</v>
      </c>
      <c r="R2496" s="53" t="str">
        <f t="shared" si="168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73">
        <f t="shared" si="165"/>
        <v>24</v>
      </c>
      <c r="Z2496" s="18">
        <v>46172</v>
      </c>
      <c r="AA2496" s="15"/>
      <c r="AB2496" s="15"/>
      <c r="AF2496" t="str">
        <f t="shared" si="166"/>
        <v>Closed in May</v>
      </c>
    </row>
    <row r="2497" spans="1:32" hidden="1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67"/>
        <v>23</v>
      </c>
      <c r="R2497" s="53" t="str">
        <f t="shared" si="168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73">
        <f t="shared" si="165"/>
        <v>24</v>
      </c>
      <c r="Z2497" s="18">
        <v>46172</v>
      </c>
      <c r="AA2497" s="15"/>
      <c r="AB2497" s="15"/>
      <c r="AF2497" t="str">
        <f t="shared" si="166"/>
        <v>Closed in May</v>
      </c>
    </row>
    <row r="2498" spans="1:32" hidden="1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67"/>
        <v>23</v>
      </c>
      <c r="R2498" s="53" t="str">
        <f t="shared" si="168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73">
        <f t="shared" ref="Y2498:Y2561" si="169">IF(X2498="","",X2498-A2498)</f>
        <v>24</v>
      </c>
      <c r="Z2498" s="18">
        <v>46172</v>
      </c>
      <c r="AA2498" s="15"/>
      <c r="AB2498" s="15"/>
      <c r="AF2498" t="str">
        <f t="shared" ref="AF2498:AF2561" si="170">IF(AND($F2498="Closed",$X2498&gt;=DATE(2026,5,1),$X2498&lt;=DATE(2026,5,31)),"Closed in May","Other")</f>
        <v>Closed in May</v>
      </c>
    </row>
    <row r="2499" spans="1:32" hidden="1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67"/>
        <v>23</v>
      </c>
      <c r="R2499" s="53" t="str">
        <f t="shared" si="168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73">
        <f t="shared" si="169"/>
        <v>24</v>
      </c>
      <c r="Z2499" s="18">
        <v>46172</v>
      </c>
      <c r="AA2499" s="15"/>
      <c r="AB2499" s="15"/>
      <c r="AF2499" t="str">
        <f t="shared" si="170"/>
        <v>Closed in May</v>
      </c>
    </row>
    <row r="2500" spans="1:32" hidden="1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67"/>
        <v>23</v>
      </c>
      <c r="R2500" s="53" t="str">
        <f t="shared" si="168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73">
        <f t="shared" si="169"/>
        <v>24</v>
      </c>
      <c r="Z2500" s="18">
        <v>46172</v>
      </c>
      <c r="AA2500" s="15"/>
      <c r="AB2500" s="15"/>
      <c r="AF2500" t="str">
        <f t="shared" si="170"/>
        <v>Closed in May</v>
      </c>
    </row>
    <row r="2501" spans="1:32" hidden="1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67"/>
        <v>23</v>
      </c>
      <c r="R2501" s="53" t="str">
        <f t="shared" si="168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73">
        <f t="shared" si="169"/>
        <v>24</v>
      </c>
      <c r="Z2501" s="18">
        <v>46172</v>
      </c>
      <c r="AA2501" s="15"/>
      <c r="AB2501" s="15"/>
      <c r="AF2501" t="str">
        <f t="shared" si="170"/>
        <v>Closed in May</v>
      </c>
    </row>
    <row r="2502" spans="1:32" hidden="1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67"/>
        <v>23</v>
      </c>
      <c r="R2502" s="53" t="str">
        <f t="shared" si="168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73">
        <f t="shared" si="169"/>
        <v>24</v>
      </c>
      <c r="Z2502" s="18">
        <v>46172</v>
      </c>
      <c r="AA2502" s="15"/>
      <c r="AB2502" s="15"/>
      <c r="AF2502" t="str">
        <f t="shared" si="170"/>
        <v>Closed in May</v>
      </c>
    </row>
    <row r="2503" spans="1:32" hidden="1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67"/>
        <v>23</v>
      </c>
      <c r="R2503" s="53" t="str">
        <f t="shared" si="168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73">
        <f t="shared" si="169"/>
        <v>24</v>
      </c>
      <c r="Z2503" s="18">
        <v>46172</v>
      </c>
      <c r="AA2503" s="15"/>
      <c r="AB2503" s="15"/>
      <c r="AF2503" t="str">
        <f t="shared" si="170"/>
        <v>Closed in May</v>
      </c>
    </row>
    <row r="2504" spans="1:32" hidden="1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67"/>
        <v>23</v>
      </c>
      <c r="R2504" s="53" t="str">
        <f t="shared" si="168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73">
        <f t="shared" si="169"/>
        <v>24</v>
      </c>
      <c r="Z2504" s="18">
        <v>46172</v>
      </c>
      <c r="AA2504" s="15"/>
      <c r="AB2504" s="15"/>
      <c r="AF2504" t="str">
        <f t="shared" si="170"/>
        <v>Closed in May</v>
      </c>
    </row>
    <row r="2505" spans="1:32" hidden="1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67"/>
        <v>23</v>
      </c>
      <c r="R2505" s="53" t="str">
        <f t="shared" si="168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73">
        <f t="shared" si="169"/>
        <v>24</v>
      </c>
      <c r="Z2505" s="18">
        <v>46172</v>
      </c>
      <c r="AA2505" s="15"/>
      <c r="AB2505" s="15"/>
      <c r="AF2505" t="str">
        <f t="shared" si="170"/>
        <v>Closed in May</v>
      </c>
    </row>
    <row r="2506" spans="1:32" hidden="1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67"/>
        <v>23</v>
      </c>
      <c r="R2506" s="53" t="str">
        <f t="shared" si="168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73">
        <f t="shared" si="169"/>
        <v>24</v>
      </c>
      <c r="Z2506" s="18">
        <v>46172</v>
      </c>
      <c r="AA2506" s="15"/>
      <c r="AB2506" s="15"/>
      <c r="AF2506" t="str">
        <f t="shared" si="170"/>
        <v>Closed in May</v>
      </c>
    </row>
    <row r="2507" spans="1:32" hidden="1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67"/>
        <v>23</v>
      </c>
      <c r="R2507" s="53" t="str">
        <f t="shared" si="168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73">
        <f t="shared" si="169"/>
        <v>24</v>
      </c>
      <c r="Z2507" s="18">
        <v>46172</v>
      </c>
      <c r="AA2507" s="15"/>
      <c r="AB2507" s="15"/>
      <c r="AF2507" t="str">
        <f t="shared" si="170"/>
        <v>Closed in May</v>
      </c>
    </row>
    <row r="2508" spans="1:32" hidden="1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67"/>
        <v>23</v>
      </c>
      <c r="R2508" s="53" t="str">
        <f t="shared" si="168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73">
        <f t="shared" si="169"/>
        <v>24</v>
      </c>
      <c r="Z2508" s="18">
        <v>46172</v>
      </c>
      <c r="AA2508" s="15"/>
      <c r="AB2508" s="15"/>
      <c r="AF2508" t="str">
        <f t="shared" si="170"/>
        <v>Closed in May</v>
      </c>
    </row>
    <row r="2509" spans="1:32" hidden="1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67"/>
        <v>23</v>
      </c>
      <c r="R2509" s="53" t="str">
        <f t="shared" si="168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73">
        <f t="shared" si="169"/>
        <v>24</v>
      </c>
      <c r="Z2509" s="18">
        <v>46172</v>
      </c>
      <c r="AA2509" s="15"/>
      <c r="AB2509" s="15"/>
      <c r="AF2509" t="str">
        <f t="shared" si="170"/>
        <v>Closed in May</v>
      </c>
    </row>
    <row r="2510" spans="1:32" hidden="1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67"/>
        <v>23</v>
      </c>
      <c r="R2510" s="53" t="str">
        <f t="shared" si="168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73">
        <f t="shared" si="169"/>
        <v>24</v>
      </c>
      <c r="Z2510" s="18">
        <v>46172</v>
      </c>
      <c r="AA2510" s="15"/>
      <c r="AB2510" s="15"/>
      <c r="AF2510" t="str">
        <f t="shared" si="170"/>
        <v>Closed in May</v>
      </c>
    </row>
    <row r="2511" spans="1:32" hidden="1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67"/>
        <v>23</v>
      </c>
      <c r="R2511" s="53" t="str">
        <f t="shared" si="168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73">
        <f t="shared" si="169"/>
        <v>24</v>
      </c>
      <c r="Z2511" s="18">
        <v>46172</v>
      </c>
      <c r="AA2511" s="15"/>
      <c r="AB2511" s="15"/>
      <c r="AF2511" t="str">
        <f t="shared" si="170"/>
        <v>Closed in May</v>
      </c>
    </row>
    <row r="2512" spans="1:32" hidden="1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67"/>
        <v>23</v>
      </c>
      <c r="R2512" s="53" t="str">
        <f t="shared" si="168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73">
        <f t="shared" si="169"/>
        <v>24</v>
      </c>
      <c r="Z2512" s="18">
        <v>46172</v>
      </c>
      <c r="AA2512" s="15"/>
      <c r="AB2512" s="15"/>
      <c r="AF2512" t="str">
        <f t="shared" si="170"/>
        <v>Closed in May</v>
      </c>
    </row>
    <row r="2513" spans="1:32" hidden="1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67"/>
        <v>23</v>
      </c>
      <c r="R2513" s="53" t="str">
        <f t="shared" si="168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73">
        <f t="shared" si="169"/>
        <v>24</v>
      </c>
      <c r="Z2513" s="18">
        <v>46172</v>
      </c>
      <c r="AA2513" s="15"/>
      <c r="AB2513" s="15"/>
      <c r="AF2513" t="str">
        <f t="shared" si="170"/>
        <v>Closed in May</v>
      </c>
    </row>
    <row r="2514" spans="1:32" hidden="1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67"/>
        <v>23</v>
      </c>
      <c r="R2514" s="53" t="str">
        <f t="shared" si="168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73">
        <f t="shared" si="169"/>
        <v>24</v>
      </c>
      <c r="Z2514" s="18">
        <v>46172</v>
      </c>
      <c r="AA2514" s="15"/>
      <c r="AB2514" s="15"/>
      <c r="AF2514" t="str">
        <f t="shared" si="170"/>
        <v>Closed in May</v>
      </c>
    </row>
    <row r="2515" spans="1:32" hidden="1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67"/>
        <v>23</v>
      </c>
      <c r="R2515" s="53" t="str">
        <f t="shared" si="168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73">
        <f t="shared" si="169"/>
        <v>24</v>
      </c>
      <c r="Z2515" s="18">
        <v>46172</v>
      </c>
      <c r="AA2515" s="15"/>
      <c r="AB2515" s="15"/>
      <c r="AF2515" t="str">
        <f t="shared" si="170"/>
        <v>Closed in May</v>
      </c>
    </row>
    <row r="2516" spans="1:32" hidden="1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67"/>
        <v>23</v>
      </c>
      <c r="R2516" s="53" t="str">
        <f t="shared" si="168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73">
        <f t="shared" si="169"/>
        <v>24</v>
      </c>
      <c r="Z2516" s="18">
        <v>46172</v>
      </c>
      <c r="AA2516" s="15"/>
      <c r="AB2516" s="15"/>
      <c r="AF2516" t="str">
        <f t="shared" si="170"/>
        <v>Closed in May</v>
      </c>
    </row>
    <row r="2517" spans="1:32" hidden="1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67"/>
        <v>23</v>
      </c>
      <c r="R2517" s="53" t="str">
        <f t="shared" si="168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73">
        <f t="shared" si="169"/>
        <v>24</v>
      </c>
      <c r="Z2517" s="18">
        <v>46172</v>
      </c>
      <c r="AA2517" s="15"/>
      <c r="AB2517" s="15"/>
      <c r="AF2517" t="str">
        <f t="shared" si="170"/>
        <v>Closed in May</v>
      </c>
    </row>
    <row r="2518" spans="1:32" hidden="1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67"/>
        <v>23</v>
      </c>
      <c r="R2518" s="53" t="str">
        <f t="shared" si="168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73">
        <f t="shared" si="169"/>
        <v>24</v>
      </c>
      <c r="Z2518" s="18">
        <v>46172</v>
      </c>
      <c r="AA2518" s="15"/>
      <c r="AB2518" s="15"/>
      <c r="AF2518" t="str">
        <f t="shared" si="170"/>
        <v>Closed in May</v>
      </c>
    </row>
    <row r="2519" spans="1:32" hidden="1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67"/>
        <v>23</v>
      </c>
      <c r="R2519" s="53" t="str">
        <f t="shared" si="168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73">
        <f t="shared" si="169"/>
        <v>24</v>
      </c>
      <c r="Z2519" s="18">
        <v>46172</v>
      </c>
      <c r="AA2519" s="15"/>
      <c r="AB2519" s="15"/>
      <c r="AF2519" t="str">
        <f t="shared" si="170"/>
        <v>Closed in May</v>
      </c>
    </row>
    <row r="2520" spans="1:32" hidden="1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67"/>
        <v>23</v>
      </c>
      <c r="R2520" s="53" t="str">
        <f t="shared" si="168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73">
        <f t="shared" si="169"/>
        <v>24</v>
      </c>
      <c r="Z2520" s="18">
        <v>46172</v>
      </c>
      <c r="AA2520" s="15"/>
      <c r="AB2520" s="15"/>
      <c r="AF2520" t="str">
        <f t="shared" si="170"/>
        <v>Closed in May</v>
      </c>
    </row>
    <row r="2521" spans="1:32" hidden="1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67"/>
        <v>23</v>
      </c>
      <c r="R2521" s="53" t="str">
        <f t="shared" si="168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73">
        <f t="shared" si="169"/>
        <v>24</v>
      </c>
      <c r="Z2521" s="18">
        <v>46172</v>
      </c>
      <c r="AA2521" s="15"/>
      <c r="AB2521" s="15"/>
      <c r="AF2521" t="str">
        <f t="shared" si="170"/>
        <v>Closed in May</v>
      </c>
    </row>
    <row r="2522" spans="1:32" hidden="1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67"/>
        <v>23</v>
      </c>
      <c r="R2522" s="53" t="str">
        <f t="shared" si="168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73">
        <f t="shared" si="169"/>
        <v>24</v>
      </c>
      <c r="Z2522" s="18">
        <v>46172</v>
      </c>
      <c r="AA2522" s="15"/>
      <c r="AB2522" s="15"/>
      <c r="AF2522" t="str">
        <f t="shared" si="170"/>
        <v>Closed in May</v>
      </c>
    </row>
    <row r="2523" spans="1:32" hidden="1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67"/>
        <v>23</v>
      </c>
      <c r="R2523" s="53" t="str">
        <f t="shared" si="168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73">
        <f t="shared" si="169"/>
        <v>24</v>
      </c>
      <c r="Z2523" s="18">
        <v>46172</v>
      </c>
      <c r="AA2523" s="15"/>
      <c r="AB2523" s="15"/>
      <c r="AF2523" t="str">
        <f t="shared" si="170"/>
        <v>Closed in May</v>
      </c>
    </row>
    <row r="2524" spans="1:32" hidden="1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67"/>
        <v>23</v>
      </c>
      <c r="R2524" s="53" t="str">
        <f t="shared" si="168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73">
        <f t="shared" si="169"/>
        <v>24</v>
      </c>
      <c r="Z2524" s="18">
        <v>46172</v>
      </c>
      <c r="AA2524" s="15"/>
      <c r="AB2524" s="15"/>
      <c r="AF2524" t="str">
        <f t="shared" si="170"/>
        <v>Closed in May</v>
      </c>
    </row>
    <row r="2525" spans="1:32" hidden="1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67"/>
        <v>23</v>
      </c>
      <c r="R2525" s="53" t="str">
        <f t="shared" si="168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73">
        <f t="shared" si="169"/>
        <v>24</v>
      </c>
      <c r="Z2525" s="18">
        <v>46172</v>
      </c>
      <c r="AA2525" s="15"/>
      <c r="AB2525" s="15"/>
      <c r="AF2525" t="str">
        <f t="shared" si="170"/>
        <v>Closed in May</v>
      </c>
    </row>
    <row r="2526" spans="1:32" hidden="1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67"/>
        <v>23</v>
      </c>
      <c r="R2526" s="53" t="str">
        <f t="shared" si="168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73">
        <f t="shared" si="169"/>
        <v>24</v>
      </c>
      <c r="Z2526" s="18">
        <v>46172</v>
      </c>
      <c r="AA2526" s="15"/>
      <c r="AB2526" s="15"/>
      <c r="AF2526" t="str">
        <f t="shared" si="170"/>
        <v>Closed in May</v>
      </c>
    </row>
    <row r="2527" spans="1:32" hidden="1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67"/>
        <v>23</v>
      </c>
      <c r="R2527" s="53" t="str">
        <f t="shared" si="168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73">
        <f t="shared" si="169"/>
        <v>24</v>
      </c>
      <c r="Z2527" s="18">
        <v>46172</v>
      </c>
      <c r="AA2527" s="15"/>
      <c r="AB2527" s="15"/>
      <c r="AF2527" t="str">
        <f t="shared" si="170"/>
        <v>Closed in May</v>
      </c>
    </row>
    <row r="2528" spans="1:32" hidden="1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67"/>
        <v>23</v>
      </c>
      <c r="R2528" s="53" t="str">
        <f t="shared" si="168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73">
        <f t="shared" si="169"/>
        <v>24</v>
      </c>
      <c r="Z2528" s="18">
        <v>46172</v>
      </c>
      <c r="AA2528" s="15"/>
      <c r="AB2528" s="15"/>
      <c r="AF2528" t="str">
        <f t="shared" si="170"/>
        <v>Closed in May</v>
      </c>
    </row>
    <row r="2529" spans="1:32" hidden="1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67"/>
        <v>23</v>
      </c>
      <c r="R2529" s="53" t="str">
        <f t="shared" si="168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73">
        <f t="shared" si="169"/>
        <v>24</v>
      </c>
      <c r="Z2529" s="18">
        <v>46172</v>
      </c>
      <c r="AA2529" s="15"/>
      <c r="AB2529" s="15"/>
      <c r="AF2529" t="str">
        <f t="shared" si="170"/>
        <v>Closed in May</v>
      </c>
    </row>
    <row r="2530" spans="1:32" hidden="1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67"/>
        <v>23</v>
      </c>
      <c r="R2530" s="53" t="str">
        <f t="shared" si="168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73">
        <f t="shared" si="169"/>
        <v>24</v>
      </c>
      <c r="Z2530" s="18">
        <v>46172</v>
      </c>
      <c r="AA2530" s="15"/>
      <c r="AB2530" s="15"/>
      <c r="AF2530" t="str">
        <f t="shared" si="170"/>
        <v>Closed in May</v>
      </c>
    </row>
    <row r="2531" spans="1:32" hidden="1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67"/>
        <v>23</v>
      </c>
      <c r="R2531" s="53" t="str">
        <f t="shared" si="168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73">
        <f t="shared" si="169"/>
        <v>24</v>
      </c>
      <c r="Z2531" s="18">
        <v>46172</v>
      </c>
      <c r="AA2531" s="15"/>
      <c r="AB2531" s="15"/>
      <c r="AF2531" t="str">
        <f t="shared" si="170"/>
        <v>Closed in May</v>
      </c>
    </row>
    <row r="2532" spans="1:32" hidden="1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67"/>
        <v>23</v>
      </c>
      <c r="R2532" s="53" t="str">
        <f t="shared" si="168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73">
        <f t="shared" si="169"/>
        <v>24</v>
      </c>
      <c r="Z2532" s="18">
        <v>46172</v>
      </c>
      <c r="AA2532" s="15"/>
      <c r="AB2532" s="15"/>
      <c r="AF2532" t="str">
        <f t="shared" si="170"/>
        <v>Closed in May</v>
      </c>
    </row>
    <row r="2533" spans="1:32" hidden="1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67"/>
        <v>23</v>
      </c>
      <c r="R2533" s="53" t="str">
        <f t="shared" si="168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73">
        <f t="shared" si="169"/>
        <v>24</v>
      </c>
      <c r="Z2533" s="18">
        <v>46172</v>
      </c>
      <c r="AA2533" s="15"/>
      <c r="AB2533" s="15"/>
      <c r="AF2533" t="str">
        <f t="shared" si="170"/>
        <v>Closed in May</v>
      </c>
    </row>
    <row r="2534" spans="1:32" hidden="1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67"/>
        <v>23</v>
      </c>
      <c r="R2534" s="53" t="str">
        <f t="shared" si="168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73">
        <f t="shared" si="169"/>
        <v>24</v>
      </c>
      <c r="Z2534" s="18">
        <v>46172</v>
      </c>
      <c r="AA2534" s="15"/>
      <c r="AB2534" s="15"/>
      <c r="AF2534" t="str">
        <f t="shared" si="170"/>
        <v>Closed in May</v>
      </c>
    </row>
    <row r="2535" spans="1:32" hidden="1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71">MID(P2535,5,2)</f>
        <v>23</v>
      </c>
      <c r="R2535" s="53" t="str">
        <f t="shared" ref="R2535:R2598" si="172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73">
        <f t="shared" si="169"/>
        <v>24</v>
      </c>
      <c r="Z2535" s="18">
        <v>46172</v>
      </c>
      <c r="AA2535" s="15"/>
      <c r="AB2535" s="15"/>
      <c r="AF2535" t="str">
        <f t="shared" si="170"/>
        <v>Closed in May</v>
      </c>
    </row>
    <row r="2536" spans="1:32" hidden="1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71"/>
        <v>23</v>
      </c>
      <c r="R2536" s="53" t="str">
        <f t="shared" si="172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73">
        <f t="shared" si="169"/>
        <v>24</v>
      </c>
      <c r="Z2536" s="18">
        <v>46172</v>
      </c>
      <c r="AA2536" s="15"/>
      <c r="AB2536" s="15"/>
      <c r="AF2536" t="str">
        <f t="shared" si="170"/>
        <v>Closed in May</v>
      </c>
    </row>
    <row r="2537" spans="1:32" hidden="1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71"/>
        <v>23</v>
      </c>
      <c r="R2537" s="53" t="str">
        <f t="shared" si="172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73">
        <f t="shared" si="169"/>
        <v>24</v>
      </c>
      <c r="Z2537" s="18">
        <v>46172</v>
      </c>
      <c r="AA2537" s="15"/>
      <c r="AB2537" s="15"/>
      <c r="AF2537" t="str">
        <f t="shared" si="170"/>
        <v>Closed in May</v>
      </c>
    </row>
    <row r="2538" spans="1:32" hidden="1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71"/>
        <v>23</v>
      </c>
      <c r="R2538" s="53" t="str">
        <f t="shared" si="172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73">
        <f t="shared" si="169"/>
        <v>24</v>
      </c>
      <c r="Z2538" s="18">
        <v>46172</v>
      </c>
      <c r="AA2538" s="15"/>
      <c r="AB2538" s="15"/>
      <c r="AF2538" t="str">
        <f t="shared" si="170"/>
        <v>Closed in May</v>
      </c>
    </row>
    <row r="2539" spans="1:32" hidden="1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71"/>
        <v>23</v>
      </c>
      <c r="R2539" s="53" t="str">
        <f t="shared" si="172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73">
        <f t="shared" si="169"/>
        <v>24</v>
      </c>
      <c r="Z2539" s="18">
        <v>46172</v>
      </c>
      <c r="AA2539" s="15"/>
      <c r="AB2539" s="15"/>
      <c r="AF2539" t="str">
        <f t="shared" si="170"/>
        <v>Closed in May</v>
      </c>
    </row>
    <row r="2540" spans="1:32" hidden="1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71"/>
        <v>23</v>
      </c>
      <c r="R2540" s="53" t="str">
        <f t="shared" si="172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73">
        <f t="shared" si="169"/>
        <v>24</v>
      </c>
      <c r="Z2540" s="18">
        <v>46172</v>
      </c>
      <c r="AA2540" s="15"/>
      <c r="AB2540" s="15"/>
      <c r="AF2540" t="str">
        <f t="shared" si="170"/>
        <v>Closed in May</v>
      </c>
    </row>
    <row r="2541" spans="1:32" hidden="1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71"/>
        <v>23</v>
      </c>
      <c r="R2541" s="53" t="str">
        <f t="shared" si="172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73">
        <f t="shared" si="169"/>
        <v>24</v>
      </c>
      <c r="Z2541" s="18">
        <v>46172</v>
      </c>
      <c r="AA2541" s="15"/>
      <c r="AB2541" s="15"/>
      <c r="AF2541" t="str">
        <f t="shared" si="170"/>
        <v>Closed in May</v>
      </c>
    </row>
    <row r="2542" spans="1:32" hidden="1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71"/>
        <v>23</v>
      </c>
      <c r="R2542" s="53" t="str">
        <f t="shared" si="172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73">
        <f t="shared" si="169"/>
        <v>24</v>
      </c>
      <c r="Z2542" s="18">
        <v>46172</v>
      </c>
      <c r="AA2542" s="15"/>
      <c r="AB2542" s="15"/>
      <c r="AF2542" t="str">
        <f t="shared" si="170"/>
        <v>Closed in May</v>
      </c>
    </row>
    <row r="2543" spans="1:32" hidden="1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71"/>
        <v>23</v>
      </c>
      <c r="R2543" s="53" t="str">
        <f t="shared" si="172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73">
        <f t="shared" si="169"/>
        <v>24</v>
      </c>
      <c r="Z2543" s="18">
        <v>46172</v>
      </c>
      <c r="AA2543" s="15"/>
      <c r="AB2543" s="15"/>
      <c r="AF2543" t="str">
        <f t="shared" si="170"/>
        <v>Closed in May</v>
      </c>
    </row>
    <row r="2544" spans="1:32" hidden="1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71"/>
        <v>23</v>
      </c>
      <c r="R2544" s="53" t="str">
        <f t="shared" si="172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73">
        <f t="shared" si="169"/>
        <v>24</v>
      </c>
      <c r="Z2544" s="18">
        <v>46172</v>
      </c>
      <c r="AA2544" s="15"/>
      <c r="AB2544" s="15"/>
      <c r="AF2544" t="str">
        <f t="shared" si="170"/>
        <v>Closed in May</v>
      </c>
    </row>
    <row r="2545" spans="1:32" hidden="1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71"/>
        <v>23</v>
      </c>
      <c r="R2545" s="53" t="str">
        <f t="shared" si="172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73">
        <f t="shared" si="169"/>
        <v>24</v>
      </c>
      <c r="Z2545" s="18">
        <v>46172</v>
      </c>
      <c r="AA2545" s="15"/>
      <c r="AB2545" s="15"/>
      <c r="AF2545" t="str">
        <f t="shared" si="170"/>
        <v>Closed in May</v>
      </c>
    </row>
    <row r="2546" spans="1:32" hidden="1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71"/>
        <v>23</v>
      </c>
      <c r="R2546" s="53" t="str">
        <f t="shared" si="172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73">
        <f t="shared" si="169"/>
        <v>24</v>
      </c>
      <c r="Z2546" s="18">
        <v>46172</v>
      </c>
      <c r="AA2546" s="15"/>
      <c r="AB2546" s="15"/>
      <c r="AF2546" t="str">
        <f t="shared" si="170"/>
        <v>Closed in May</v>
      </c>
    </row>
    <row r="2547" spans="1:32" hidden="1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71"/>
        <v>23</v>
      </c>
      <c r="R2547" s="53" t="str">
        <f t="shared" si="172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73">
        <f t="shared" si="169"/>
        <v>24</v>
      </c>
      <c r="Z2547" s="18">
        <v>46172</v>
      </c>
      <c r="AA2547" s="15"/>
      <c r="AB2547" s="15"/>
      <c r="AF2547" t="str">
        <f t="shared" si="170"/>
        <v>Closed in May</v>
      </c>
    </row>
    <row r="2548" spans="1:32" hidden="1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71"/>
        <v>23</v>
      </c>
      <c r="R2548" s="53" t="str">
        <f t="shared" si="172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73">
        <f t="shared" si="169"/>
        <v>24</v>
      </c>
      <c r="Z2548" s="18">
        <v>46172</v>
      </c>
      <c r="AA2548" s="15"/>
      <c r="AB2548" s="15"/>
      <c r="AF2548" t="str">
        <f t="shared" si="170"/>
        <v>Closed in May</v>
      </c>
    </row>
    <row r="2549" spans="1:32" hidden="1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71"/>
        <v>25</v>
      </c>
      <c r="R2549" s="53" t="str">
        <f t="shared" si="172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73">
        <f t="shared" si="169"/>
        <v>5</v>
      </c>
      <c r="Z2549" s="18">
        <v>46172</v>
      </c>
      <c r="AA2549" s="15"/>
      <c r="AB2549" s="15"/>
      <c r="AF2549" t="str">
        <f t="shared" si="170"/>
        <v>Closed in May</v>
      </c>
    </row>
    <row r="2550" spans="1:32" hidden="1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71"/>
        <v>25</v>
      </c>
      <c r="R2550" s="53" t="str">
        <f t="shared" si="172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73">
        <f t="shared" si="169"/>
        <v>5</v>
      </c>
      <c r="Z2550" s="18">
        <v>46172</v>
      </c>
      <c r="AA2550" s="15"/>
      <c r="AB2550" s="15"/>
      <c r="AF2550" t="str">
        <f t="shared" si="170"/>
        <v>Closed in May</v>
      </c>
    </row>
    <row r="2551" spans="1:32" hidden="1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71"/>
        <v>25</v>
      </c>
      <c r="R2551" s="53" t="str">
        <f t="shared" si="172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73">
        <f t="shared" si="169"/>
        <v>5</v>
      </c>
      <c r="Z2551" s="18">
        <v>46172</v>
      </c>
      <c r="AA2551" s="15"/>
      <c r="AB2551" s="15"/>
      <c r="AF2551" t="str">
        <f t="shared" si="170"/>
        <v>Closed in May</v>
      </c>
    </row>
    <row r="2552" spans="1:32" hidden="1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71"/>
        <v>25</v>
      </c>
      <c r="R2552" s="53" t="str">
        <f t="shared" si="172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73">
        <f t="shared" si="169"/>
        <v>5</v>
      </c>
      <c r="Z2552" s="18">
        <v>46172</v>
      </c>
      <c r="AA2552" s="15"/>
      <c r="AB2552" s="15"/>
      <c r="AF2552" t="str">
        <f t="shared" si="170"/>
        <v>Closed in May</v>
      </c>
    </row>
    <row r="2553" spans="1:32" hidden="1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71"/>
        <v>25</v>
      </c>
      <c r="R2553" s="53" t="str">
        <f t="shared" si="172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73">
        <f t="shared" si="169"/>
        <v>5</v>
      </c>
      <c r="Z2553" s="18">
        <v>46172</v>
      </c>
      <c r="AA2553" s="15"/>
      <c r="AB2553" s="15"/>
      <c r="AF2553" t="str">
        <f t="shared" si="170"/>
        <v>Closed in May</v>
      </c>
    </row>
    <row r="2554" spans="1:32" hidden="1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71"/>
        <v>25</v>
      </c>
      <c r="R2554" s="53" t="str">
        <f t="shared" si="172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73">
        <f t="shared" si="169"/>
        <v>5</v>
      </c>
      <c r="Z2554" s="18">
        <v>46172</v>
      </c>
      <c r="AA2554" s="15"/>
      <c r="AB2554" s="15"/>
      <c r="AF2554" t="str">
        <f t="shared" si="170"/>
        <v>Closed in May</v>
      </c>
    </row>
    <row r="2555" spans="1:32" hidden="1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71"/>
        <v>24</v>
      </c>
      <c r="R2555" s="53" t="str">
        <f t="shared" si="172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73">
        <f t="shared" si="169"/>
        <v>29</v>
      </c>
      <c r="Z2555" s="18">
        <v>46172</v>
      </c>
      <c r="AA2555" s="15"/>
      <c r="AB2555" s="15"/>
      <c r="AF2555" t="str">
        <f t="shared" si="170"/>
        <v>Closed in May</v>
      </c>
    </row>
    <row r="2556" spans="1:32" hidden="1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71"/>
        <v>24</v>
      </c>
      <c r="R2556" s="53" t="str">
        <f t="shared" si="172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73">
        <f t="shared" si="169"/>
        <v>29</v>
      </c>
      <c r="Z2556" s="18">
        <v>46172</v>
      </c>
      <c r="AA2556" s="15"/>
      <c r="AB2556" s="15"/>
      <c r="AF2556" t="str">
        <f t="shared" si="170"/>
        <v>Closed in May</v>
      </c>
    </row>
    <row r="2557" spans="1:32" hidden="1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71"/>
        <v>24</v>
      </c>
      <c r="R2557" s="53" t="str">
        <f t="shared" si="172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73">
        <f t="shared" si="169"/>
        <v>29</v>
      </c>
      <c r="Z2557" s="18">
        <v>46172</v>
      </c>
      <c r="AA2557" s="15"/>
      <c r="AB2557" s="15"/>
      <c r="AF2557" t="str">
        <f t="shared" si="170"/>
        <v>Closed in May</v>
      </c>
    </row>
    <row r="2558" spans="1:32" hidden="1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71"/>
        <v>24</v>
      </c>
      <c r="R2558" s="53" t="str">
        <f t="shared" si="172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73">
        <f t="shared" si="169"/>
        <v>29</v>
      </c>
      <c r="Z2558" s="18">
        <v>46172</v>
      </c>
      <c r="AA2558" s="15"/>
      <c r="AB2558" s="15"/>
      <c r="AF2558" t="str">
        <f t="shared" si="170"/>
        <v>Closed in May</v>
      </c>
    </row>
    <row r="2559" spans="1:32" hidden="1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71"/>
        <v>24</v>
      </c>
      <c r="R2559" s="53" t="str">
        <f t="shared" si="172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73">
        <f t="shared" si="169"/>
        <v>29</v>
      </c>
      <c r="Z2559" s="18">
        <v>46172</v>
      </c>
      <c r="AA2559" s="15"/>
      <c r="AB2559" s="15"/>
      <c r="AF2559" t="str">
        <f t="shared" si="170"/>
        <v>Closed in May</v>
      </c>
    </row>
    <row r="2560" spans="1:32" hidden="1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71"/>
        <v>24</v>
      </c>
      <c r="R2560" s="53" t="str">
        <f t="shared" si="172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73">
        <f t="shared" si="169"/>
        <v>29</v>
      </c>
      <c r="Z2560" s="18">
        <v>46172</v>
      </c>
      <c r="AA2560" s="15"/>
      <c r="AB2560" s="15"/>
      <c r="AF2560" t="str">
        <f t="shared" si="170"/>
        <v>Closed in May</v>
      </c>
    </row>
    <row r="2561" spans="1:32" hidden="1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71"/>
        <v>24</v>
      </c>
      <c r="R2561" s="53" t="str">
        <f t="shared" si="172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73">
        <f t="shared" si="169"/>
        <v>29</v>
      </c>
      <c r="Z2561" s="18">
        <v>46172</v>
      </c>
      <c r="AA2561" s="15"/>
      <c r="AB2561" s="15"/>
      <c r="AF2561" t="str">
        <f t="shared" si="170"/>
        <v>Closed in May</v>
      </c>
    </row>
    <row r="2562" spans="1:32" hidden="1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71"/>
        <v>24</v>
      </c>
      <c r="R2562" s="53" t="str">
        <f t="shared" si="172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73">
        <f t="shared" ref="Y2562:Y2625" si="173">IF(X2562="","",X2562-A2562)</f>
        <v>29</v>
      </c>
      <c r="Z2562" s="18">
        <v>46172</v>
      </c>
      <c r="AA2562" s="15"/>
      <c r="AB2562" s="15"/>
      <c r="AF2562" t="str">
        <f t="shared" ref="AF2562:AF2625" si="174">IF(AND($F2562="Closed",$X2562&gt;=DATE(2026,5,1),$X2562&lt;=DATE(2026,5,31)),"Closed in May","Other")</f>
        <v>Closed in May</v>
      </c>
    </row>
    <row r="2563" spans="1:32" hidden="1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71"/>
        <v>24</v>
      </c>
      <c r="R2563" s="53" t="str">
        <f t="shared" si="172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73">
        <f t="shared" si="173"/>
        <v>29</v>
      </c>
      <c r="Z2563" s="18">
        <v>46172</v>
      </c>
      <c r="AA2563" s="15"/>
      <c r="AB2563" s="15"/>
      <c r="AF2563" t="str">
        <f t="shared" si="174"/>
        <v>Closed in May</v>
      </c>
    </row>
    <row r="2564" spans="1:32" hidden="1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71"/>
        <v>24</v>
      </c>
      <c r="R2564" s="53" t="str">
        <f t="shared" si="172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73">
        <f t="shared" si="173"/>
        <v>29</v>
      </c>
      <c r="Z2564" s="18">
        <v>46172</v>
      </c>
      <c r="AA2564" s="15"/>
      <c r="AB2564" s="15"/>
      <c r="AF2564" t="str">
        <f t="shared" si="174"/>
        <v>Closed in May</v>
      </c>
    </row>
    <row r="2565" spans="1:32" hidden="1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71"/>
        <v>24</v>
      </c>
      <c r="R2565" s="53" t="str">
        <f t="shared" si="172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73">
        <f t="shared" si="173"/>
        <v>29</v>
      </c>
      <c r="Z2565" s="18">
        <v>46172</v>
      </c>
      <c r="AA2565" s="15"/>
      <c r="AB2565" s="15"/>
      <c r="AF2565" t="str">
        <f t="shared" si="174"/>
        <v>Closed in May</v>
      </c>
    </row>
    <row r="2566" spans="1:32" hidden="1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71"/>
        <v>24</v>
      </c>
      <c r="R2566" s="53" t="str">
        <f t="shared" si="172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73">
        <f t="shared" si="173"/>
        <v>29</v>
      </c>
      <c r="Z2566" s="18">
        <v>46172</v>
      </c>
      <c r="AA2566" s="15"/>
      <c r="AB2566" s="15"/>
      <c r="AF2566" t="str">
        <f t="shared" si="174"/>
        <v>Closed in May</v>
      </c>
    </row>
    <row r="2567" spans="1:32" hidden="1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71"/>
        <v>24</v>
      </c>
      <c r="R2567" s="53" t="str">
        <f t="shared" si="172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73">
        <f t="shared" si="173"/>
        <v>29</v>
      </c>
      <c r="Z2567" s="18">
        <v>46172</v>
      </c>
      <c r="AA2567" s="15"/>
      <c r="AB2567" s="15"/>
      <c r="AF2567" t="str">
        <f t="shared" si="174"/>
        <v>Closed in May</v>
      </c>
    </row>
    <row r="2568" spans="1:32" hidden="1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71"/>
        <v>24</v>
      </c>
      <c r="R2568" s="53" t="str">
        <f t="shared" si="172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73">
        <f t="shared" si="173"/>
        <v>29</v>
      </c>
      <c r="Z2568" s="18">
        <v>46172</v>
      </c>
      <c r="AA2568" s="15"/>
      <c r="AB2568" s="15"/>
      <c r="AF2568" t="str">
        <f t="shared" si="174"/>
        <v>Closed in May</v>
      </c>
    </row>
    <row r="2569" spans="1:32" hidden="1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71"/>
        <v>24</v>
      </c>
      <c r="R2569" s="53" t="str">
        <f t="shared" si="172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73">
        <f t="shared" si="173"/>
        <v>29</v>
      </c>
      <c r="Z2569" s="18">
        <v>46172</v>
      </c>
      <c r="AA2569" s="15"/>
      <c r="AB2569" s="15"/>
      <c r="AF2569" t="str">
        <f t="shared" si="174"/>
        <v>Closed in May</v>
      </c>
    </row>
    <row r="2570" spans="1:32" hidden="1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71"/>
        <v>24</v>
      </c>
      <c r="R2570" s="53" t="str">
        <f t="shared" si="172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73">
        <f t="shared" si="173"/>
        <v>29</v>
      </c>
      <c r="Z2570" s="18">
        <v>46172</v>
      </c>
      <c r="AA2570" s="15"/>
      <c r="AB2570" s="15"/>
      <c r="AF2570" t="str">
        <f t="shared" si="174"/>
        <v>Closed in May</v>
      </c>
    </row>
    <row r="2571" spans="1:32" hidden="1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71"/>
        <v>24</v>
      </c>
      <c r="R2571" s="53" t="str">
        <f t="shared" si="172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73">
        <f t="shared" si="173"/>
        <v>29</v>
      </c>
      <c r="Z2571" s="18">
        <v>46172</v>
      </c>
      <c r="AA2571" s="15"/>
      <c r="AB2571" s="15"/>
      <c r="AF2571" t="str">
        <f t="shared" si="174"/>
        <v>Closed in May</v>
      </c>
    </row>
    <row r="2572" spans="1:32" hidden="1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71"/>
        <v>24</v>
      </c>
      <c r="R2572" s="53" t="str">
        <f t="shared" si="172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73">
        <f t="shared" si="173"/>
        <v>29</v>
      </c>
      <c r="Z2572" s="18">
        <v>46172</v>
      </c>
      <c r="AA2572" s="15"/>
      <c r="AB2572" s="15"/>
      <c r="AF2572" t="str">
        <f t="shared" si="174"/>
        <v>Closed in May</v>
      </c>
    </row>
    <row r="2573" spans="1:32" hidden="1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71"/>
        <v>24</v>
      </c>
      <c r="R2573" s="53" t="str">
        <f t="shared" si="172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73">
        <f t="shared" si="173"/>
        <v>29</v>
      </c>
      <c r="Z2573" s="18">
        <v>46172</v>
      </c>
      <c r="AA2573" s="15"/>
      <c r="AB2573" s="15"/>
      <c r="AF2573" t="str">
        <f t="shared" si="174"/>
        <v>Closed in May</v>
      </c>
    </row>
    <row r="2574" spans="1:32" hidden="1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71"/>
        <v>24</v>
      </c>
      <c r="R2574" s="53" t="str">
        <f t="shared" si="172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73">
        <f t="shared" si="173"/>
        <v>29</v>
      </c>
      <c r="Z2574" s="18">
        <v>46172</v>
      </c>
      <c r="AA2574" s="15"/>
      <c r="AB2574" s="15"/>
      <c r="AF2574" t="str">
        <f t="shared" si="174"/>
        <v>Closed in May</v>
      </c>
    </row>
    <row r="2575" spans="1:32" hidden="1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71"/>
        <v>24</v>
      </c>
      <c r="R2575" s="53" t="str">
        <f t="shared" si="172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73">
        <f t="shared" si="173"/>
        <v>29</v>
      </c>
      <c r="Z2575" s="18">
        <v>46172</v>
      </c>
      <c r="AA2575" s="15"/>
      <c r="AB2575" s="15"/>
      <c r="AF2575" t="str">
        <f t="shared" si="174"/>
        <v>Closed in May</v>
      </c>
    </row>
    <row r="2576" spans="1:32" hidden="1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71"/>
        <v>24</v>
      </c>
      <c r="R2576" s="53" t="str">
        <f t="shared" si="172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73">
        <f t="shared" si="173"/>
        <v>29</v>
      </c>
      <c r="Z2576" s="18">
        <v>46172</v>
      </c>
      <c r="AA2576" s="15"/>
      <c r="AB2576" s="15"/>
      <c r="AF2576" t="str">
        <f t="shared" si="174"/>
        <v>Closed in May</v>
      </c>
    </row>
    <row r="2577" spans="1:32" hidden="1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71"/>
        <v>24</v>
      </c>
      <c r="R2577" s="53" t="str">
        <f t="shared" si="172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73">
        <f t="shared" si="173"/>
        <v>29</v>
      </c>
      <c r="Z2577" s="18">
        <v>46172</v>
      </c>
      <c r="AA2577" s="15"/>
      <c r="AB2577" s="15"/>
      <c r="AF2577" t="str">
        <f t="shared" si="174"/>
        <v>Closed in May</v>
      </c>
    </row>
    <row r="2578" spans="1:32" hidden="1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71"/>
        <v>24</v>
      </c>
      <c r="R2578" s="53" t="str">
        <f t="shared" si="172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73">
        <f t="shared" si="173"/>
        <v>29</v>
      </c>
      <c r="Z2578" s="18">
        <v>46172</v>
      </c>
      <c r="AA2578" s="15"/>
      <c r="AB2578" s="15"/>
      <c r="AF2578" t="str">
        <f t="shared" si="174"/>
        <v>Closed in May</v>
      </c>
    </row>
    <row r="2579" spans="1:32" hidden="1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71"/>
        <v>24</v>
      </c>
      <c r="R2579" s="53" t="str">
        <f t="shared" si="172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73">
        <f t="shared" si="173"/>
        <v>29</v>
      </c>
      <c r="Z2579" s="18">
        <v>46172</v>
      </c>
      <c r="AA2579" s="15"/>
      <c r="AB2579" s="15"/>
      <c r="AF2579" t="str">
        <f t="shared" si="174"/>
        <v>Closed in May</v>
      </c>
    </row>
    <row r="2580" spans="1:32" hidden="1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71"/>
        <v>24</v>
      </c>
      <c r="R2580" s="53" t="str">
        <f t="shared" si="172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73">
        <f t="shared" si="173"/>
        <v>29</v>
      </c>
      <c r="Z2580" s="18">
        <v>46172</v>
      </c>
      <c r="AA2580" s="15"/>
      <c r="AB2580" s="15"/>
      <c r="AF2580" t="str">
        <f t="shared" si="174"/>
        <v>Closed in May</v>
      </c>
    </row>
    <row r="2581" spans="1:32" hidden="1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71"/>
        <v>24</v>
      </c>
      <c r="R2581" s="53" t="str">
        <f t="shared" si="172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73">
        <f t="shared" si="173"/>
        <v>29</v>
      </c>
      <c r="Z2581" s="18">
        <v>46172</v>
      </c>
      <c r="AA2581" s="15"/>
      <c r="AB2581" s="15"/>
      <c r="AF2581" t="str">
        <f t="shared" si="174"/>
        <v>Closed in May</v>
      </c>
    </row>
    <row r="2582" spans="1:32" hidden="1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71"/>
        <v>24</v>
      </c>
      <c r="R2582" s="53" t="str">
        <f t="shared" si="172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73">
        <f t="shared" si="173"/>
        <v>29</v>
      </c>
      <c r="Z2582" s="18">
        <v>46172</v>
      </c>
      <c r="AA2582" s="15"/>
      <c r="AB2582" s="15"/>
      <c r="AF2582" t="str">
        <f t="shared" si="174"/>
        <v>Closed in May</v>
      </c>
    </row>
    <row r="2583" spans="1:32" hidden="1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71"/>
        <v>24</v>
      </c>
      <c r="R2583" s="53" t="str">
        <f t="shared" si="172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73">
        <f t="shared" si="173"/>
        <v>29</v>
      </c>
      <c r="Z2583" s="18">
        <v>46172</v>
      </c>
      <c r="AA2583" s="15"/>
      <c r="AB2583" s="15"/>
      <c r="AF2583" t="str">
        <f t="shared" si="174"/>
        <v>Closed in May</v>
      </c>
    </row>
    <row r="2584" spans="1:32" hidden="1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71"/>
        <v>24</v>
      </c>
      <c r="R2584" s="53" t="str">
        <f t="shared" si="172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73">
        <f t="shared" si="173"/>
        <v>29</v>
      </c>
      <c r="Z2584" s="18">
        <v>46172</v>
      </c>
      <c r="AA2584" s="15"/>
      <c r="AB2584" s="15"/>
      <c r="AF2584" t="str">
        <f t="shared" si="174"/>
        <v>Closed in May</v>
      </c>
    </row>
    <row r="2585" spans="1:32" hidden="1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71"/>
        <v>24</v>
      </c>
      <c r="R2585" s="53" t="str">
        <f t="shared" si="172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73">
        <f t="shared" si="173"/>
        <v>29</v>
      </c>
      <c r="Z2585" s="18">
        <v>46172</v>
      </c>
      <c r="AA2585" s="15"/>
      <c r="AB2585" s="15"/>
      <c r="AF2585" t="str">
        <f t="shared" si="174"/>
        <v>Closed in May</v>
      </c>
    </row>
    <row r="2586" spans="1:32" hidden="1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71"/>
        <v>24</v>
      </c>
      <c r="R2586" s="53" t="str">
        <f t="shared" si="172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73">
        <f t="shared" si="173"/>
        <v>29</v>
      </c>
      <c r="Z2586" s="18">
        <v>46172</v>
      </c>
      <c r="AA2586" s="15"/>
      <c r="AB2586" s="15"/>
      <c r="AF2586" t="str">
        <f t="shared" si="174"/>
        <v>Closed in May</v>
      </c>
    </row>
    <row r="2587" spans="1:32" hidden="1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71"/>
        <v>24</v>
      </c>
      <c r="R2587" s="53" t="str">
        <f t="shared" si="172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73">
        <f t="shared" si="173"/>
        <v>29</v>
      </c>
      <c r="Z2587" s="18">
        <v>46172</v>
      </c>
      <c r="AA2587" s="15"/>
      <c r="AB2587" s="15"/>
      <c r="AF2587" t="str">
        <f t="shared" si="174"/>
        <v>Closed in May</v>
      </c>
    </row>
    <row r="2588" spans="1:32" hidden="1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71"/>
        <v>24</v>
      </c>
      <c r="R2588" s="53" t="str">
        <f t="shared" si="172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73">
        <f t="shared" si="173"/>
        <v>29</v>
      </c>
      <c r="Z2588" s="18">
        <v>46172</v>
      </c>
      <c r="AA2588" s="15"/>
      <c r="AB2588" s="15"/>
      <c r="AF2588" t="str">
        <f t="shared" si="174"/>
        <v>Closed in May</v>
      </c>
    </row>
    <row r="2589" spans="1:32" hidden="1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71"/>
        <v>24</v>
      </c>
      <c r="R2589" s="53" t="str">
        <f t="shared" si="172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73">
        <f t="shared" si="173"/>
        <v>29</v>
      </c>
      <c r="Z2589" s="18">
        <v>46172</v>
      </c>
      <c r="AA2589" s="15"/>
      <c r="AB2589" s="15"/>
      <c r="AF2589" t="str">
        <f t="shared" si="174"/>
        <v>Closed in May</v>
      </c>
    </row>
    <row r="2590" spans="1:32" hidden="1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71"/>
        <v>24</v>
      </c>
      <c r="R2590" s="53" t="str">
        <f t="shared" si="172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73">
        <f t="shared" si="173"/>
        <v>29</v>
      </c>
      <c r="Z2590" s="18">
        <v>46172</v>
      </c>
      <c r="AA2590" s="15"/>
      <c r="AB2590" s="15"/>
      <c r="AF2590" t="str">
        <f t="shared" si="174"/>
        <v>Closed in May</v>
      </c>
    </row>
    <row r="2591" spans="1:32" hidden="1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71"/>
        <v>24</v>
      </c>
      <c r="R2591" s="53" t="str">
        <f t="shared" si="172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73">
        <f t="shared" si="173"/>
        <v>29</v>
      </c>
      <c r="Z2591" s="18">
        <v>46172</v>
      </c>
      <c r="AA2591" s="15"/>
      <c r="AB2591" s="15"/>
      <c r="AF2591" t="str">
        <f t="shared" si="174"/>
        <v>Closed in May</v>
      </c>
    </row>
    <row r="2592" spans="1:32" hidden="1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71"/>
        <v>24</v>
      </c>
      <c r="R2592" s="53" t="str">
        <f t="shared" si="172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73">
        <f t="shared" si="173"/>
        <v>29</v>
      </c>
      <c r="Z2592" s="18">
        <v>46172</v>
      </c>
      <c r="AA2592" s="15"/>
      <c r="AB2592" s="15"/>
      <c r="AF2592" t="str">
        <f t="shared" si="174"/>
        <v>Closed in May</v>
      </c>
    </row>
    <row r="2593" spans="1:32" hidden="1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71"/>
        <v>24</v>
      </c>
      <c r="R2593" s="53" t="str">
        <f t="shared" si="172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73">
        <f t="shared" si="173"/>
        <v>29</v>
      </c>
      <c r="Z2593" s="18">
        <v>46172</v>
      </c>
      <c r="AA2593" s="15"/>
      <c r="AB2593" s="15"/>
      <c r="AF2593" t="str">
        <f t="shared" si="174"/>
        <v>Closed in May</v>
      </c>
    </row>
    <row r="2594" spans="1:32" hidden="1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71"/>
        <v>24</v>
      </c>
      <c r="R2594" s="53" t="str">
        <f t="shared" si="172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73">
        <f t="shared" si="173"/>
        <v>29</v>
      </c>
      <c r="Z2594" s="18">
        <v>46172</v>
      </c>
      <c r="AA2594" s="15"/>
      <c r="AB2594" s="15"/>
      <c r="AF2594" t="str">
        <f t="shared" si="174"/>
        <v>Closed in May</v>
      </c>
    </row>
    <row r="2595" spans="1:32" hidden="1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71"/>
        <v>24</v>
      </c>
      <c r="R2595" s="53" t="str">
        <f t="shared" si="172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73">
        <f t="shared" si="173"/>
        <v>29</v>
      </c>
      <c r="Z2595" s="18">
        <v>46172</v>
      </c>
      <c r="AA2595" s="15"/>
      <c r="AB2595" s="15"/>
      <c r="AF2595" t="str">
        <f t="shared" si="174"/>
        <v>Closed in May</v>
      </c>
    </row>
    <row r="2596" spans="1:32" hidden="1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71"/>
        <v>24</v>
      </c>
      <c r="R2596" s="53" t="str">
        <f t="shared" si="172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73">
        <f t="shared" si="173"/>
        <v>29</v>
      </c>
      <c r="Z2596" s="18">
        <v>46172</v>
      </c>
      <c r="AA2596" s="15"/>
      <c r="AB2596" s="15"/>
      <c r="AF2596" t="str">
        <f t="shared" si="174"/>
        <v>Closed in May</v>
      </c>
    </row>
    <row r="2597" spans="1:32" hidden="1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71"/>
        <v>24</v>
      </c>
      <c r="R2597" s="53" t="str">
        <f t="shared" si="172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73">
        <f t="shared" si="173"/>
        <v>29</v>
      </c>
      <c r="Z2597" s="18">
        <v>46172</v>
      </c>
      <c r="AA2597" s="15"/>
      <c r="AB2597" s="15"/>
      <c r="AF2597" t="str">
        <f t="shared" si="174"/>
        <v>Closed in May</v>
      </c>
    </row>
    <row r="2598" spans="1:32" hidden="1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71"/>
        <v>24</v>
      </c>
      <c r="R2598" s="53" t="str">
        <f t="shared" si="172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73">
        <f t="shared" si="173"/>
        <v>29</v>
      </c>
      <c r="Z2598" s="18">
        <v>46172</v>
      </c>
      <c r="AA2598" s="15"/>
      <c r="AB2598" s="15"/>
      <c r="AF2598" t="str">
        <f t="shared" si="174"/>
        <v>Closed in May</v>
      </c>
    </row>
    <row r="2599" spans="1:32" hidden="1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75">MID(P2599,5,2)</f>
        <v>24</v>
      </c>
      <c r="R2599" s="53" t="str">
        <f t="shared" ref="R2599:R2662" si="17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73">
        <f t="shared" si="173"/>
        <v>29</v>
      </c>
      <c r="Z2599" s="18">
        <v>46172</v>
      </c>
      <c r="AA2599" s="15"/>
      <c r="AB2599" s="15"/>
      <c r="AF2599" t="str">
        <f t="shared" si="174"/>
        <v>Closed in May</v>
      </c>
    </row>
    <row r="2600" spans="1:32" hidden="1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75"/>
        <v>24</v>
      </c>
      <c r="R2600" s="53" t="str">
        <f t="shared" si="17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73">
        <f t="shared" si="173"/>
        <v>29</v>
      </c>
      <c r="Z2600" s="18">
        <v>46172</v>
      </c>
      <c r="AA2600" s="15"/>
      <c r="AB2600" s="15"/>
      <c r="AF2600" t="str">
        <f t="shared" si="174"/>
        <v>Closed in May</v>
      </c>
    </row>
    <row r="2601" spans="1:32" hidden="1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75"/>
        <v>24</v>
      </c>
      <c r="R2601" s="53" t="str">
        <f t="shared" si="17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73">
        <f t="shared" si="173"/>
        <v>29</v>
      </c>
      <c r="Z2601" s="18">
        <v>46172</v>
      </c>
      <c r="AA2601" s="15"/>
      <c r="AB2601" s="15"/>
      <c r="AF2601" t="str">
        <f t="shared" si="174"/>
        <v>Closed in May</v>
      </c>
    </row>
    <row r="2602" spans="1:32" hidden="1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75"/>
        <v>24</v>
      </c>
      <c r="R2602" s="53" t="str">
        <f t="shared" si="17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73">
        <f t="shared" si="173"/>
        <v>29</v>
      </c>
      <c r="Z2602" s="18">
        <v>46172</v>
      </c>
      <c r="AA2602" s="15"/>
      <c r="AB2602" s="15"/>
      <c r="AF2602" t="str">
        <f t="shared" si="174"/>
        <v>Closed in May</v>
      </c>
    </row>
    <row r="2603" spans="1:32" hidden="1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75"/>
        <v>24</v>
      </c>
      <c r="R2603" s="53" t="str">
        <f t="shared" si="17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73">
        <f t="shared" si="173"/>
        <v>29</v>
      </c>
      <c r="Z2603" s="18">
        <v>46172</v>
      </c>
      <c r="AA2603" s="15"/>
      <c r="AB2603" s="15"/>
      <c r="AF2603" t="str">
        <f t="shared" si="174"/>
        <v>Closed in May</v>
      </c>
    </row>
    <row r="2604" spans="1:32" hidden="1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75"/>
        <v>24</v>
      </c>
      <c r="R2604" s="53" t="str">
        <f t="shared" si="17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73">
        <f t="shared" si="173"/>
        <v>29</v>
      </c>
      <c r="Z2604" s="18">
        <v>46172</v>
      </c>
      <c r="AA2604" s="15"/>
      <c r="AB2604" s="15"/>
      <c r="AF2604" t="str">
        <f t="shared" si="174"/>
        <v>Closed in May</v>
      </c>
    </row>
    <row r="2605" spans="1:32" hidden="1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75"/>
        <v>24</v>
      </c>
      <c r="R2605" s="53" t="str">
        <f t="shared" si="17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73">
        <f t="shared" si="173"/>
        <v>29</v>
      </c>
      <c r="Z2605" s="18">
        <v>46172</v>
      </c>
      <c r="AA2605" s="15"/>
      <c r="AB2605" s="15"/>
      <c r="AF2605" t="str">
        <f t="shared" si="174"/>
        <v>Closed in May</v>
      </c>
    </row>
    <row r="2606" spans="1:32" hidden="1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75"/>
        <v>24</v>
      </c>
      <c r="R2606" s="53" t="str">
        <f t="shared" si="17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73">
        <f t="shared" si="173"/>
        <v>29</v>
      </c>
      <c r="Z2606" s="18">
        <v>46172</v>
      </c>
      <c r="AA2606" s="15"/>
      <c r="AB2606" s="15"/>
      <c r="AF2606" t="str">
        <f t="shared" si="174"/>
        <v>Closed in May</v>
      </c>
    </row>
    <row r="2607" spans="1:32" hidden="1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75"/>
        <v>24</v>
      </c>
      <c r="R2607" s="53" t="str">
        <f t="shared" si="17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73">
        <f t="shared" si="173"/>
        <v>29</v>
      </c>
      <c r="Z2607" s="18">
        <v>46172</v>
      </c>
      <c r="AA2607" s="15"/>
      <c r="AB2607" s="15"/>
      <c r="AF2607" t="str">
        <f t="shared" si="174"/>
        <v>Closed in May</v>
      </c>
    </row>
    <row r="2608" spans="1:32" hidden="1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75"/>
        <v>24</v>
      </c>
      <c r="R2608" s="53" t="str">
        <f t="shared" si="17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73">
        <f t="shared" si="173"/>
        <v>29</v>
      </c>
      <c r="Z2608" s="18">
        <v>46172</v>
      </c>
      <c r="AA2608" s="15"/>
      <c r="AB2608" s="15"/>
      <c r="AF2608" t="str">
        <f t="shared" si="174"/>
        <v>Closed in May</v>
      </c>
    </row>
    <row r="2609" spans="1:32" hidden="1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75"/>
        <v>24</v>
      </c>
      <c r="R2609" s="53" t="str">
        <f t="shared" si="17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73">
        <f t="shared" si="173"/>
        <v>29</v>
      </c>
      <c r="Z2609" s="18">
        <v>46172</v>
      </c>
      <c r="AA2609" s="15"/>
      <c r="AB2609" s="15"/>
      <c r="AF2609" t="str">
        <f t="shared" si="174"/>
        <v>Closed in May</v>
      </c>
    </row>
    <row r="2610" spans="1:32" hidden="1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75"/>
        <v>24</v>
      </c>
      <c r="R2610" s="53" t="str">
        <f t="shared" si="17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73">
        <f t="shared" si="173"/>
        <v>29</v>
      </c>
      <c r="Z2610" s="18">
        <v>46172</v>
      </c>
      <c r="AA2610" s="15"/>
      <c r="AB2610" s="15"/>
      <c r="AF2610" t="str">
        <f t="shared" si="174"/>
        <v>Closed in May</v>
      </c>
    </row>
    <row r="2611" spans="1:32" hidden="1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75"/>
        <v>24</v>
      </c>
      <c r="R2611" s="53" t="str">
        <f t="shared" si="17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73">
        <f t="shared" si="173"/>
        <v>29</v>
      </c>
      <c r="Z2611" s="18">
        <v>46172</v>
      </c>
      <c r="AA2611" s="15"/>
      <c r="AB2611" s="15"/>
      <c r="AF2611" t="str">
        <f t="shared" si="174"/>
        <v>Closed in May</v>
      </c>
    </row>
    <row r="2612" spans="1:32" hidden="1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75"/>
        <v>24</v>
      </c>
      <c r="R2612" s="53" t="str">
        <f t="shared" si="17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73">
        <f t="shared" si="173"/>
        <v>29</v>
      </c>
      <c r="Z2612" s="18">
        <v>46172</v>
      </c>
      <c r="AA2612" s="15"/>
      <c r="AB2612" s="15"/>
      <c r="AF2612" t="str">
        <f t="shared" si="174"/>
        <v>Closed in May</v>
      </c>
    </row>
    <row r="2613" spans="1:32" hidden="1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75"/>
        <v>24</v>
      </c>
      <c r="R2613" s="53" t="str">
        <f t="shared" si="17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73">
        <f t="shared" si="173"/>
        <v>29</v>
      </c>
      <c r="Z2613" s="18">
        <v>46172</v>
      </c>
      <c r="AA2613" s="15"/>
      <c r="AB2613" s="15"/>
      <c r="AF2613" t="str">
        <f t="shared" si="174"/>
        <v>Closed in May</v>
      </c>
    </row>
    <row r="2614" spans="1:32" hidden="1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75"/>
        <v>24</v>
      </c>
      <c r="R2614" s="53" t="str">
        <f t="shared" si="17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73">
        <f t="shared" si="173"/>
        <v>29</v>
      </c>
      <c r="Z2614" s="18">
        <v>46172</v>
      </c>
      <c r="AA2614" s="15"/>
      <c r="AB2614" s="15"/>
      <c r="AF2614" t="str">
        <f t="shared" si="174"/>
        <v>Closed in May</v>
      </c>
    </row>
    <row r="2615" spans="1:32" hidden="1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75"/>
        <v>24</v>
      </c>
      <c r="R2615" s="53" t="str">
        <f t="shared" si="17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73">
        <f t="shared" si="173"/>
        <v>29</v>
      </c>
      <c r="Z2615" s="18">
        <v>46172</v>
      </c>
      <c r="AA2615" s="15"/>
      <c r="AB2615" s="15"/>
      <c r="AF2615" t="str">
        <f t="shared" si="174"/>
        <v>Closed in May</v>
      </c>
    </row>
    <row r="2616" spans="1:32" hidden="1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75"/>
        <v>24</v>
      </c>
      <c r="R2616" s="53" t="str">
        <f t="shared" si="17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73">
        <f t="shared" si="173"/>
        <v>29</v>
      </c>
      <c r="Z2616" s="18">
        <v>46172</v>
      </c>
      <c r="AA2616" s="15"/>
      <c r="AB2616" s="15"/>
      <c r="AF2616" t="str">
        <f t="shared" si="174"/>
        <v>Closed in May</v>
      </c>
    </row>
    <row r="2617" spans="1:32" hidden="1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75"/>
        <v>24</v>
      </c>
      <c r="R2617" s="53" t="str">
        <f t="shared" si="17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73">
        <f t="shared" si="173"/>
        <v>29</v>
      </c>
      <c r="Z2617" s="18">
        <v>46172</v>
      </c>
      <c r="AA2617" s="15"/>
      <c r="AB2617" s="15"/>
      <c r="AF2617" t="str">
        <f t="shared" si="174"/>
        <v>Closed in May</v>
      </c>
    </row>
    <row r="2618" spans="1:32" hidden="1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75"/>
        <v>24</v>
      </c>
      <c r="R2618" s="53" t="str">
        <f t="shared" si="17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73">
        <f t="shared" si="173"/>
        <v>29</v>
      </c>
      <c r="Z2618" s="18">
        <v>46172</v>
      </c>
      <c r="AA2618" s="15"/>
      <c r="AB2618" s="15"/>
      <c r="AF2618" t="str">
        <f t="shared" si="174"/>
        <v>Closed in May</v>
      </c>
    </row>
    <row r="2619" spans="1:32" hidden="1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75"/>
        <v>24</v>
      </c>
      <c r="R2619" s="53" t="str">
        <f t="shared" si="17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73">
        <f t="shared" si="173"/>
        <v>30</v>
      </c>
      <c r="Z2619" s="18">
        <v>46173</v>
      </c>
      <c r="AA2619" s="15"/>
      <c r="AB2619" s="15"/>
      <c r="AF2619" t="str">
        <f t="shared" si="174"/>
        <v>Closed in May</v>
      </c>
    </row>
    <row r="2620" spans="1:32" hidden="1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75"/>
        <v>24</v>
      </c>
      <c r="R2620" s="53" t="str">
        <f t="shared" si="17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73">
        <f t="shared" si="173"/>
        <v>30</v>
      </c>
      <c r="Z2620" s="18">
        <v>46173</v>
      </c>
      <c r="AA2620" s="15"/>
      <c r="AB2620" s="15"/>
      <c r="AF2620" t="str">
        <f t="shared" si="174"/>
        <v>Closed in May</v>
      </c>
    </row>
    <row r="2621" spans="1:32" hidden="1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75"/>
        <v>24</v>
      </c>
      <c r="R2621" s="53" t="str">
        <f t="shared" si="17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73">
        <f t="shared" si="173"/>
        <v>30</v>
      </c>
      <c r="Z2621" s="18">
        <v>46173</v>
      </c>
      <c r="AA2621" s="15"/>
      <c r="AB2621" s="15"/>
      <c r="AF2621" t="str">
        <f t="shared" si="174"/>
        <v>Closed in May</v>
      </c>
    </row>
    <row r="2622" spans="1:32" hidden="1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75"/>
        <v>24</v>
      </c>
      <c r="R2622" s="53" t="str">
        <f t="shared" si="17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73">
        <f t="shared" si="173"/>
        <v>30</v>
      </c>
      <c r="Z2622" s="18">
        <v>46173</v>
      </c>
      <c r="AA2622" s="15"/>
      <c r="AB2622" s="15"/>
      <c r="AF2622" t="str">
        <f t="shared" si="174"/>
        <v>Closed in May</v>
      </c>
    </row>
    <row r="2623" spans="1:32" hidden="1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75"/>
        <v>24</v>
      </c>
      <c r="R2623" s="53" t="str">
        <f t="shared" si="17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73">
        <f t="shared" si="173"/>
        <v>30</v>
      </c>
      <c r="Z2623" s="18">
        <v>46173</v>
      </c>
      <c r="AA2623" s="15"/>
      <c r="AB2623" s="15"/>
      <c r="AF2623" t="str">
        <f t="shared" si="174"/>
        <v>Closed in May</v>
      </c>
    </row>
    <row r="2624" spans="1:32" hidden="1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75"/>
        <v>24</v>
      </c>
      <c r="R2624" s="53" t="str">
        <f t="shared" si="17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73">
        <f t="shared" si="173"/>
        <v>30</v>
      </c>
      <c r="Z2624" s="18">
        <v>46173</v>
      </c>
      <c r="AA2624" s="15"/>
      <c r="AB2624" s="15"/>
      <c r="AF2624" t="str">
        <f t="shared" si="174"/>
        <v>Closed in May</v>
      </c>
    </row>
    <row r="2625" spans="1:32" hidden="1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75"/>
        <v>24</v>
      </c>
      <c r="R2625" s="53" t="str">
        <f t="shared" si="17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73">
        <f t="shared" si="173"/>
        <v>30</v>
      </c>
      <c r="Z2625" s="18">
        <v>46173</v>
      </c>
      <c r="AA2625" s="15"/>
      <c r="AB2625" s="15"/>
      <c r="AF2625" t="str">
        <f t="shared" si="174"/>
        <v>Closed in May</v>
      </c>
    </row>
    <row r="2626" spans="1:32" hidden="1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75"/>
        <v>24</v>
      </c>
      <c r="R2626" s="53" t="str">
        <f t="shared" si="17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73">
        <f t="shared" ref="Y2626:Y2680" si="177">IF(X2626="","",X2626-A2626)</f>
        <v>30</v>
      </c>
      <c r="Z2626" s="18">
        <v>46173</v>
      </c>
      <c r="AA2626" s="15"/>
      <c r="AB2626" s="15"/>
      <c r="AF2626" t="str">
        <f t="shared" ref="AF2626:AF2680" si="178">IF(AND($F2626="Closed",$X2626&gt;=DATE(2026,5,1),$X2626&lt;=DATE(2026,5,31)),"Closed in May","Other")</f>
        <v>Closed in May</v>
      </c>
    </row>
    <row r="2627" spans="1:32" hidden="1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75"/>
        <v>24</v>
      </c>
      <c r="R2627" s="53" t="str">
        <f t="shared" si="17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73">
        <f t="shared" si="177"/>
        <v>30</v>
      </c>
      <c r="Z2627" s="18">
        <v>46173</v>
      </c>
      <c r="AA2627" s="15"/>
      <c r="AB2627" s="15"/>
      <c r="AF2627" t="str">
        <f t="shared" si="178"/>
        <v>Closed in May</v>
      </c>
    </row>
    <row r="2628" spans="1:32" hidden="1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75"/>
        <v>24</v>
      </c>
      <c r="R2628" s="53" t="str">
        <f t="shared" si="17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73">
        <f t="shared" si="177"/>
        <v>30</v>
      </c>
      <c r="Z2628" s="18">
        <v>46173</v>
      </c>
      <c r="AA2628" s="15"/>
      <c r="AB2628" s="15"/>
      <c r="AF2628" t="str">
        <f t="shared" si="178"/>
        <v>Closed in May</v>
      </c>
    </row>
    <row r="2629" spans="1:32" hidden="1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75"/>
        <v>24</v>
      </c>
      <c r="R2629" s="53" t="str">
        <f t="shared" si="17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73">
        <f t="shared" si="177"/>
        <v>30</v>
      </c>
      <c r="Z2629" s="18">
        <v>46173</v>
      </c>
      <c r="AA2629" s="15"/>
      <c r="AB2629" s="15"/>
      <c r="AF2629" t="str">
        <f t="shared" si="178"/>
        <v>Closed in May</v>
      </c>
    </row>
    <row r="2630" spans="1:32" hidden="1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75"/>
        <v>24</v>
      </c>
      <c r="R2630" s="53" t="str">
        <f t="shared" si="17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73">
        <f t="shared" si="177"/>
        <v>30</v>
      </c>
      <c r="Z2630" s="18">
        <v>46173</v>
      </c>
      <c r="AA2630" s="15"/>
      <c r="AB2630" s="15"/>
      <c r="AF2630" t="str">
        <f t="shared" si="178"/>
        <v>Closed in May</v>
      </c>
    </row>
    <row r="2631" spans="1:32" hidden="1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75"/>
        <v>24</v>
      </c>
      <c r="R2631" s="53" t="str">
        <f t="shared" si="17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73">
        <f t="shared" si="177"/>
        <v>30</v>
      </c>
      <c r="Z2631" s="18">
        <v>46173</v>
      </c>
      <c r="AA2631" s="15"/>
      <c r="AB2631" s="15"/>
      <c r="AF2631" t="str">
        <f t="shared" si="178"/>
        <v>Closed in May</v>
      </c>
    </row>
    <row r="2632" spans="1:32" hidden="1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75"/>
        <v>24</v>
      </c>
      <c r="R2632" s="53" t="str">
        <f t="shared" si="17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73">
        <f t="shared" si="177"/>
        <v>30</v>
      </c>
      <c r="Z2632" s="18">
        <v>46173</v>
      </c>
      <c r="AA2632" s="15"/>
      <c r="AB2632" s="15"/>
      <c r="AF2632" t="str">
        <f t="shared" si="178"/>
        <v>Closed in May</v>
      </c>
    </row>
    <row r="2633" spans="1:32" hidden="1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75"/>
        <v>24</v>
      </c>
      <c r="R2633" s="53" t="str">
        <f t="shared" si="17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73">
        <f t="shared" si="177"/>
        <v>30</v>
      </c>
      <c r="Z2633" s="18">
        <v>46173</v>
      </c>
      <c r="AA2633" s="15"/>
      <c r="AB2633" s="15"/>
      <c r="AF2633" t="str">
        <f t="shared" si="178"/>
        <v>Closed in May</v>
      </c>
    </row>
    <row r="2634" spans="1:32" hidden="1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75"/>
        <v>24</v>
      </c>
      <c r="R2634" s="53" t="str">
        <f t="shared" si="17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73">
        <f t="shared" si="177"/>
        <v>30</v>
      </c>
      <c r="Z2634" s="18">
        <v>46173</v>
      </c>
      <c r="AA2634" s="15"/>
      <c r="AB2634" s="15"/>
      <c r="AF2634" t="str">
        <f t="shared" si="178"/>
        <v>Closed in May</v>
      </c>
    </row>
    <row r="2635" spans="1:32" hidden="1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75"/>
        <v>24</v>
      </c>
      <c r="R2635" s="53" t="str">
        <f t="shared" si="17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73">
        <f t="shared" si="177"/>
        <v>30</v>
      </c>
      <c r="Z2635" s="18">
        <v>46173</v>
      </c>
      <c r="AA2635" s="15"/>
      <c r="AB2635" s="15"/>
      <c r="AF2635" t="str">
        <f t="shared" si="178"/>
        <v>Closed in May</v>
      </c>
    </row>
    <row r="2636" spans="1:32" hidden="1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75"/>
        <v>24</v>
      </c>
      <c r="R2636" s="53" t="str">
        <f t="shared" si="17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73">
        <f t="shared" si="177"/>
        <v>30</v>
      </c>
      <c r="Z2636" s="18">
        <v>46173</v>
      </c>
      <c r="AA2636" s="15"/>
      <c r="AB2636" s="15"/>
      <c r="AF2636" t="str">
        <f t="shared" si="178"/>
        <v>Closed in May</v>
      </c>
    </row>
    <row r="2637" spans="1:32" hidden="1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75"/>
        <v>24</v>
      </c>
      <c r="R2637" s="53" t="str">
        <f t="shared" si="17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73">
        <f t="shared" si="177"/>
        <v>30</v>
      </c>
      <c r="Z2637" s="18">
        <v>46173</v>
      </c>
      <c r="AA2637" s="15"/>
      <c r="AB2637" s="15"/>
      <c r="AF2637" t="str">
        <f t="shared" si="178"/>
        <v>Closed in May</v>
      </c>
    </row>
    <row r="2638" spans="1:32" hidden="1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75"/>
        <v>24</v>
      </c>
      <c r="R2638" s="53" t="str">
        <f t="shared" si="17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73">
        <f t="shared" si="177"/>
        <v>30</v>
      </c>
      <c r="Z2638" s="18">
        <v>46173</v>
      </c>
      <c r="AA2638" s="15"/>
      <c r="AB2638" s="15"/>
      <c r="AF2638" t="str">
        <f t="shared" si="178"/>
        <v>Closed in May</v>
      </c>
    </row>
    <row r="2639" spans="1:32" hidden="1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75"/>
        <v>24</v>
      </c>
      <c r="R2639" s="53" t="str">
        <f t="shared" si="17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73">
        <f t="shared" si="177"/>
        <v>30</v>
      </c>
      <c r="Z2639" s="18">
        <v>46173</v>
      </c>
      <c r="AA2639" s="15"/>
      <c r="AB2639" s="15"/>
      <c r="AF2639" t="str">
        <f t="shared" si="178"/>
        <v>Closed in May</v>
      </c>
    </row>
    <row r="2640" spans="1:32" hidden="1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75"/>
        <v>24</v>
      </c>
      <c r="R2640" s="53" t="str">
        <f t="shared" si="17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73">
        <f t="shared" si="177"/>
        <v>30</v>
      </c>
      <c r="Z2640" s="18">
        <v>46173</v>
      </c>
      <c r="AA2640" s="15"/>
      <c r="AB2640" s="15"/>
      <c r="AF2640" t="str">
        <f t="shared" si="178"/>
        <v>Closed in May</v>
      </c>
    </row>
    <row r="2641" spans="1:32" hidden="1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75"/>
        <v>24</v>
      </c>
      <c r="R2641" s="53" t="str">
        <f t="shared" si="17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73">
        <f t="shared" si="177"/>
        <v>30</v>
      </c>
      <c r="Z2641" s="18">
        <v>46173</v>
      </c>
      <c r="AA2641" s="15"/>
      <c r="AB2641" s="15"/>
      <c r="AF2641" t="str">
        <f t="shared" si="178"/>
        <v>Closed in May</v>
      </c>
    </row>
    <row r="2642" spans="1:32" hidden="1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75"/>
        <v>24</v>
      </c>
      <c r="R2642" s="53" t="str">
        <f t="shared" si="17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73">
        <f t="shared" si="177"/>
        <v>30</v>
      </c>
      <c r="Z2642" s="18">
        <v>46173</v>
      </c>
      <c r="AA2642" s="15"/>
      <c r="AB2642" s="15"/>
      <c r="AF2642" t="str">
        <f t="shared" si="178"/>
        <v>Closed in May</v>
      </c>
    </row>
    <row r="2643" spans="1:32" hidden="1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75"/>
        <v>24</v>
      </c>
      <c r="R2643" s="53" t="str">
        <f t="shared" si="17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73">
        <f t="shared" si="177"/>
        <v>30</v>
      </c>
      <c r="Z2643" s="18">
        <v>46173</v>
      </c>
      <c r="AA2643" s="15"/>
      <c r="AB2643" s="15"/>
      <c r="AF2643" t="str">
        <f t="shared" si="178"/>
        <v>Closed in May</v>
      </c>
    </row>
    <row r="2644" spans="1:32" hidden="1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75"/>
        <v>24</v>
      </c>
      <c r="R2644" s="53" t="str">
        <f t="shared" si="17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73">
        <f t="shared" si="177"/>
        <v>30</v>
      </c>
      <c r="Z2644" s="18">
        <v>46173</v>
      </c>
      <c r="AA2644" s="15"/>
      <c r="AB2644" s="15"/>
      <c r="AF2644" t="str">
        <f t="shared" si="178"/>
        <v>Closed in May</v>
      </c>
    </row>
    <row r="2645" spans="1:32" hidden="1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75"/>
        <v>24</v>
      </c>
      <c r="R2645" s="53" t="str">
        <f t="shared" si="17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73">
        <f t="shared" si="177"/>
        <v>30</v>
      </c>
      <c r="Z2645" s="18">
        <v>46173</v>
      </c>
      <c r="AA2645" s="15"/>
      <c r="AB2645" s="15"/>
      <c r="AF2645" t="str">
        <f t="shared" si="178"/>
        <v>Closed in May</v>
      </c>
    </row>
    <row r="2646" spans="1:32" hidden="1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75"/>
        <v>24</v>
      </c>
      <c r="R2646" s="53" t="str">
        <f t="shared" si="17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73">
        <f t="shared" si="177"/>
        <v>30</v>
      </c>
      <c r="Z2646" s="18">
        <v>46173</v>
      </c>
      <c r="AA2646" s="15"/>
      <c r="AB2646" s="15"/>
      <c r="AF2646" t="str">
        <f t="shared" si="178"/>
        <v>Closed in May</v>
      </c>
    </row>
    <row r="2647" spans="1:32" hidden="1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75"/>
        <v>24</v>
      </c>
      <c r="R2647" s="53" t="str">
        <f t="shared" si="17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73">
        <f t="shared" si="177"/>
        <v>30</v>
      </c>
      <c r="Z2647" s="18">
        <v>46173</v>
      </c>
      <c r="AA2647" s="15"/>
      <c r="AB2647" s="15"/>
      <c r="AF2647" t="str">
        <f t="shared" si="178"/>
        <v>Closed in May</v>
      </c>
    </row>
    <row r="2648" spans="1:32" hidden="1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75"/>
        <v>24</v>
      </c>
      <c r="R2648" s="53" t="str">
        <f t="shared" si="17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73">
        <f t="shared" si="177"/>
        <v>30</v>
      </c>
      <c r="Z2648" s="18">
        <v>46173</v>
      </c>
      <c r="AA2648" s="15"/>
      <c r="AB2648" s="15"/>
      <c r="AF2648" t="str">
        <f t="shared" si="178"/>
        <v>Closed in May</v>
      </c>
    </row>
    <row r="2649" spans="1:32" hidden="1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75"/>
        <v>24</v>
      </c>
      <c r="R2649" s="53" t="str">
        <f t="shared" si="17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73">
        <f t="shared" si="177"/>
        <v>30</v>
      </c>
      <c r="Z2649" s="18">
        <v>46173</v>
      </c>
      <c r="AA2649" s="15"/>
      <c r="AB2649" s="15"/>
      <c r="AF2649" t="str">
        <f t="shared" si="178"/>
        <v>Closed in May</v>
      </c>
    </row>
    <row r="2650" spans="1:32" hidden="1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75"/>
        <v>24</v>
      </c>
      <c r="R2650" s="53" t="str">
        <f t="shared" si="17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73">
        <f t="shared" si="177"/>
        <v>30</v>
      </c>
      <c r="Z2650" s="18">
        <v>46173</v>
      </c>
      <c r="AA2650" s="15"/>
      <c r="AB2650" s="15"/>
      <c r="AF2650" t="str">
        <f t="shared" si="178"/>
        <v>Closed in May</v>
      </c>
    </row>
    <row r="2651" spans="1:32" hidden="1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75"/>
        <v>24</v>
      </c>
      <c r="R2651" s="53" t="str">
        <f t="shared" si="17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73">
        <f t="shared" si="177"/>
        <v>30</v>
      </c>
      <c r="Z2651" s="18">
        <v>46173</v>
      </c>
      <c r="AA2651" s="15"/>
      <c r="AB2651" s="15"/>
      <c r="AF2651" t="str">
        <f t="shared" si="178"/>
        <v>Closed in May</v>
      </c>
    </row>
    <row r="2652" spans="1:32" hidden="1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75"/>
        <v>24</v>
      </c>
      <c r="R2652" s="53" t="str">
        <f t="shared" si="17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73">
        <f t="shared" si="177"/>
        <v>30</v>
      </c>
      <c r="Z2652" s="18">
        <v>46173</v>
      </c>
      <c r="AA2652" s="15"/>
      <c r="AB2652" s="15"/>
      <c r="AF2652" t="str">
        <f t="shared" si="178"/>
        <v>Closed in May</v>
      </c>
    </row>
    <row r="2653" spans="1:32" hidden="1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75"/>
        <v>24</v>
      </c>
      <c r="R2653" s="53" t="str">
        <f t="shared" si="17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73">
        <f t="shared" si="177"/>
        <v>30</v>
      </c>
      <c r="Z2653" s="18">
        <v>46173</v>
      </c>
      <c r="AA2653" s="15"/>
      <c r="AB2653" s="15"/>
      <c r="AF2653" t="str">
        <f t="shared" si="178"/>
        <v>Closed in May</v>
      </c>
    </row>
    <row r="2654" spans="1:32" hidden="1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75"/>
        <v>24</v>
      </c>
      <c r="R2654" s="53" t="str">
        <f t="shared" si="17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73">
        <f t="shared" si="177"/>
        <v>30</v>
      </c>
      <c r="Z2654" s="18">
        <v>46173</v>
      </c>
      <c r="AA2654" s="15"/>
      <c r="AB2654" s="15"/>
      <c r="AF2654" t="str">
        <f t="shared" si="178"/>
        <v>Closed in May</v>
      </c>
    </row>
    <row r="2655" spans="1:32" hidden="1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75"/>
        <v>24</v>
      </c>
      <c r="R2655" s="53" t="str">
        <f t="shared" si="17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73">
        <f t="shared" si="177"/>
        <v>30</v>
      </c>
      <c r="Z2655" s="18">
        <v>46173</v>
      </c>
      <c r="AA2655" s="15"/>
      <c r="AB2655" s="15"/>
      <c r="AF2655" t="str">
        <f t="shared" si="178"/>
        <v>Closed in May</v>
      </c>
    </row>
    <row r="2656" spans="1:32" hidden="1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75"/>
        <v>24</v>
      </c>
      <c r="R2656" s="53" t="str">
        <f t="shared" si="17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73">
        <f t="shared" si="177"/>
        <v>30</v>
      </c>
      <c r="Z2656" s="18">
        <v>46173</v>
      </c>
      <c r="AA2656" s="15"/>
      <c r="AB2656" s="15"/>
      <c r="AF2656" t="str">
        <f t="shared" si="178"/>
        <v>Closed in May</v>
      </c>
    </row>
    <row r="2657" spans="1:32" hidden="1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75"/>
        <v>24</v>
      </c>
      <c r="R2657" s="53" t="str">
        <f t="shared" si="17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73">
        <f t="shared" si="177"/>
        <v>30</v>
      </c>
      <c r="Z2657" s="18">
        <v>46173</v>
      </c>
      <c r="AA2657" s="15"/>
      <c r="AB2657" s="15"/>
      <c r="AF2657" t="str">
        <f t="shared" si="178"/>
        <v>Closed in May</v>
      </c>
    </row>
    <row r="2658" spans="1:32" hidden="1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75"/>
        <v>24</v>
      </c>
      <c r="R2658" s="53" t="str">
        <f t="shared" si="17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73">
        <f t="shared" si="177"/>
        <v>30</v>
      </c>
      <c r="Z2658" s="18">
        <v>46173</v>
      </c>
      <c r="AA2658" s="15"/>
      <c r="AB2658" s="15"/>
      <c r="AF2658" t="str">
        <f t="shared" si="178"/>
        <v>Closed in May</v>
      </c>
    </row>
    <row r="2659" spans="1:32" hidden="1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75"/>
        <v>24</v>
      </c>
      <c r="R2659" s="53" t="str">
        <f t="shared" si="17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73">
        <f t="shared" si="177"/>
        <v>30</v>
      </c>
      <c r="Z2659" s="18">
        <v>46173</v>
      </c>
      <c r="AA2659" s="15"/>
      <c r="AB2659" s="15"/>
      <c r="AF2659" t="str">
        <f t="shared" si="178"/>
        <v>Closed in May</v>
      </c>
    </row>
    <row r="2660" spans="1:32" hidden="1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75"/>
        <v>24</v>
      </c>
      <c r="R2660" s="53" t="str">
        <f t="shared" si="17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73">
        <f t="shared" si="177"/>
        <v>30</v>
      </c>
      <c r="Z2660" s="18">
        <v>46173</v>
      </c>
      <c r="AA2660" s="15"/>
      <c r="AB2660" s="15"/>
      <c r="AF2660" t="str">
        <f t="shared" si="178"/>
        <v>Closed in May</v>
      </c>
    </row>
    <row r="2661" spans="1:32" hidden="1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75"/>
        <v>24</v>
      </c>
      <c r="R2661" s="53" t="str">
        <f t="shared" si="17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73">
        <f t="shared" si="177"/>
        <v>30</v>
      </c>
      <c r="Z2661" s="18">
        <v>46173</v>
      </c>
      <c r="AA2661" s="15"/>
      <c r="AB2661" s="15"/>
      <c r="AF2661" t="str">
        <f t="shared" si="178"/>
        <v>Closed in May</v>
      </c>
    </row>
    <row r="2662" spans="1:32" hidden="1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75"/>
        <v>24</v>
      </c>
      <c r="R2662" s="53" t="str">
        <f t="shared" si="17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73">
        <f t="shared" si="177"/>
        <v>30</v>
      </c>
      <c r="Z2662" s="18">
        <v>46173</v>
      </c>
      <c r="AA2662" s="15"/>
      <c r="AB2662" s="15"/>
      <c r="AF2662" t="str">
        <f t="shared" si="178"/>
        <v>Closed in May</v>
      </c>
    </row>
    <row r="2663" spans="1:32" hidden="1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680" si="179">MID(P2663,5,2)</f>
        <v>24</v>
      </c>
      <c r="R2663" s="53" t="str">
        <f t="shared" ref="R2663:R2680" si="180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73">
        <f t="shared" si="177"/>
        <v>30</v>
      </c>
      <c r="Z2663" s="18">
        <v>46173</v>
      </c>
      <c r="AA2663" s="15"/>
      <c r="AB2663" s="15"/>
      <c r="AF2663" t="str">
        <f t="shared" si="178"/>
        <v>Closed in May</v>
      </c>
    </row>
    <row r="2664" spans="1:32" hidden="1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79"/>
        <v>24</v>
      </c>
      <c r="R2664" s="53" t="str">
        <f t="shared" si="180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73">
        <f t="shared" si="177"/>
        <v>30</v>
      </c>
      <c r="Z2664" s="18">
        <v>46173</v>
      </c>
      <c r="AA2664" s="15"/>
      <c r="AB2664" s="15"/>
      <c r="AF2664" t="str">
        <f t="shared" si="178"/>
        <v>Closed in May</v>
      </c>
    </row>
    <row r="2665" spans="1:32" hidden="1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79"/>
        <v>24</v>
      </c>
      <c r="R2665" s="53" t="str">
        <f t="shared" si="180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73">
        <f t="shared" si="177"/>
        <v>30</v>
      </c>
      <c r="Z2665" s="18">
        <v>46173</v>
      </c>
      <c r="AA2665" s="15"/>
      <c r="AB2665" s="15"/>
      <c r="AF2665" t="str">
        <f t="shared" si="178"/>
        <v>Closed in May</v>
      </c>
    </row>
    <row r="2666" spans="1:32" hidden="1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79"/>
        <v>24</v>
      </c>
      <c r="R2666" s="53" t="str">
        <f t="shared" si="180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73">
        <f t="shared" si="177"/>
        <v>30</v>
      </c>
      <c r="Z2666" s="18">
        <v>46173</v>
      </c>
      <c r="AA2666" s="15"/>
      <c r="AB2666" s="15"/>
      <c r="AF2666" t="str">
        <f t="shared" si="178"/>
        <v>Closed in May</v>
      </c>
    </row>
    <row r="2667" spans="1:32" hidden="1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79"/>
        <v>24</v>
      </c>
      <c r="R2667" s="53" t="str">
        <f t="shared" si="180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73">
        <f t="shared" si="177"/>
        <v>30</v>
      </c>
      <c r="Z2667" s="18">
        <v>46173</v>
      </c>
      <c r="AA2667" s="15"/>
      <c r="AB2667" s="15"/>
      <c r="AF2667" t="str">
        <f t="shared" si="178"/>
        <v>Closed in May</v>
      </c>
    </row>
    <row r="2668" spans="1:32" hidden="1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79"/>
        <v>24</v>
      </c>
      <c r="R2668" s="53" t="str">
        <f t="shared" si="180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73">
        <f t="shared" si="177"/>
        <v>30</v>
      </c>
      <c r="Z2668" s="18">
        <v>46173</v>
      </c>
      <c r="AA2668" s="15"/>
      <c r="AB2668" s="15"/>
      <c r="AF2668" t="str">
        <f t="shared" si="178"/>
        <v>Closed in May</v>
      </c>
    </row>
    <row r="2669" spans="1:32" hidden="1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79"/>
        <v>24</v>
      </c>
      <c r="R2669" s="53" t="str">
        <f t="shared" si="180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73">
        <f t="shared" si="177"/>
        <v>30</v>
      </c>
      <c r="Z2669" s="18">
        <v>46173</v>
      </c>
      <c r="AA2669" s="15"/>
      <c r="AB2669" s="15"/>
      <c r="AF2669" t="str">
        <f t="shared" si="178"/>
        <v>Closed in May</v>
      </c>
    </row>
    <row r="2670" spans="1:32" hidden="1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79"/>
        <v>24</v>
      </c>
      <c r="R2670" s="53" t="str">
        <f t="shared" si="180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73">
        <f t="shared" si="177"/>
        <v>30</v>
      </c>
      <c r="Z2670" s="18">
        <v>46173</v>
      </c>
      <c r="AA2670" s="15"/>
      <c r="AB2670" s="15"/>
      <c r="AF2670" t="str">
        <f t="shared" si="178"/>
        <v>Closed in May</v>
      </c>
    </row>
    <row r="2671" spans="1:32" hidden="1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79"/>
        <v>24</v>
      </c>
      <c r="R2671" s="53" t="str">
        <f t="shared" si="180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73">
        <f t="shared" si="177"/>
        <v>30</v>
      </c>
      <c r="Z2671" s="18">
        <v>46173</v>
      </c>
      <c r="AA2671" s="15"/>
      <c r="AB2671" s="15"/>
      <c r="AF2671" t="str">
        <f t="shared" si="178"/>
        <v>Closed in May</v>
      </c>
    </row>
    <row r="2672" spans="1:32" hidden="1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79"/>
        <v>24</v>
      </c>
      <c r="R2672" s="53" t="str">
        <f t="shared" si="180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73">
        <f t="shared" si="177"/>
        <v>30</v>
      </c>
      <c r="Z2672" s="18">
        <v>46173</v>
      </c>
      <c r="AA2672" s="15"/>
      <c r="AB2672" s="15"/>
      <c r="AF2672" t="str">
        <f t="shared" si="178"/>
        <v>Closed in May</v>
      </c>
    </row>
    <row r="2673" spans="1:32" hidden="1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79"/>
        <v>24</v>
      </c>
      <c r="R2673" s="53" t="str">
        <f t="shared" si="180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73">
        <f t="shared" si="177"/>
        <v>30</v>
      </c>
      <c r="Z2673" s="18">
        <v>46173</v>
      </c>
      <c r="AA2673" s="15"/>
      <c r="AB2673" s="15"/>
      <c r="AF2673" t="str">
        <f t="shared" si="178"/>
        <v>Closed in May</v>
      </c>
    </row>
    <row r="2674" spans="1:32" hidden="1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79"/>
        <v>24</v>
      </c>
      <c r="R2674" s="53" t="str">
        <f t="shared" si="180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73">
        <f t="shared" si="177"/>
        <v>30</v>
      </c>
      <c r="Z2674" s="18">
        <v>46173</v>
      </c>
      <c r="AA2674" s="15"/>
      <c r="AB2674" s="15"/>
      <c r="AF2674" t="str">
        <f t="shared" si="178"/>
        <v>Closed in May</v>
      </c>
    </row>
    <row r="2675" spans="1:32" hidden="1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79"/>
        <v>24</v>
      </c>
      <c r="R2675" s="53" t="str">
        <f t="shared" si="180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73">
        <f t="shared" si="177"/>
        <v>30</v>
      </c>
      <c r="Z2675" s="18">
        <v>46173</v>
      </c>
      <c r="AA2675" s="15"/>
      <c r="AB2675" s="15"/>
      <c r="AF2675" t="str">
        <f t="shared" si="178"/>
        <v>Closed in May</v>
      </c>
    </row>
    <row r="2676" spans="1:32" hidden="1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79"/>
        <v>24</v>
      </c>
      <c r="R2676" s="53" t="str">
        <f t="shared" si="180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73">
        <f t="shared" si="177"/>
        <v>30</v>
      </c>
      <c r="Z2676" s="18">
        <v>46173</v>
      </c>
      <c r="AA2676" s="15"/>
      <c r="AB2676" s="15"/>
      <c r="AF2676" t="str">
        <f t="shared" si="178"/>
        <v>Closed in May</v>
      </c>
    </row>
    <row r="2677" spans="1:32" hidden="1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79"/>
        <v>24</v>
      </c>
      <c r="R2677" s="53" t="str">
        <f t="shared" si="180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73">
        <f t="shared" si="177"/>
        <v>30</v>
      </c>
      <c r="Z2677" s="18">
        <v>46173</v>
      </c>
      <c r="AA2677" s="15"/>
      <c r="AB2677" s="15"/>
      <c r="AF2677" t="str">
        <f t="shared" si="178"/>
        <v>Closed in May</v>
      </c>
    </row>
    <row r="2678" spans="1:32" hidden="1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79"/>
        <v>24</v>
      </c>
      <c r="R2678" s="53" t="str">
        <f t="shared" si="180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73">
        <f t="shared" si="177"/>
        <v>30</v>
      </c>
      <c r="Z2678" s="18">
        <v>46173</v>
      </c>
      <c r="AA2678" s="15"/>
      <c r="AB2678" s="15"/>
      <c r="AF2678" t="str">
        <f t="shared" si="178"/>
        <v>Closed in May</v>
      </c>
    </row>
    <row r="2679" spans="1:32" hidden="1">
      <c r="A2679" s="175">
        <v>46143</v>
      </c>
      <c r="B2679" s="176">
        <v>2026</v>
      </c>
      <c r="C2679" s="177" t="s">
        <v>879</v>
      </c>
      <c r="D2679" s="176" t="s">
        <v>54</v>
      </c>
      <c r="E2679" s="176"/>
      <c r="F2679" s="176" t="s">
        <v>31</v>
      </c>
      <c r="G2679" s="178" t="s">
        <v>880</v>
      </c>
      <c r="H2679" s="177">
        <v>9983975581</v>
      </c>
      <c r="I2679" s="179" t="s">
        <v>881</v>
      </c>
      <c r="J2679" s="177" t="s">
        <v>882</v>
      </c>
      <c r="K2679" s="180" t="s">
        <v>883</v>
      </c>
      <c r="L2679" s="180" t="s">
        <v>49</v>
      </c>
      <c r="M2679" s="178" t="s">
        <v>119</v>
      </c>
      <c r="N2679" s="176" t="s">
        <v>50</v>
      </c>
      <c r="O2679" s="182">
        <v>575</v>
      </c>
      <c r="P2679" s="47" t="s">
        <v>2922</v>
      </c>
      <c r="Q2679" s="183" t="str">
        <f t="shared" si="179"/>
        <v>24</v>
      </c>
      <c r="R2679" s="184" t="str">
        <f t="shared" si="180"/>
        <v>07</v>
      </c>
      <c r="S2679" s="176" t="s">
        <v>121</v>
      </c>
      <c r="T2679" s="176" t="s">
        <v>122</v>
      </c>
      <c r="U2679" s="181" t="s">
        <v>51</v>
      </c>
      <c r="V2679" s="181" t="s">
        <v>52</v>
      </c>
      <c r="W2679" s="176" t="s">
        <v>43</v>
      </c>
      <c r="X2679" s="185">
        <v>46173</v>
      </c>
      <c r="Y2679" s="186">
        <f t="shared" si="177"/>
        <v>30</v>
      </c>
      <c r="Z2679" s="185">
        <v>46173</v>
      </c>
      <c r="AA2679" s="187"/>
      <c r="AB2679" s="187"/>
      <c r="AF2679" t="str">
        <f t="shared" si="178"/>
        <v>Closed in May</v>
      </c>
    </row>
    <row r="2680" spans="1:32" s="201" customFormat="1" hidden="1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199" t="s">
        <v>2923</v>
      </c>
      <c r="N2680" s="19" t="s">
        <v>305</v>
      </c>
      <c r="O2680" s="56">
        <v>575</v>
      </c>
      <c r="P2680" s="200" t="s">
        <v>2924</v>
      </c>
      <c r="Q2680" s="54" t="str">
        <f t="shared" si="179"/>
        <v>24</v>
      </c>
      <c r="R2680" s="53" t="str">
        <f t="shared" si="180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43</v>
      </c>
      <c r="X2680" s="18">
        <v>46173</v>
      </c>
      <c r="Y2680" s="3">
        <f t="shared" si="177"/>
        <v>30</v>
      </c>
      <c r="Z2680" s="18">
        <v>46173</v>
      </c>
      <c r="AA2680" s="15"/>
      <c r="AB2680" s="15"/>
      <c r="AF2680" s="201" t="str">
        <f t="shared" si="178"/>
        <v>Closed in May</v>
      </c>
    </row>
    <row r="2681" spans="1:32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autoFilter ref="A1:AB2680" xr:uid="{00000000-0001-0000-0300-000000000000}">
    <filterColumn colId="22">
      <filters>
        <filter val="WIP"/>
      </filters>
    </filterColumn>
  </autoFilter>
  <conditionalFormatting sqref="I1:I1775 I1817:I1932 I2016:I2072 I2104:I2182 I2346:I2406 I2426:I2490 I2555:I2680 I2788:I1048576">
    <cfRule type="duplicateValues" dxfId="36" priority="15"/>
  </conditionalFormatting>
  <conditionalFormatting sqref="I1:I1048576">
    <cfRule type="duplicateValues" dxfId="35" priority="1"/>
  </conditionalFormatting>
  <conditionalFormatting sqref="I353"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</conditionalFormatting>
  <conditionalFormatting sqref="I354"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  <cfRule type="duplicateValues" dxfId="22" priority="23"/>
  </conditionalFormatting>
  <conditionalFormatting sqref="I357:I358">
    <cfRule type="duplicateValues" dxfId="21" priority="19"/>
    <cfRule type="duplicateValues" dxfId="20" priority="20"/>
    <cfRule type="duplicateValues" dxfId="19" priority="21"/>
    <cfRule type="duplicateValues" dxfId="18" priority="22"/>
  </conditionalFormatting>
  <conditionalFormatting sqref="I1776:I1816 I1933:I2010 I2074:I2101 I2183:I2268 I2271:I2344 I2414:I2425 I2491:I2548 I2681:I2787">
    <cfRule type="duplicateValues" dxfId="17" priority="14"/>
    <cfRule type="duplicateValues" dxfId="16" priority="13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O417:O455 P5:P236 P241:P416">
    <cfRule type="duplicateValues" dxfId="6" priority="36"/>
    <cfRule type="duplicateValues" dxfId="5" priority="37"/>
    <cfRule type="duplicateValues" dxfId="4" priority="38"/>
  </conditionalFormatting>
  <conditionalFormatting sqref="P1:P4 P743:P744 P926:P927 P2788:P1048576">
    <cfRule type="duplicateValues" dxfId="3" priority="39"/>
  </conditionalFormatting>
  <conditionalFormatting sqref="P417:P455">
    <cfRule type="duplicateValues" dxfId="2" priority="18"/>
    <cfRule type="duplicateValues" dxfId="1" priority="17"/>
    <cfRule type="duplicateValues" dxfId="0" priority="16"/>
  </conditionalFormatting>
  <pageMargins left="0.7" right="0.7" top="0.75" bottom="0.75" header="0.3" footer="0.3"/>
  <pageSetup orientation="portrait" horizontalDpi="360" verticalDpi="36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92"/>
  <sheetViews>
    <sheetView showGridLines="0" zoomScale="70" zoomScaleNormal="70" workbookViewId="0">
      <selection activeCell="C5" sqref="C5"/>
    </sheetView>
  </sheetViews>
  <sheetFormatPr defaultRowHeight="14.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customHeight="1">
      <c r="A1" s="240" t="s">
        <v>3090</v>
      </c>
      <c r="B1" s="234"/>
      <c r="C1" s="234"/>
      <c r="D1" s="234"/>
      <c r="E1" s="234"/>
      <c r="F1" s="234"/>
      <c r="G1" s="234"/>
      <c r="H1" s="234"/>
      <c r="I1" s="234"/>
      <c r="P1" s="107"/>
      <c r="Q1" s="107"/>
      <c r="R1" s="109"/>
      <c r="S1" s="107"/>
      <c r="T1" s="107"/>
      <c r="U1" s="107"/>
    </row>
    <row r="2" spans="1:21" s="122" customFormat="1" ht="21.5" customHeight="1" thickBot="1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customHeight="1" thickBot="1">
      <c r="A3" s="121"/>
      <c r="B3" s="242" t="s">
        <v>3091</v>
      </c>
      <c r="C3" s="243"/>
      <c r="D3" s="243"/>
      <c r="E3" s="243"/>
      <c r="F3" s="243"/>
      <c r="G3" s="243"/>
      <c r="H3" s="243"/>
      <c r="I3" s="244"/>
      <c r="P3" s="123"/>
      <c r="Q3" s="123"/>
      <c r="R3" s="124"/>
      <c r="S3" s="123"/>
      <c r="T3" s="123"/>
      <c r="U3" s="123"/>
    </row>
    <row r="4" spans="1:21" s="122" customFormat="1" ht="21" customHeight="1">
      <c r="A4" s="121"/>
      <c r="B4" s="220" t="s">
        <v>2930</v>
      </c>
      <c r="C4" s="112" t="s">
        <v>31</v>
      </c>
      <c r="D4" s="113" t="s">
        <v>2932</v>
      </c>
      <c r="E4" s="114" t="s">
        <v>3092</v>
      </c>
      <c r="F4" s="115" t="s">
        <v>2933</v>
      </c>
      <c r="G4" s="221" t="s">
        <v>3093</v>
      </c>
      <c r="H4" s="224" t="s">
        <v>3094</v>
      </c>
      <c r="I4" s="116" t="s">
        <v>3095</v>
      </c>
      <c r="P4" s="123"/>
      <c r="Q4" s="123"/>
      <c r="R4" s="124"/>
      <c r="S4" s="123"/>
      <c r="T4" s="123"/>
      <c r="U4" s="123"/>
    </row>
    <row r="5" spans="1:21" s="122" customFormat="1" ht="26.5" customHeight="1" thickBot="1">
      <c r="A5" s="121"/>
      <c r="B5" s="131">
        <f>C5+D5</f>
        <v>2674</v>
      </c>
      <c r="C5" s="117">
        <f>COUNTIFS('Monthly Report May-26 Cleaned'!$F$2:$F$2787,"Closed",'Monthly Report May-26 Cleaned'!$X$2:$X$2787,"&gt;="&amp;DATE(2026,5,1),'Monthly Report May-26 Cleaned'!$X$2:$X$2787,"&lt;="&amp;DATE(2026,5,31))</f>
        <v>2665</v>
      </c>
      <c r="D5" s="118">
        <f>COUNTIFS('Monthly Report May-26 Cleaned'!$F$2:$F$2787,"WIP",'Monthly Report May-26 Cleaned'!$Z$2:$Z$2787,"&gt;="&amp;DATE(2026,5,1),'Monthly Report May-26 Cleaned'!$Z$2:$Z$2787,"&lt;="&amp;DATE(2026,5,31))</f>
        <v>9</v>
      </c>
      <c r="E5" s="119">
        <f>COUNTIFS('Monthly Report May-26 Cleaned'!$W$2:$W$2787,"Repair",'Monthly Report May-26 Cleaned'!$X$2:$X$2787,"&gt;="&amp;DATE(2026,5,1),'Monthly Report May-26 Cleaned'!$X$2:$X$2787,"&lt;="&amp;DATE(2026,5,31))</f>
        <v>2465</v>
      </c>
      <c r="F5" s="120">
        <f>C5/B5</f>
        <v>0.99663425579655951</v>
      </c>
      <c r="G5" s="222">
        <v>331507.67</v>
      </c>
      <c r="H5" s="223">
        <f>G5/B5</f>
        <v>123.97444652206431</v>
      </c>
      <c r="I5" s="128">
        <f>ROUND(AVERAGEIF('Monthly Report May-26 Cleaned'!$Y$2:$Y$2787,"&gt;=0"),1)</f>
        <v>32.700000000000003</v>
      </c>
      <c r="P5" s="123"/>
      <c r="Q5" s="123"/>
      <c r="R5" s="124"/>
      <c r="S5" s="123"/>
      <c r="T5" s="123"/>
      <c r="U5" s="123"/>
    </row>
    <row r="6" spans="1:21" s="122" customFormat="1" ht="21" customHeight="1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customHeight="1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customHeight="1" thickBot="1">
      <c r="A9" s="236"/>
      <c r="B9" s="234"/>
      <c r="C9" s="234"/>
      <c r="D9" s="234"/>
      <c r="E9" s="234"/>
      <c r="F9" s="234"/>
      <c r="G9" s="234"/>
      <c r="H9" s="234"/>
      <c r="P9" s="108"/>
    </row>
    <row r="10" spans="1:21">
      <c r="A10" s="132" t="s">
        <v>3096</v>
      </c>
      <c r="B10" s="133" t="s">
        <v>3097</v>
      </c>
      <c r="C10" s="133" t="s">
        <v>3096</v>
      </c>
      <c r="D10" s="134" t="s">
        <v>3097</v>
      </c>
      <c r="P10" s="108"/>
    </row>
    <row r="11" spans="1:21">
      <c r="A11" s="135" t="s">
        <v>3098</v>
      </c>
      <c r="B11" s="136">
        <f>B12+B13</f>
        <v>2674</v>
      </c>
      <c r="C11" s="137" t="s">
        <v>2933</v>
      </c>
      <c r="D11" s="138">
        <f>B12/B11</f>
        <v>0.99663425579655951</v>
      </c>
      <c r="F11" s="203"/>
      <c r="G11" s="127"/>
      <c r="P11" s="108"/>
    </row>
    <row r="12" spans="1:21">
      <c r="A12" s="139" t="s">
        <v>2931</v>
      </c>
      <c r="B12" s="140">
        <f>COUNTIFS('Monthly Report May-26 Cleaned'!$F$2:$F$2787,"Closed",'Monthly Report May-26 Cleaned'!$X$2:$X$2787,"&gt;="&amp;DATE(2026,5,1),'Monthly Report May-26 Cleaned'!$X$2:$X$2787,"&lt;="&amp;DATE(2026,5,31))</f>
        <v>2665</v>
      </c>
      <c r="C12" s="137" t="s">
        <v>3099</v>
      </c>
      <c r="D12" s="141">
        <f>B13/B11</f>
        <v>3.3657442034405387E-3</v>
      </c>
      <c r="P12" s="108"/>
    </row>
    <row r="13" spans="1:21">
      <c r="A13" s="142" t="s">
        <v>3100</v>
      </c>
      <c r="B13" s="143">
        <f>COUNTIFS('Monthly Report May-26 Cleaned'!$F$2:$F$2787,"WIP",'Monthly Report May-26 Cleaned'!$Z$2:$Z$2787,"&gt;="&amp;DATE(2026,5,1),'Monthly Report May-26 Cleaned'!$Z$2:$Z$2787,"&lt;="&amp;DATE(2026,5,31))</f>
        <v>9</v>
      </c>
      <c r="D13" s="144"/>
      <c r="P13" s="108"/>
    </row>
    <row r="14" spans="1:21" ht="15" customHeight="1" thickBot="1">
      <c r="A14" s="145" t="s">
        <v>3101</v>
      </c>
      <c r="B14" s="146">
        <f>COUNTIF(H19:H27,"&gt;0")</f>
        <v>9</v>
      </c>
      <c r="C14" s="147"/>
      <c r="D14" s="148"/>
      <c r="P14" s="108"/>
    </row>
    <row r="15" spans="1:21">
      <c r="B15" s="106"/>
      <c r="D15" s="106"/>
      <c r="P15" s="108"/>
    </row>
    <row r="16" spans="1:21" ht="15" customHeight="1" thickBot="1">
      <c r="P16" s="108"/>
    </row>
    <row r="17" spans="1:16" ht="16" customHeight="1">
      <c r="A17" s="237" t="s">
        <v>3102</v>
      </c>
      <c r="B17" s="238"/>
      <c r="C17" s="238"/>
      <c r="D17" s="238"/>
      <c r="E17" s="239"/>
      <c r="G17" s="237" t="s">
        <v>3103</v>
      </c>
      <c r="H17" s="238"/>
      <c r="I17" s="239"/>
      <c r="P17" s="108"/>
    </row>
    <row r="18" spans="1:16">
      <c r="A18" s="149" t="s">
        <v>2928</v>
      </c>
      <c r="B18" s="107" t="s">
        <v>2929</v>
      </c>
      <c r="C18" s="107" t="s">
        <v>31</v>
      </c>
      <c r="D18" s="107" t="s">
        <v>74</v>
      </c>
      <c r="E18" s="150"/>
      <c r="G18" s="157" t="s">
        <v>11</v>
      </c>
      <c r="H18" s="107" t="s">
        <v>2929</v>
      </c>
      <c r="I18" s="150" t="s">
        <v>3104</v>
      </c>
      <c r="P18" s="108"/>
    </row>
    <row r="19" spans="1:16">
      <c r="A19" s="151" t="s">
        <v>2963</v>
      </c>
      <c r="B19" s="106">
        <f t="shared" ref="B19:B34" si="0">C19+D19</f>
        <v>0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0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1641</v>
      </c>
      <c r="I19" s="153">
        <f t="shared" ref="I19:I27" si="1">H19/$H$28</f>
        <v>0.61575984990619137</v>
      </c>
      <c r="P19" s="108"/>
    </row>
    <row r="20" spans="1:16">
      <c r="A20" s="151" t="s">
        <v>879</v>
      </c>
      <c r="B20" s="106">
        <f t="shared" si="0"/>
        <v>958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0</v>
      </c>
      <c r="E20" s="153"/>
      <c r="G20" s="151" t="s">
        <v>49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989</v>
      </c>
      <c r="I20" s="153">
        <f t="shared" si="1"/>
        <v>0.37110694183864917</v>
      </c>
      <c r="P20" s="108"/>
    </row>
    <row r="21" spans="1:16">
      <c r="A21" s="151" t="s">
        <v>1982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348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5.6285178236397749E-3</v>
      </c>
      <c r="P21" s="108"/>
    </row>
    <row r="22" spans="1:16">
      <c r="A22" s="151" t="s">
        <v>53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183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8</v>
      </c>
      <c r="E22" s="153"/>
      <c r="G22" s="151" t="s">
        <v>359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3.3771106941838649E-3</v>
      </c>
      <c r="P22" s="108"/>
    </row>
    <row r="23" spans="1:16">
      <c r="A23" s="151" t="s">
        <v>354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204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1.50093808630394E-3</v>
      </c>
      <c r="P23" s="108"/>
    </row>
    <row r="24" spans="1:16">
      <c r="A24" s="151" t="s">
        <v>209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377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1.50093808630394E-3</v>
      </c>
      <c r="P24" s="108"/>
    </row>
    <row r="25" spans="1:16">
      <c r="A25" s="151" t="s">
        <v>29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10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1</v>
      </c>
      <c r="E25" s="153"/>
      <c r="G25" s="151" t="s">
        <v>1592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3.7523452157598499E-4</v>
      </c>
      <c r="P25" s="108"/>
    </row>
    <row r="26" spans="1:16">
      <c r="A26" s="151" t="s">
        <v>2966</v>
      </c>
      <c r="B26" s="106">
        <f t="shared" si="0"/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36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3.7523452157598499E-4</v>
      </c>
      <c r="P26" s="108"/>
    </row>
    <row r="27" spans="1:16">
      <c r="A27" s="151" t="s">
        <v>2788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3.7523452157598499E-4</v>
      </c>
      <c r="P27" s="108"/>
    </row>
    <row r="28" spans="1:16" ht="15" customHeight="1" thickBot="1">
      <c r="A28" s="151" t="s">
        <v>44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3105</v>
      </c>
      <c r="H28" s="155">
        <f>SUM(H19:H27)</f>
        <v>2665</v>
      </c>
      <c r="I28" s="156">
        <f>SUM(I19:I27)</f>
        <v>1</v>
      </c>
      <c r="K28" s="127"/>
      <c r="P28" s="108"/>
    </row>
    <row r="29" spans="1:16" ht="15" customHeight="1" thickBot="1">
      <c r="A29" s="151" t="s">
        <v>1587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customHeight="1">
      <c r="A30" s="151" t="s">
        <v>3106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37" t="s">
        <v>3107</v>
      </c>
      <c r="H30" s="238"/>
      <c r="I30" s="239"/>
      <c r="P30" s="108"/>
    </row>
    <row r="31" spans="1:16">
      <c r="A31" s="151" t="s">
        <v>2976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3108</v>
      </c>
      <c r="H31" s="107" t="s">
        <v>2929</v>
      </c>
      <c r="I31" s="150" t="s">
        <v>3104</v>
      </c>
      <c r="P31" s="108"/>
    </row>
    <row r="32" spans="1:16">
      <c r="A32" s="151" t="s">
        <v>490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2960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>
      <c r="A33" s="151" t="s">
        <v>190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3109</v>
      </c>
      <c r="H33" s="106">
        <f>COUNTIFS('Monthly Report May-26 Cleaned'!$W$2:$W$2787,"WIP",'Monthly Report May-26 Cleaned'!$Z$2:$Z$2787,"&gt;="&amp;DATE(2026,5,1),'Monthly Report May-26 Cleaned'!$Z$2:$Z$2787,"&lt;="&amp;DATE(2026,5,31))</f>
        <v>0</v>
      </c>
      <c r="I33" s="153">
        <f t="shared" si="2"/>
        <v>0</v>
      </c>
      <c r="P33" s="108"/>
    </row>
    <row r="34" spans="1:16">
      <c r="A34" s="151" t="s">
        <v>2970</v>
      </c>
      <c r="B34" s="106">
        <f t="shared" si="0"/>
        <v>0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0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3110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customHeight="1" thickBot="1">
      <c r="A35" s="154" t="s">
        <v>3105</v>
      </c>
      <c r="B35" s="155">
        <f>SUM(B19:B34)</f>
        <v>1592</v>
      </c>
      <c r="C35" s="155">
        <f>SUM(C19:C34)</f>
        <v>1583</v>
      </c>
      <c r="D35" s="155">
        <f>SUM(D19:D34)</f>
        <v>9</v>
      </c>
      <c r="E35" s="156"/>
      <c r="G35" s="151" t="s">
        <v>43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2465</v>
      </c>
      <c r="I35" s="153">
        <f t="shared" si="2"/>
        <v>0.9253003003003003</v>
      </c>
      <c r="P35" s="108"/>
    </row>
    <row r="36" spans="1:16">
      <c r="G36" s="151" t="s">
        <v>65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186</v>
      </c>
      <c r="I36" s="153">
        <f t="shared" si="2"/>
        <v>6.9819819819819814E-2</v>
      </c>
      <c r="P36" s="108"/>
    </row>
    <row r="37" spans="1:16" ht="15" customHeight="1" thickBot="1">
      <c r="G37" s="151" t="s">
        <v>353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4.8798798798798801E-3</v>
      </c>
    </row>
    <row r="38" spans="1:16" ht="16" customHeight="1">
      <c r="A38" s="237" t="s">
        <v>3111</v>
      </c>
      <c r="B38" s="238"/>
      <c r="C38" s="238"/>
      <c r="D38" s="239"/>
      <c r="G38" s="151" t="s">
        <v>2973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customHeight="1" thickBot="1">
      <c r="A39" s="157" t="s">
        <v>2945</v>
      </c>
      <c r="B39" s="107" t="s">
        <v>3112</v>
      </c>
      <c r="C39" s="107" t="s">
        <v>31</v>
      </c>
      <c r="D39" s="150" t="s">
        <v>74</v>
      </c>
      <c r="G39" s="154" t="s">
        <v>3105</v>
      </c>
      <c r="H39" s="155">
        <f>SUM(H32:H38)</f>
        <v>2664</v>
      </c>
      <c r="I39" s="156">
        <f>SUM(I32:I38)</f>
        <v>1</v>
      </c>
    </row>
    <row r="40" spans="1:16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26</v>
      </c>
      <c r="D40" s="144">
        <f>COUNTIFS('Monthly Report May-26 Cleaned'!$Z$2:$Z$2787,$A40,'Monthly Report May-26 Cleaned'!$F$2:$F$2787,"WIP")</f>
        <v>1</v>
      </c>
    </row>
    <row r="41" spans="1:16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72</v>
      </c>
      <c r="D41" s="144">
        <f>COUNTIFS('Monthly Report May-26 Cleaned'!$Z$2:$Z$2787,$A41,'Monthly Report May-26 Cleaned'!$F$2:$F$2787,"WIP")</f>
        <v>2</v>
      </c>
    </row>
    <row r="42" spans="1:16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130</v>
      </c>
      <c r="D42" s="144">
        <f>COUNTIFS('Monthly Report May-26 Cleaned'!$Z$2:$Z$2787,$A42,'Monthly Report May-26 Cleaned'!$F$2:$F$2787,"WIP")</f>
        <v>3</v>
      </c>
    </row>
    <row r="43" spans="1:16" ht="15" customHeight="1" thickBot="1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108</v>
      </c>
      <c r="D43" s="144">
        <f>COUNTIFS('Monthly Report May-26 Cleaned'!$Z$2:$Z$2787,$A43,'Monthly Report May-26 Cleaned'!$F$2:$F$2787,"WIP")</f>
        <v>3</v>
      </c>
    </row>
    <row r="44" spans="1:16" ht="16" customHeight="1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94</v>
      </c>
      <c r="D44" s="144">
        <f>COUNTIFS('Monthly Report May-26 Cleaned'!$Z$2:$Z$2787,$A44,'Monthly Report May-26 Cleaned'!$F$2:$F$2787,"WIP")</f>
        <v>0</v>
      </c>
      <c r="G44" s="237" t="s">
        <v>3113</v>
      </c>
      <c r="H44" s="238"/>
      <c r="I44" s="239"/>
    </row>
    <row r="45" spans="1:16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49</v>
      </c>
      <c r="D45" s="144">
        <f>COUNTIFS('Monthly Report May-26 Cleaned'!$Z$2:$Z$2787,$A45,'Monthly Report May-26 Cleaned'!$F$2:$F$2787,"WIP")</f>
        <v>0</v>
      </c>
      <c r="G45" s="157" t="s">
        <v>2942</v>
      </c>
      <c r="H45" s="107" t="s">
        <v>2929</v>
      </c>
      <c r="I45" s="150" t="s">
        <v>3104</v>
      </c>
    </row>
    <row r="46" spans="1:16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3114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3115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3116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3117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3118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customHeight="1" thickBot="1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3105</v>
      </c>
      <c r="H51" s="155">
        <f>SUM(H46:H50)</f>
        <v>2664</v>
      </c>
      <c r="I51" s="156">
        <f>SUM(I46:I50)</f>
        <v>1</v>
      </c>
    </row>
    <row r="52" spans="1:9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customHeight="1" thickBot="1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2947</v>
      </c>
    </row>
    <row r="55" spans="1:9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3119</v>
      </c>
      <c r="H55" s="161" t="s">
        <v>2929</v>
      </c>
      <c r="I55" s="162" t="s">
        <v>3104</v>
      </c>
    </row>
    <row r="56" spans="1:9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122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2040</v>
      </c>
      <c r="I56" s="164">
        <f>H56/$H$60</f>
        <v>0.76547842401500943</v>
      </c>
    </row>
    <row r="57" spans="1:9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40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623</v>
      </c>
      <c r="I57" s="164">
        <f>H57/$H$60</f>
        <v>0.23377110694183864</v>
      </c>
    </row>
    <row r="58" spans="1:9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187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1</v>
      </c>
      <c r="I58" s="164">
        <f>H58/$H$60</f>
        <v>3.7523452157598499E-4</v>
      </c>
    </row>
    <row r="59" spans="1:9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513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3.7523452157598499E-4</v>
      </c>
    </row>
    <row r="60" spans="1:9" ht="15" customHeight="1" thickBot="1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3105</v>
      </c>
      <c r="H60" s="166">
        <f>SUM(H56:H59)</f>
        <v>2665</v>
      </c>
      <c r="I60" s="167">
        <f>SUM(I56:I59)</f>
        <v>1</v>
      </c>
    </row>
    <row r="61" spans="1:9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140</v>
      </c>
      <c r="D62" s="144">
        <f>COUNTIFS('Monthly Report May-26 Cleaned'!$Z$2:$Z$2787,$A62,'Monthly Report May-26 Cleaned'!$F$2:$F$2787,"WIP")</f>
        <v>0</v>
      </c>
    </row>
    <row r="63" spans="1:9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customHeight="1" thickBot="1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3120</v>
      </c>
    </row>
    <row r="65" spans="1:9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3121</v>
      </c>
      <c r="H65" s="161" t="s">
        <v>2929</v>
      </c>
      <c r="I65" s="162"/>
    </row>
    <row r="66" spans="1:9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3122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1.0881801125703566E-2</v>
      </c>
    </row>
    <row r="67" spans="1:9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3123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3.7523452157598499E-3</v>
      </c>
    </row>
    <row r="68" spans="1:9" ht="15" customHeight="1" thickBot="1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3124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7.4671669793621012E-2</v>
      </c>
    </row>
    <row r="69" spans="1:9">
      <c r="B69" s="106"/>
      <c r="C69" s="106"/>
      <c r="D69" s="106"/>
      <c r="G69" s="163" t="s">
        <v>3125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1153</v>
      </c>
      <c r="I69" s="164">
        <f>H69/$H$71</f>
        <v>0.43264540337711072</v>
      </c>
    </row>
    <row r="70" spans="1:9">
      <c r="G70" s="163" t="s">
        <v>3126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1274</v>
      </c>
      <c r="I70" s="164">
        <f>H70/$H$71</f>
        <v>0.47804878048780486</v>
      </c>
    </row>
    <row r="71" spans="1:9" ht="15" customHeight="1" thickBot="1">
      <c r="G71" s="165" t="s">
        <v>3105</v>
      </c>
      <c r="H71" s="166">
        <f>SUM(H66:H70)</f>
        <v>2665</v>
      </c>
      <c r="I71" s="167">
        <f>SUM(I66:I70)</f>
        <v>1</v>
      </c>
    </row>
    <row r="72" spans="1:9">
      <c r="G72" s="111" t="s">
        <v>3127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32.700000000000003</v>
      </c>
    </row>
    <row r="74" spans="1:9" ht="16" customHeight="1">
      <c r="A74" s="241" t="s">
        <v>2948</v>
      </c>
      <c r="B74" s="234"/>
      <c r="C74" s="234"/>
      <c r="D74" s="234"/>
      <c r="E74" s="234"/>
    </row>
    <row r="75" spans="1:9">
      <c r="A75" s="207" t="s">
        <v>3128</v>
      </c>
      <c r="B75" s="207" t="s">
        <v>39</v>
      </c>
      <c r="C75" s="207" t="s">
        <v>199</v>
      </c>
      <c r="D75" s="207" t="s">
        <v>121</v>
      </c>
      <c r="E75" s="207" t="s">
        <v>3129</v>
      </c>
    </row>
    <row r="76" spans="1:9">
      <c r="A76" s="213" t="s">
        <v>50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>
      <c r="A77" s="210" t="s">
        <v>61</v>
      </c>
      <c r="B77" s="208">
        <f>COUNTIFS('Monthly Report May-26 Cleaned'!$N$2:$N$2680,A77,'Monthly Report May-26 Cleaned'!$S$2:$S$2680,B$75,'Monthly Report May-26 Cleaned'!$AF$2:$AF$2680,"Closed in May")</f>
        <v>183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183</v>
      </c>
    </row>
    <row r="78" spans="1:9">
      <c r="A78" s="216" t="s">
        <v>37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>
      <c r="A79" s="210" t="s">
        <v>305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2</v>
      </c>
      <c r="E79" s="209">
        <f t="shared" si="3"/>
        <v>2</v>
      </c>
    </row>
    <row r="80" spans="1:9">
      <c r="A80" s="216" t="s">
        <v>197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>
      <c r="A81" s="210" t="s">
        <v>350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>
      <c r="A82" s="216" t="s">
        <v>185</v>
      </c>
      <c r="B82" s="214">
        <f>COUNTIFS('Monthly Report May-26 Cleaned'!$N$2:$N$2680,A82,'Monthly Report May-26 Cleaned'!$S$2:$S$2680,B$75,'Monthly Report May-26 Cleaned'!$AF$2:$AF$2680,"Closed in May")</f>
        <v>1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1</v>
      </c>
    </row>
    <row r="83" spans="1:5">
      <c r="A83" s="210" t="s">
        <v>188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>
      <c r="A84" s="216" t="s">
        <v>365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>
      <c r="A85" s="210" t="s">
        <v>367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>
      <c r="A86" s="216" t="s">
        <v>360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>
      <c r="A87" s="210" t="s">
        <v>363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>
      <c r="A88" s="216" t="s">
        <v>507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>
      <c r="A89" s="210" t="s">
        <v>511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>
      <c r="A90" s="216" t="s">
        <v>916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>
      <c r="A91" s="216" t="s">
        <v>1593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>
      <c r="A92" s="211" t="s">
        <v>3129</v>
      </c>
      <c r="B92" s="212">
        <f>SUM(B76:B90)</f>
        <v>582</v>
      </c>
      <c r="C92" s="212">
        <f>SUM(C76:C90)</f>
        <v>55</v>
      </c>
      <c r="D92" s="212">
        <f>SUM(D76:D90)</f>
        <v>2027</v>
      </c>
      <c r="E92" s="212">
        <f>SUM(E76:E91)</f>
        <v>2665</v>
      </c>
    </row>
  </sheetData>
  <mergeCells count="9">
    <mergeCell ref="A9:H9"/>
    <mergeCell ref="G44:I44"/>
    <mergeCell ref="A38:D38"/>
    <mergeCell ref="A1:I1"/>
    <mergeCell ref="A74:E74"/>
    <mergeCell ref="B3:I3"/>
    <mergeCell ref="G17:I17"/>
    <mergeCell ref="G30:I30"/>
    <mergeCell ref="A17:E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showGridLines="0" workbookViewId="0">
      <selection activeCell="D16" sqref="D16"/>
    </sheetView>
  </sheetViews>
  <sheetFormatPr defaultRowHeight="14.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customHeight="1">
      <c r="A1" s="245" t="s">
        <v>3130</v>
      </c>
      <c r="B1" s="234"/>
      <c r="C1" s="234"/>
      <c r="D1" s="234"/>
      <c r="E1" s="234"/>
      <c r="F1" s="234"/>
      <c r="G1" s="234"/>
      <c r="H1" s="234"/>
      <c r="I1" s="234"/>
    </row>
    <row r="3" spans="1:9">
      <c r="A3" s="168" t="s">
        <v>28</v>
      </c>
      <c r="B3" t="s">
        <v>3131</v>
      </c>
    </row>
    <row r="5" spans="1:9">
      <c r="A5" s="168" t="s">
        <v>3132</v>
      </c>
      <c r="B5" t="s">
        <v>3133</v>
      </c>
    </row>
    <row r="6" spans="1:9">
      <c r="A6" s="169" t="s">
        <v>507</v>
      </c>
      <c r="B6">
        <v>1</v>
      </c>
    </row>
    <row r="7" spans="1:9">
      <c r="A7" s="169" t="s">
        <v>365</v>
      </c>
      <c r="B7">
        <v>1</v>
      </c>
    </row>
    <row r="8" spans="1:9">
      <c r="A8" s="169" t="s">
        <v>367</v>
      </c>
      <c r="B8">
        <v>1</v>
      </c>
    </row>
    <row r="9" spans="1:9">
      <c r="A9" s="169" t="s">
        <v>50</v>
      </c>
      <c r="B9">
        <v>2190</v>
      </c>
    </row>
    <row r="10" spans="1:9">
      <c r="A10" s="169" t="s">
        <v>363</v>
      </c>
      <c r="B10">
        <v>1</v>
      </c>
    </row>
    <row r="11" spans="1:9">
      <c r="A11" s="169" t="s">
        <v>305</v>
      </c>
      <c r="B11">
        <v>2</v>
      </c>
    </row>
    <row r="12" spans="1:9">
      <c r="A12" s="169" t="s">
        <v>360</v>
      </c>
      <c r="B12">
        <v>1</v>
      </c>
    </row>
    <row r="13" spans="1:9">
      <c r="A13" s="169" t="s">
        <v>37</v>
      </c>
      <c r="B13">
        <v>205</v>
      </c>
    </row>
    <row r="14" spans="1:9">
      <c r="A14" s="169" t="s">
        <v>916</v>
      </c>
      <c r="B14">
        <v>1</v>
      </c>
    </row>
    <row r="15" spans="1:9">
      <c r="A15" s="169" t="s">
        <v>197</v>
      </c>
      <c r="B15">
        <v>70</v>
      </c>
    </row>
    <row r="16" spans="1:9">
      <c r="A16" s="169" t="s">
        <v>350</v>
      </c>
      <c r="B16">
        <v>5</v>
      </c>
    </row>
    <row r="17" spans="1:2">
      <c r="A17" s="169" t="s">
        <v>1593</v>
      </c>
      <c r="B17">
        <v>1</v>
      </c>
    </row>
    <row r="18" spans="1:2">
      <c r="A18" s="169" t="s">
        <v>511</v>
      </c>
      <c r="B18">
        <v>2</v>
      </c>
    </row>
    <row r="19" spans="1:2">
      <c r="A19" s="169" t="s">
        <v>3129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2026-08-06T06:06:38Z</dcterms:modified>
</cp:coreProperties>
</file>